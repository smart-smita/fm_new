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aishnavi\O.E Audit\"/>
    </mc:Choice>
  </mc:AlternateContent>
  <bookViews>
    <workbookView xWindow="0" yWindow="0" windowWidth="20490" windowHeight="7200" firstSheet="2" activeTab="4"/>
  </bookViews>
  <sheets>
    <sheet name="5S Audit Checklist (Jan-26)" sheetId="1" r:id="rId1"/>
    <sheet name="5S Audit Checklist (Feb-26) " sheetId="2" r:id="rId2"/>
    <sheet name="5S Audit Checklist (Mar-26)" sheetId="3" r:id="rId3"/>
    <sheet name="5S Audit Checklist (April-26)" sheetId="4" r:id="rId4"/>
    <sheet name="5S Audit Checklist (May June-26" sheetId="5" r:id="rId5"/>
  </sheets>
  <calcPr calcId="162913"/>
  <extLst>
    <ext uri="GoogleSheetsCustomDataVersion2">
      <go:sheetsCustomData xmlns:go="http://customooxmlschemas.google.com/" r:id="rId9" roundtripDataChecksum="YM2WKzv3EZ+V8IkZ+PxMyeqbawu4LSaCUSR68HLvrMc="/>
    </ext>
  </extLst>
</workbook>
</file>

<file path=xl/calcChain.xml><?xml version="1.0" encoding="utf-8"?>
<calcChain xmlns="http://schemas.openxmlformats.org/spreadsheetml/2006/main">
  <c r="D288" i="5" l="1"/>
  <c r="D289" i="5" s="1"/>
  <c r="E267" i="5"/>
  <c r="E265" i="5"/>
  <c r="D249" i="5"/>
  <c r="D250" i="5" s="1"/>
  <c r="E228" i="5"/>
  <c r="E226" i="5"/>
  <c r="D208" i="5"/>
  <c r="D209" i="5" s="1"/>
  <c r="E187" i="5"/>
  <c r="E185" i="5"/>
  <c r="D173" i="5"/>
  <c r="D172" i="5"/>
  <c r="E151" i="5"/>
  <c r="E149" i="5"/>
  <c r="D136" i="5"/>
  <c r="D135" i="5"/>
  <c r="E114" i="5"/>
  <c r="E112" i="5"/>
  <c r="D99" i="5"/>
  <c r="D100" i="5" s="1"/>
  <c r="E78" i="5"/>
  <c r="E76" i="5"/>
  <c r="D63" i="5"/>
  <c r="D64" i="5" s="1"/>
  <c r="E42" i="5"/>
  <c r="E40" i="5"/>
  <c r="D28" i="5"/>
  <c r="D29" i="5" s="1"/>
  <c r="E7" i="5"/>
  <c r="E5" i="5"/>
  <c r="D136" i="4"/>
  <c r="D135" i="4"/>
  <c r="E114" i="4"/>
  <c r="E112" i="4"/>
  <c r="D99" i="4"/>
  <c r="D100" i="4" s="1"/>
  <c r="E78" i="4"/>
  <c r="E76" i="4"/>
  <c r="D64" i="4"/>
  <c r="D63" i="4"/>
  <c r="E42" i="4"/>
  <c r="E40" i="4"/>
  <c r="D28" i="4"/>
  <c r="D29" i="4" s="1"/>
  <c r="E7" i="4"/>
  <c r="E5" i="4"/>
  <c r="D136" i="3"/>
  <c r="D135" i="3"/>
  <c r="E114" i="3"/>
  <c r="E112" i="3"/>
  <c r="D100" i="3"/>
  <c r="D99" i="3"/>
  <c r="E78" i="3"/>
  <c r="E76" i="3"/>
  <c r="D64" i="3"/>
  <c r="D63" i="3"/>
  <c r="E42" i="3"/>
  <c r="E40" i="3"/>
  <c r="D29" i="3"/>
  <c r="D28" i="3"/>
  <c r="E7" i="3"/>
  <c r="E5" i="3"/>
  <c r="D172" i="2"/>
  <c r="D171" i="2"/>
  <c r="E150" i="2"/>
  <c r="E148" i="2"/>
  <c r="D136" i="2"/>
  <c r="D135" i="2"/>
  <c r="E114" i="2"/>
  <c r="E112" i="2"/>
  <c r="D100" i="2"/>
  <c r="D99" i="2"/>
  <c r="E78" i="2"/>
  <c r="E76" i="2"/>
  <c r="D64" i="2"/>
  <c r="D63" i="2"/>
  <c r="E42" i="2"/>
  <c r="E40" i="2"/>
  <c r="D29" i="2"/>
  <c r="D28" i="2"/>
  <c r="E7" i="2"/>
  <c r="E5" i="2"/>
  <c r="D172" i="1"/>
  <c r="D171" i="1"/>
  <c r="E150" i="1"/>
  <c r="E148" i="1"/>
  <c r="D136" i="1"/>
  <c r="D135" i="1"/>
  <c r="E114" i="1"/>
  <c r="E112" i="1"/>
  <c r="D100" i="1"/>
  <c r="D99" i="1"/>
  <c r="E78" i="1"/>
  <c r="E76" i="1"/>
  <c r="D64" i="1"/>
  <c r="D63" i="1"/>
  <c r="E42" i="1"/>
  <c r="E40" i="1"/>
  <c r="D29" i="1"/>
  <c r="D28" i="1"/>
  <c r="E7" i="1"/>
  <c r="E5" i="1"/>
</calcChain>
</file>

<file path=xl/sharedStrings.xml><?xml version="1.0" encoding="utf-8"?>
<sst xmlns="http://schemas.openxmlformats.org/spreadsheetml/2006/main" count="1430" uniqueCount="134">
  <si>
    <t>5S Audit Checklist</t>
  </si>
  <si>
    <t>Doc.No.:FM/ATLOS/FF/OPS/002</t>
  </si>
  <si>
    <t>Rev No.:00</t>
  </si>
  <si>
    <t>Rev. Date: NA</t>
  </si>
  <si>
    <t>Origin Date: 19.07.2022</t>
  </si>
  <si>
    <t xml:space="preserve">Area Name : </t>
  </si>
  <si>
    <t>Royal Canin</t>
  </si>
  <si>
    <t>OK</t>
  </si>
  <si>
    <t>Owner:</t>
  </si>
  <si>
    <t>Prashant Mhatre</t>
  </si>
  <si>
    <t xml:space="preserve">NOT OK </t>
  </si>
  <si>
    <t>Participants: 01</t>
  </si>
  <si>
    <t>Date : 03-01-2026</t>
  </si>
  <si>
    <t xml:space="preserve">Not Applicale </t>
  </si>
  <si>
    <t>NA</t>
  </si>
  <si>
    <t xml:space="preserve">Sr.No </t>
  </si>
  <si>
    <t xml:space="preserve">Category 
of 'S' </t>
  </si>
  <si>
    <t>Evaluation Parameter</t>
  </si>
  <si>
    <t>Score 0- 1</t>
  </si>
  <si>
    <t xml:space="preserve">Remark </t>
  </si>
  <si>
    <t>1st S
"Sort"</t>
  </si>
  <si>
    <t>Unwanted material lying  (floor, Aisel, Docks , Desk etc.)</t>
  </si>
  <si>
    <t>No Mixing of materials like damaged , unidentified etc.</t>
  </si>
  <si>
    <t>Drawers &amp; Cupboards , Pallets , Bins are well sorted</t>
  </si>
  <si>
    <t>2nd S
"Set"</t>
  </si>
  <si>
    <t xml:space="preserve">Each material has its proper place for storage </t>
  </si>
  <si>
    <t xml:space="preserve">Cupboards,material storage racks/shelves are labelled </t>
  </si>
  <si>
    <t>MHEs like HPT , BOPT,FLT,RT are parked at demarkated location</t>
  </si>
  <si>
    <t>Locations for movable items are marked, and items are placed in demarkated locations (Yellow line marking to be followed )</t>
  </si>
  <si>
    <t>3rd S
"Shine"</t>
  </si>
  <si>
    <t xml:space="preserve">Adjacent aisles, floors &amp; windows in the areas are cleaned </t>
  </si>
  <si>
    <t>Equipments (Printers, Pc’s,MHEs etc.) are free from dust</t>
  </si>
  <si>
    <t xml:space="preserve">There is adequate lighting arrangement (Lux level) in the area. </t>
  </si>
  <si>
    <t>Dustbins/Containers are available for unwanted and Waste segrigation by having separate area and with different colour  bins</t>
  </si>
  <si>
    <t>4th S
"Standardize"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</si>
  <si>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</si>
  <si>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Are meeting area , work stations are standardized (rules, standard layout, contact no. of room owner, pantry, etc)?</t>
  </si>
  <si>
    <t>There is standard process for training and orienting new staff to the 5S system</t>
  </si>
  <si>
    <t>5th S
"Sustain"</t>
  </si>
  <si>
    <t>Area 5S ownership  is defined and displayed in the area</t>
  </si>
  <si>
    <t xml:space="preserve">5S Daily / Weekly audits are being conducted internally, Score must be displayed at the respective zones </t>
  </si>
  <si>
    <t>5S improvement  actions are defined and evident in the area</t>
  </si>
  <si>
    <t>Display boards, activity charts, notice boards etc. are up to date and regularly checked</t>
  </si>
  <si>
    <t xml:space="preserve">Status of Audit </t>
  </si>
  <si>
    <t xml:space="preserve">Total  Score  </t>
  </si>
  <si>
    <t xml:space="preserve">PercentageScore  </t>
  </si>
  <si>
    <t>&gt;=95%- 100%</t>
  </si>
  <si>
    <t xml:space="preserve">Very Good </t>
  </si>
  <si>
    <t>&gt;=85% -95%</t>
  </si>
  <si>
    <t>Good</t>
  </si>
  <si>
    <t>Below 85%</t>
  </si>
  <si>
    <t>Need to improve</t>
  </si>
  <si>
    <t>Auditors: Monali Patil</t>
  </si>
  <si>
    <t>Signature</t>
  </si>
  <si>
    <t>Date: 03-01-2026</t>
  </si>
  <si>
    <t>Date : 10-01-2026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</si>
  <si>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</si>
  <si>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Auditors: Suneet Tambe</t>
  </si>
  <si>
    <t>Date: 10-01-2026</t>
  </si>
  <si>
    <t>Date : 17-01-2026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</si>
  <si>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</si>
  <si>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 17-01-2026</t>
  </si>
  <si>
    <t>Date : 24-01-2026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</si>
  <si>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</si>
  <si>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Date:24-01-2026</t>
  </si>
  <si>
    <t>Date : 31-01-2026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</si>
  <si>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</si>
  <si>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Date:31-01-2026</t>
  </si>
  <si>
    <t>Date : 07-02-2026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</si>
  <si>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</si>
  <si>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Date:07-02-2026</t>
  </si>
  <si>
    <t>Date : 14-02-2026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</si>
  <si>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</si>
  <si>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 14-02-2026</t>
  </si>
  <si>
    <t>Date : 21-02-2025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</si>
  <si>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</si>
  <si>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 21-02-2026</t>
  </si>
  <si>
    <t>Date : 28-02-2026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</si>
  <si>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</si>
  <si>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 28-02-2026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</si>
  <si>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</si>
  <si>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 028-02-2026</t>
  </si>
  <si>
    <t>Date : 07-03-2026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</si>
  <si>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</si>
  <si>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Date:07-03-2026</t>
  </si>
  <si>
    <t>Date : 14-03-2026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</si>
  <si>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</si>
  <si>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 14-03-2026</t>
  </si>
  <si>
    <t>Date : 21-03-2026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</si>
  <si>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</si>
  <si>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 21-03-2026</t>
  </si>
  <si>
    <t>Date : 28-03-2026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</si>
  <si>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</si>
  <si>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 28-03-2026</t>
  </si>
  <si>
    <t>Date : 04-04-2026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</si>
  <si>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</si>
  <si>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Date:04-04-2026</t>
  </si>
  <si>
    <t>Date : 11-04-2026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</si>
  <si>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</si>
  <si>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 11-04-2026</t>
  </si>
  <si>
    <t>Date : 18-04-2026</t>
  </si>
  <si>
    <t>\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</si>
  <si>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</si>
  <si>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Auditors: Vaishnavi Karangale</t>
  </si>
  <si>
    <t>Date: 18-04-2026</t>
  </si>
  <si>
    <t>Date : 25-04-2026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</si>
  <si>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</si>
  <si>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 25-04-2026</t>
  </si>
  <si>
    <t>Date : 02-05-2026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</si>
  <si>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</si>
  <si>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Date:02-05-2026</t>
  </si>
  <si>
    <t>Date : 09-05-2026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</si>
  <si>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</si>
  <si>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 09-05-2026</t>
  </si>
  <si>
    <t>Date : 16-05-2026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</si>
  <si>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</si>
  <si>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 16-05-2026</t>
  </si>
  <si>
    <t>Date : 23-05-2026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</si>
  <si>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</si>
  <si>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Date:-23-05-2026</t>
  </si>
  <si>
    <t>Date : 30-05-2026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</si>
  <si>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</si>
  <si>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Vaishnavi Karangale</t>
  </si>
  <si>
    <t>Date: 30-05-2026</t>
  </si>
  <si>
    <t>Date : 06-06-2026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</si>
  <si>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</si>
  <si>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 06-06-2026</t>
  </si>
  <si>
    <t>Date : 13-06-2026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</si>
  <si>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</si>
  <si>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Date: 13-06-2026</t>
  </si>
  <si>
    <t>Date : 20-06-2026</t>
  </si>
  <si>
    <r>
      <rPr>
        <sz val="16"/>
        <color theme="1"/>
        <rFont val="Arial"/>
      </rPr>
      <t xml:space="preserve">5s Maintenance schedule and checklist is </t>
    </r>
    <r>
      <rPr>
        <sz val="16"/>
        <color theme="1"/>
        <rFont val="Arial"/>
      </rPr>
      <t>available in the department?</t>
    </r>
  </si>
  <si>
    <t>Monali Patil</t>
  </si>
  <si>
    <t>Date: 20-06-2026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</si>
</sst>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scheme val="minor"/>
    </font>
    <font>
      <b/>
      <sz val="18"/>
      <color theme="1"/>
      <name val="Arial"/>
    </font>
    <font>
      <sz val="11"/>
      <name val="Calibri"/>
    </font>
    <font>
      <sz val="11"/>
      <color theme="1"/>
      <name val="Arial"/>
    </font>
    <font>
      <sz val="10"/>
      <color theme="1"/>
      <name val="Arial"/>
    </font>
    <font>
      <b/>
      <sz val="16"/>
      <color theme="1"/>
      <name val="Arial"/>
    </font>
    <font>
      <b/>
      <sz val="16"/>
      <color theme="0"/>
      <name val="Arial"/>
    </font>
    <font>
      <b/>
      <sz val="14"/>
      <color theme="0"/>
      <name val="Arial"/>
    </font>
    <font>
      <sz val="16"/>
      <color theme="1"/>
      <name val="Arial"/>
    </font>
    <font>
      <b/>
      <sz val="16"/>
      <color rgb="FFC00000"/>
      <name val="Arial"/>
    </font>
    <font>
      <b/>
      <sz val="16"/>
      <color rgb="FF002060"/>
      <name val="Arial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2060"/>
        <bgColor rgb="FF002060"/>
      </patternFill>
    </fill>
    <fill>
      <patternFill patternType="solid">
        <fgColor rgb="FFDBE5F1"/>
        <bgColor rgb="FFDBE5F1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4" xfId="0" applyFont="1" applyBorder="1" applyAlignment="1">
      <alignment horizontal="left"/>
    </xf>
    <xf numFmtId="0" fontId="4" fillId="0" borderId="0" xfId="0" applyFont="1"/>
    <xf numFmtId="0" fontId="3" fillId="0" borderId="7" xfId="0" applyFont="1" applyBorder="1" applyAlignment="1">
      <alignment horizontal="left"/>
    </xf>
    <xf numFmtId="0" fontId="5" fillId="0" borderId="19" xfId="0" applyFont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/>
    </xf>
    <xf numFmtId="0" fontId="8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right" vertical="center" wrapText="1"/>
    </xf>
    <xf numFmtId="1" fontId="5" fillId="5" borderId="19" xfId="0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 wrapText="1"/>
    </xf>
    <xf numFmtId="9" fontId="6" fillId="4" borderId="28" xfId="0" applyNumberFormat="1" applyFont="1" applyFill="1" applyBorder="1" applyAlignment="1">
      <alignment horizontal="center" vertical="center" wrapText="1"/>
    </xf>
    <xf numFmtId="0" fontId="8" fillId="0" borderId="14" xfId="0" applyFont="1" applyBorder="1" applyAlignment="1">
      <alignment vertical="center"/>
    </xf>
    <xf numFmtId="0" fontId="9" fillId="0" borderId="29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1" fillId="0" borderId="0" xfId="0" applyFont="1"/>
    <xf numFmtId="0" fontId="4" fillId="0" borderId="0" xfId="0" applyFont="1" applyAlignment="1"/>
    <xf numFmtId="0" fontId="8" fillId="0" borderId="7" xfId="0" applyFont="1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16" xfId="0" applyFont="1" applyBorder="1"/>
    <xf numFmtId="0" fontId="5" fillId="0" borderId="17" xfId="0" applyFont="1" applyBorder="1" applyAlignment="1">
      <alignment horizontal="left" vertical="center"/>
    </xf>
    <xf numFmtId="0" fontId="2" fillId="0" borderId="18" xfId="0" applyFont="1" applyBorder="1"/>
    <xf numFmtId="0" fontId="5" fillId="0" borderId="20" xfId="0" applyFont="1" applyBorder="1" applyAlignment="1">
      <alignment horizontal="left" vertical="center"/>
    </xf>
    <xf numFmtId="0" fontId="2" fillId="0" borderId="21" xfId="0" applyFont="1" applyBorder="1"/>
    <xf numFmtId="0" fontId="6" fillId="4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0" fillId="0" borderId="0" xfId="0" applyFont="1" applyAlignment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5" fillId="0" borderId="1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2" fillId="0" borderId="15" xfId="0" applyFont="1" applyBorder="1"/>
    <xf numFmtId="0" fontId="5" fillId="0" borderId="13" xfId="0" applyFont="1" applyBorder="1" applyAlignment="1">
      <alignment horizontal="center" vertical="center" wrapText="1"/>
    </xf>
    <xf numFmtId="0" fontId="2" fillId="0" borderId="2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28575</xdr:rowOff>
    </xdr:from>
    <xdr:ext cx="2276475" cy="6858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35</xdr:row>
      <xdr:rowOff>28575</xdr:rowOff>
    </xdr:from>
    <xdr:ext cx="2276475" cy="6858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71</xdr:row>
      <xdr:rowOff>28575</xdr:rowOff>
    </xdr:from>
    <xdr:ext cx="2276475" cy="685800"/>
    <xdr:pic>
      <xdr:nvPicPr>
        <xdr:cNvPr id="4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107</xdr:row>
      <xdr:rowOff>28575</xdr:rowOff>
    </xdr:from>
    <xdr:ext cx="2276475" cy="685800"/>
    <xdr:pic>
      <xdr:nvPicPr>
        <xdr:cNvPr id="5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28575</xdr:rowOff>
    </xdr:from>
    <xdr:ext cx="2276475" cy="6858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35</xdr:row>
      <xdr:rowOff>28575</xdr:rowOff>
    </xdr:from>
    <xdr:ext cx="2276475" cy="6858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71</xdr:row>
      <xdr:rowOff>28575</xdr:rowOff>
    </xdr:from>
    <xdr:ext cx="2276475" cy="685800"/>
    <xdr:pic>
      <xdr:nvPicPr>
        <xdr:cNvPr id="4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107</xdr:row>
      <xdr:rowOff>28575</xdr:rowOff>
    </xdr:from>
    <xdr:ext cx="2276475" cy="685800"/>
    <xdr:pic>
      <xdr:nvPicPr>
        <xdr:cNvPr id="5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28575</xdr:rowOff>
    </xdr:from>
    <xdr:ext cx="2276475" cy="6858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35</xdr:row>
      <xdr:rowOff>28575</xdr:rowOff>
    </xdr:from>
    <xdr:ext cx="2276475" cy="6858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71</xdr:row>
      <xdr:rowOff>28575</xdr:rowOff>
    </xdr:from>
    <xdr:ext cx="2276475" cy="685800"/>
    <xdr:pic>
      <xdr:nvPicPr>
        <xdr:cNvPr id="4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107</xdr:row>
      <xdr:rowOff>28575</xdr:rowOff>
    </xdr:from>
    <xdr:ext cx="2276475" cy="685800"/>
    <xdr:pic>
      <xdr:nvPicPr>
        <xdr:cNvPr id="5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28575</xdr:rowOff>
    </xdr:from>
    <xdr:ext cx="2276475" cy="6858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35</xdr:row>
      <xdr:rowOff>28575</xdr:rowOff>
    </xdr:from>
    <xdr:ext cx="2276475" cy="6858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71</xdr:row>
      <xdr:rowOff>28575</xdr:rowOff>
    </xdr:from>
    <xdr:ext cx="2276475" cy="685800"/>
    <xdr:pic>
      <xdr:nvPicPr>
        <xdr:cNvPr id="4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107</xdr:row>
      <xdr:rowOff>28575</xdr:rowOff>
    </xdr:from>
    <xdr:ext cx="2276475" cy="685800"/>
    <xdr:pic>
      <xdr:nvPicPr>
        <xdr:cNvPr id="5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28575</xdr:rowOff>
    </xdr:from>
    <xdr:ext cx="2276475" cy="6858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35</xdr:row>
      <xdr:rowOff>28575</xdr:rowOff>
    </xdr:from>
    <xdr:ext cx="2276475" cy="6858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71</xdr:row>
      <xdr:rowOff>28575</xdr:rowOff>
    </xdr:from>
    <xdr:ext cx="2276475" cy="685800"/>
    <xdr:pic>
      <xdr:nvPicPr>
        <xdr:cNvPr id="4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107</xdr:row>
      <xdr:rowOff>28575</xdr:rowOff>
    </xdr:from>
    <xdr:ext cx="2276475" cy="685800"/>
    <xdr:pic>
      <xdr:nvPicPr>
        <xdr:cNvPr id="5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144</xdr:row>
      <xdr:rowOff>28575</xdr:rowOff>
    </xdr:from>
    <xdr:ext cx="2276475" cy="685800"/>
    <xdr:pic>
      <xdr:nvPicPr>
        <xdr:cNvPr id="6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180</xdr:row>
      <xdr:rowOff>28575</xdr:rowOff>
    </xdr:from>
    <xdr:ext cx="2276475" cy="685800"/>
    <xdr:pic>
      <xdr:nvPicPr>
        <xdr:cNvPr id="7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221</xdr:row>
      <xdr:rowOff>28575</xdr:rowOff>
    </xdr:from>
    <xdr:ext cx="2276475" cy="685800"/>
    <xdr:pic>
      <xdr:nvPicPr>
        <xdr:cNvPr id="8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97"/>
  <sheetViews>
    <sheetView showGridLines="0" topLeftCell="A17" workbookViewId="0">
      <selection sqref="A1:D4"/>
    </sheetView>
  </sheetViews>
  <sheetFormatPr defaultColWidth="14.42578125" defaultRowHeight="15" customHeight="1"/>
  <cols>
    <col min="1" max="1" width="25.85546875" customWidth="1"/>
    <col min="2" max="2" width="20.42578125" customWidth="1"/>
    <col min="3" max="3" width="85.5703125" customWidth="1"/>
    <col min="4" max="4" width="27.5703125" customWidth="1"/>
    <col min="5" max="5" width="36.5703125" customWidth="1"/>
    <col min="6" max="26" width="9.140625" customWidth="1"/>
  </cols>
  <sheetData>
    <row r="1" spans="1:26">
      <c r="A1" s="43" t="s">
        <v>0</v>
      </c>
      <c r="B1" s="44"/>
      <c r="C1" s="44"/>
      <c r="D1" s="45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1"/>
      <c r="B2" s="46"/>
      <c r="C2" s="46"/>
      <c r="D2" s="42"/>
      <c r="E2" s="3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1"/>
      <c r="B3" s="46"/>
      <c r="C3" s="46"/>
      <c r="D3" s="42"/>
      <c r="E3" s="3" t="s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7"/>
      <c r="B4" s="48"/>
      <c r="C4" s="48"/>
      <c r="D4" s="49"/>
      <c r="E4" s="3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0" t="s">
        <v>5</v>
      </c>
      <c r="B5" s="40"/>
      <c r="C5" s="51" t="s">
        <v>6</v>
      </c>
      <c r="D5" s="51" t="s">
        <v>7</v>
      </c>
      <c r="E5" s="33">
        <f>COUNTIF(D10:D27,1)</f>
        <v>13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7"/>
      <c r="B6" s="49"/>
      <c r="C6" s="52"/>
      <c r="D6" s="52"/>
      <c r="E6" s="3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5" t="s">
        <v>8</v>
      </c>
      <c r="B7" s="36"/>
      <c r="C7" s="4" t="s">
        <v>9</v>
      </c>
      <c r="D7" s="4" t="s">
        <v>10</v>
      </c>
      <c r="E7" s="5">
        <f>COUNTIF(D10:D27,0)</f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7" t="s">
        <v>11</v>
      </c>
      <c r="B8" s="38"/>
      <c r="C8" s="6" t="s">
        <v>12</v>
      </c>
      <c r="D8" s="4" t="s">
        <v>13</v>
      </c>
      <c r="E8" s="7" t="s">
        <v>14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8" t="s">
        <v>15</v>
      </c>
      <c r="B9" s="9" t="s">
        <v>16</v>
      </c>
      <c r="C9" s="10" t="s">
        <v>17</v>
      </c>
      <c r="D9" s="10" t="s">
        <v>18</v>
      </c>
      <c r="E9" s="11" t="s">
        <v>19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2">
        <v>1.1000000000000001</v>
      </c>
      <c r="B10" s="53" t="s">
        <v>20</v>
      </c>
      <c r="C10" s="14" t="s">
        <v>21</v>
      </c>
      <c r="D10" s="15">
        <v>0</v>
      </c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2">
        <v>1.2</v>
      </c>
      <c r="B11" s="54"/>
      <c r="C11" s="14" t="s">
        <v>22</v>
      </c>
      <c r="D11" s="17">
        <v>1</v>
      </c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2">
        <v>1.3</v>
      </c>
      <c r="B12" s="52"/>
      <c r="C12" s="14" t="s">
        <v>23</v>
      </c>
      <c r="D12" s="15">
        <v>0</v>
      </c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2">
        <v>2.1</v>
      </c>
      <c r="B13" s="53" t="s">
        <v>24</v>
      </c>
      <c r="C13" s="14" t="s">
        <v>25</v>
      </c>
      <c r="D13" s="15">
        <v>1</v>
      </c>
      <c r="E13" s="1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2">
        <v>2.2000000000000002</v>
      </c>
      <c r="B14" s="54"/>
      <c r="C14" s="14" t="s">
        <v>26</v>
      </c>
      <c r="D14" s="17">
        <v>0</v>
      </c>
      <c r="E14" s="1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2">
        <v>2.2999999999999998</v>
      </c>
      <c r="B15" s="54"/>
      <c r="C15" s="14" t="s">
        <v>27</v>
      </c>
      <c r="D15" s="15">
        <v>0</v>
      </c>
      <c r="E15" s="1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2">
        <v>2.4</v>
      </c>
      <c r="B16" s="52"/>
      <c r="C16" s="14" t="s">
        <v>28</v>
      </c>
      <c r="D16" s="15">
        <v>1</v>
      </c>
      <c r="E16" s="1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2">
        <v>3.1</v>
      </c>
      <c r="B17" s="53" t="s">
        <v>29</v>
      </c>
      <c r="C17" s="14" t="s">
        <v>30</v>
      </c>
      <c r="D17" s="15">
        <v>0</v>
      </c>
      <c r="E17" s="1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2">
        <v>3.2</v>
      </c>
      <c r="B18" s="54"/>
      <c r="C18" s="14" t="s">
        <v>31</v>
      </c>
      <c r="D18" s="17">
        <v>1</v>
      </c>
      <c r="E18" s="1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2">
        <v>3.3</v>
      </c>
      <c r="B19" s="54"/>
      <c r="C19" s="14" t="s">
        <v>32</v>
      </c>
      <c r="D19" s="17">
        <v>1</v>
      </c>
      <c r="E19" s="1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2">
        <v>3.4</v>
      </c>
      <c r="B20" s="52"/>
      <c r="C20" s="14" t="s">
        <v>33</v>
      </c>
      <c r="D20" s="17">
        <v>1</v>
      </c>
      <c r="E20" s="1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12">
        <v>4.0999999999999996</v>
      </c>
      <c r="B21" s="53" t="s">
        <v>34</v>
      </c>
      <c r="C21" s="14" t="s">
        <v>35</v>
      </c>
      <c r="D21" s="17">
        <v>1</v>
      </c>
      <c r="E21" s="1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12">
        <v>4.2</v>
      </c>
      <c r="B22" s="54"/>
      <c r="C22" s="14" t="s">
        <v>36</v>
      </c>
      <c r="D22" s="17">
        <v>1</v>
      </c>
      <c r="E22" s="1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12">
        <v>4.3</v>
      </c>
      <c r="B23" s="52"/>
      <c r="C23" s="14" t="s">
        <v>37</v>
      </c>
      <c r="D23" s="17">
        <v>1</v>
      </c>
      <c r="E23" s="1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12">
        <v>5.0999999999999996</v>
      </c>
      <c r="B24" s="53" t="s">
        <v>38</v>
      </c>
      <c r="C24" s="14" t="s">
        <v>39</v>
      </c>
      <c r="D24" s="17">
        <v>1</v>
      </c>
      <c r="E24" s="1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12">
        <v>5.2</v>
      </c>
      <c r="B25" s="54"/>
      <c r="C25" s="14" t="s">
        <v>40</v>
      </c>
      <c r="D25" s="17">
        <v>1</v>
      </c>
      <c r="E25" s="1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12">
        <v>5.3</v>
      </c>
      <c r="B26" s="54"/>
      <c r="C26" s="14" t="s">
        <v>41</v>
      </c>
      <c r="D26" s="17">
        <v>1</v>
      </c>
      <c r="E26" s="1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12">
        <v>5.4</v>
      </c>
      <c r="B27" s="52"/>
      <c r="C27" s="14" t="s">
        <v>42</v>
      </c>
      <c r="D27" s="17">
        <v>1</v>
      </c>
      <c r="E27" s="1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9" t="s">
        <v>43</v>
      </c>
      <c r="B28" s="40"/>
      <c r="C28" s="18" t="s">
        <v>44</v>
      </c>
      <c r="D28" s="19">
        <f>SUM(D10:D27)</f>
        <v>13</v>
      </c>
      <c r="E28" s="1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41"/>
      <c r="B29" s="42"/>
      <c r="C29" s="20" t="s">
        <v>45</v>
      </c>
      <c r="D29" s="21">
        <f>D28/18</f>
        <v>0.72222222222222221</v>
      </c>
      <c r="E29" s="2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3" t="s">
        <v>46</v>
      </c>
      <c r="B30" s="24" t="s">
        <v>47</v>
      </c>
      <c r="C30" s="20"/>
      <c r="D30" s="21"/>
      <c r="E30" s="2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3" t="s">
        <v>48</v>
      </c>
      <c r="B31" s="24" t="s">
        <v>49</v>
      </c>
      <c r="C31" s="25"/>
      <c r="D31" s="25"/>
      <c r="E31" s="1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3" t="s">
        <v>50</v>
      </c>
      <c r="B32" s="24" t="s">
        <v>51</v>
      </c>
      <c r="C32" s="26"/>
      <c r="D32" s="26"/>
      <c r="E32" s="2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37" t="s">
        <v>52</v>
      </c>
      <c r="B33" s="38"/>
      <c r="C33" s="27"/>
      <c r="D33" s="27" t="s">
        <v>53</v>
      </c>
      <c r="E33" s="28" t="s">
        <v>54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9"/>
      <c r="C34" s="29"/>
      <c r="D34" s="29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9"/>
      <c r="C35" s="29"/>
      <c r="D35" s="29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43" t="s">
        <v>0</v>
      </c>
      <c r="B36" s="44"/>
      <c r="C36" s="44"/>
      <c r="D36" s="45"/>
      <c r="E36" s="1" t="s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41"/>
      <c r="B37" s="46"/>
      <c r="C37" s="46"/>
      <c r="D37" s="42"/>
      <c r="E37" s="3" t="s">
        <v>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41"/>
      <c r="B38" s="46"/>
      <c r="C38" s="46"/>
      <c r="D38" s="42"/>
      <c r="E38" s="3" t="s">
        <v>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47"/>
      <c r="B39" s="48"/>
      <c r="C39" s="48"/>
      <c r="D39" s="49"/>
      <c r="E39" s="3" t="s">
        <v>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0" t="s">
        <v>5</v>
      </c>
      <c r="B40" s="40"/>
      <c r="C40" s="51" t="s">
        <v>6</v>
      </c>
      <c r="D40" s="51" t="s">
        <v>7</v>
      </c>
      <c r="E40" s="33">
        <f>COUNTIF(D45:D62,1)</f>
        <v>13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47"/>
      <c r="B41" s="49"/>
      <c r="C41" s="52"/>
      <c r="D41" s="52"/>
      <c r="E41" s="3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35" t="s">
        <v>8</v>
      </c>
      <c r="B42" s="36"/>
      <c r="C42" s="4" t="s">
        <v>9</v>
      </c>
      <c r="D42" s="4" t="s">
        <v>10</v>
      </c>
      <c r="E42" s="5">
        <f>COUNTIF(D45:D62,0)</f>
        <v>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37" t="s">
        <v>11</v>
      </c>
      <c r="B43" s="38"/>
      <c r="C43" s="6" t="s">
        <v>55</v>
      </c>
      <c r="D43" s="4" t="s">
        <v>13</v>
      </c>
      <c r="E43" s="7" t="s">
        <v>14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8" t="s">
        <v>15</v>
      </c>
      <c r="B44" s="9" t="s">
        <v>16</v>
      </c>
      <c r="C44" s="10" t="s">
        <v>17</v>
      </c>
      <c r="D44" s="10" t="s">
        <v>18</v>
      </c>
      <c r="E44" s="11" t="s">
        <v>19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12">
        <v>1.1000000000000001</v>
      </c>
      <c r="B45" s="53" t="s">
        <v>20</v>
      </c>
      <c r="C45" s="14" t="s">
        <v>21</v>
      </c>
      <c r="D45" s="15">
        <v>0</v>
      </c>
      <c r="E45" s="1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12">
        <v>1.2</v>
      </c>
      <c r="B46" s="54"/>
      <c r="C46" s="14" t="s">
        <v>22</v>
      </c>
      <c r="D46" s="17">
        <v>1</v>
      </c>
      <c r="E46" s="1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12">
        <v>1.3</v>
      </c>
      <c r="B47" s="52"/>
      <c r="C47" s="14" t="s">
        <v>23</v>
      </c>
      <c r="D47" s="15">
        <v>0</v>
      </c>
      <c r="E47" s="1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12">
        <v>2.1</v>
      </c>
      <c r="B48" s="53" t="s">
        <v>24</v>
      </c>
      <c r="C48" s="14" t="s">
        <v>25</v>
      </c>
      <c r="D48" s="17">
        <v>1</v>
      </c>
      <c r="E48" s="1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12">
        <v>2.2000000000000002</v>
      </c>
      <c r="B49" s="54"/>
      <c r="C49" s="14" t="s">
        <v>26</v>
      </c>
      <c r="D49" s="15">
        <v>0</v>
      </c>
      <c r="E49" s="1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12">
        <v>2.2999999999999998</v>
      </c>
      <c r="B50" s="54"/>
      <c r="C50" s="14" t="s">
        <v>27</v>
      </c>
      <c r="D50" s="17">
        <v>1</v>
      </c>
      <c r="E50" s="1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12">
        <v>2.4</v>
      </c>
      <c r="B51" s="52"/>
      <c r="C51" s="14" t="s">
        <v>28</v>
      </c>
      <c r="D51" s="15">
        <v>1</v>
      </c>
      <c r="E51" s="1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12">
        <v>3.1</v>
      </c>
      <c r="B52" s="53" t="s">
        <v>29</v>
      </c>
      <c r="C52" s="14" t="s">
        <v>30</v>
      </c>
      <c r="D52" s="17">
        <v>0</v>
      </c>
      <c r="E52" s="1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12">
        <v>3.2</v>
      </c>
      <c r="B53" s="54"/>
      <c r="C53" s="14" t="s">
        <v>31</v>
      </c>
      <c r="D53" s="15">
        <v>0</v>
      </c>
      <c r="E53" s="1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12">
        <v>3.3</v>
      </c>
      <c r="B54" s="54"/>
      <c r="C54" s="14" t="s">
        <v>32</v>
      </c>
      <c r="D54" s="17">
        <v>1</v>
      </c>
      <c r="E54" s="1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12">
        <v>3.4</v>
      </c>
      <c r="B55" s="52"/>
      <c r="C55" s="14" t="s">
        <v>33</v>
      </c>
      <c r="D55" s="17">
        <v>1</v>
      </c>
      <c r="E55" s="1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12">
        <v>4.0999999999999996</v>
      </c>
      <c r="B56" s="53" t="s">
        <v>34</v>
      </c>
      <c r="C56" s="14" t="s">
        <v>56</v>
      </c>
      <c r="D56" s="17">
        <v>1</v>
      </c>
      <c r="E56" s="1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12">
        <v>4.2</v>
      </c>
      <c r="B57" s="54"/>
      <c r="C57" s="14" t="s">
        <v>36</v>
      </c>
      <c r="D57" s="17">
        <v>1</v>
      </c>
      <c r="E57" s="1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12">
        <v>4.3</v>
      </c>
      <c r="B58" s="52"/>
      <c r="C58" s="14" t="s">
        <v>37</v>
      </c>
      <c r="D58" s="17">
        <v>1</v>
      </c>
      <c r="E58" s="1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12">
        <v>5.0999999999999996</v>
      </c>
      <c r="B59" s="53" t="s">
        <v>38</v>
      </c>
      <c r="C59" s="14" t="s">
        <v>39</v>
      </c>
      <c r="D59" s="17">
        <v>1</v>
      </c>
      <c r="E59" s="1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12">
        <v>5.2</v>
      </c>
      <c r="B60" s="54"/>
      <c r="C60" s="14" t="s">
        <v>40</v>
      </c>
      <c r="D60" s="17">
        <v>1</v>
      </c>
      <c r="E60" s="1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12">
        <v>5.3</v>
      </c>
      <c r="B61" s="54"/>
      <c r="C61" s="14" t="s">
        <v>41</v>
      </c>
      <c r="D61" s="17">
        <v>1</v>
      </c>
      <c r="E61" s="1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12">
        <v>5.4</v>
      </c>
      <c r="B62" s="52"/>
      <c r="C62" s="14" t="s">
        <v>42</v>
      </c>
      <c r="D62" s="17">
        <v>1</v>
      </c>
      <c r="E62" s="1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39" t="s">
        <v>43</v>
      </c>
      <c r="B63" s="40"/>
      <c r="C63" s="18" t="s">
        <v>44</v>
      </c>
      <c r="D63" s="19">
        <f>SUM(D45:D62)</f>
        <v>13</v>
      </c>
      <c r="E63" s="1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41"/>
      <c r="B64" s="42"/>
      <c r="C64" s="20" t="s">
        <v>45</v>
      </c>
      <c r="D64" s="21">
        <f>D63/18</f>
        <v>0.72222222222222221</v>
      </c>
      <c r="E64" s="2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3" t="s">
        <v>46</v>
      </c>
      <c r="B65" s="24" t="s">
        <v>47</v>
      </c>
      <c r="C65" s="20"/>
      <c r="D65" s="21"/>
      <c r="E65" s="2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3" t="s">
        <v>48</v>
      </c>
      <c r="B66" s="24" t="s">
        <v>49</v>
      </c>
      <c r="C66" s="25"/>
      <c r="D66" s="25"/>
      <c r="E66" s="1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3" t="s">
        <v>50</v>
      </c>
      <c r="B67" s="24" t="s">
        <v>51</v>
      </c>
      <c r="C67" s="26"/>
      <c r="D67" s="26"/>
      <c r="E67" s="2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37" t="s">
        <v>57</v>
      </c>
      <c r="B68" s="38"/>
      <c r="C68" s="27"/>
      <c r="D68" s="27" t="s">
        <v>53</v>
      </c>
      <c r="E68" s="28" t="s">
        <v>58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9"/>
      <c r="C69" s="29"/>
      <c r="D69" s="2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9"/>
      <c r="C70" s="29"/>
      <c r="D70" s="2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9"/>
      <c r="C71" s="29"/>
      <c r="D71" s="29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43" t="s">
        <v>0</v>
      </c>
      <c r="B72" s="44"/>
      <c r="C72" s="44"/>
      <c r="D72" s="45"/>
      <c r="E72" s="1" t="s">
        <v>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41"/>
      <c r="B73" s="46"/>
      <c r="C73" s="46"/>
      <c r="D73" s="42"/>
      <c r="E73" s="3" t="s">
        <v>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41"/>
      <c r="B74" s="46"/>
      <c r="C74" s="46"/>
      <c r="D74" s="42"/>
      <c r="E74" s="3" t="s">
        <v>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47"/>
      <c r="B75" s="48"/>
      <c r="C75" s="48"/>
      <c r="D75" s="49"/>
      <c r="E75" s="3" t="s">
        <v>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50" t="s">
        <v>5</v>
      </c>
      <c r="B76" s="40"/>
      <c r="C76" s="51" t="s">
        <v>6</v>
      </c>
      <c r="D76" s="51" t="s">
        <v>7</v>
      </c>
      <c r="E76" s="33">
        <f>COUNTIF(D81:D98,1)</f>
        <v>12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47"/>
      <c r="B77" s="49"/>
      <c r="C77" s="52"/>
      <c r="D77" s="52"/>
      <c r="E77" s="3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35" t="s">
        <v>8</v>
      </c>
      <c r="B78" s="36"/>
      <c r="C78" s="4" t="s">
        <v>9</v>
      </c>
      <c r="D78" s="4" t="s">
        <v>10</v>
      </c>
      <c r="E78" s="5">
        <f>COUNTIF(D81:D98,0)</f>
        <v>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37" t="s">
        <v>11</v>
      </c>
      <c r="B79" s="38"/>
      <c r="C79" s="6" t="s">
        <v>59</v>
      </c>
      <c r="D79" s="4" t="s">
        <v>13</v>
      </c>
      <c r="E79" s="7" t="s">
        <v>14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8" t="s">
        <v>15</v>
      </c>
      <c r="B80" s="9" t="s">
        <v>16</v>
      </c>
      <c r="C80" s="10" t="s">
        <v>17</v>
      </c>
      <c r="D80" s="10" t="s">
        <v>18</v>
      </c>
      <c r="E80" s="11" t="s">
        <v>19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12">
        <v>1.1000000000000001</v>
      </c>
      <c r="B81" s="53" t="s">
        <v>20</v>
      </c>
      <c r="C81" s="14" t="s">
        <v>21</v>
      </c>
      <c r="D81" s="15">
        <v>0</v>
      </c>
      <c r="E81" s="1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12">
        <v>1.2</v>
      </c>
      <c r="B82" s="54"/>
      <c r="C82" s="14" t="s">
        <v>22</v>
      </c>
      <c r="D82" s="17">
        <v>1</v>
      </c>
      <c r="E82" s="1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12">
        <v>1.3</v>
      </c>
      <c r="B83" s="52"/>
      <c r="C83" s="14" t="s">
        <v>23</v>
      </c>
      <c r="D83" s="15">
        <v>0</v>
      </c>
      <c r="E83" s="1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12">
        <v>2.1</v>
      </c>
      <c r="B84" s="53" t="s">
        <v>24</v>
      </c>
      <c r="C84" s="14" t="s">
        <v>25</v>
      </c>
      <c r="D84" s="17">
        <v>1</v>
      </c>
      <c r="E84" s="1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12">
        <v>2.2000000000000002</v>
      </c>
      <c r="B85" s="54"/>
      <c r="C85" s="14" t="s">
        <v>26</v>
      </c>
      <c r="D85" s="15">
        <v>0</v>
      </c>
      <c r="E85" s="1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12">
        <v>2.2999999999999998</v>
      </c>
      <c r="B86" s="54"/>
      <c r="C86" s="14" t="s">
        <v>27</v>
      </c>
      <c r="D86" s="17">
        <v>1</v>
      </c>
      <c r="E86" s="1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12">
        <v>2.4</v>
      </c>
      <c r="B87" s="52"/>
      <c r="C87" s="14" t="s">
        <v>28</v>
      </c>
      <c r="D87" s="15">
        <v>1</v>
      </c>
      <c r="E87" s="1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12">
        <v>3.1</v>
      </c>
      <c r="B88" s="53" t="s">
        <v>29</v>
      </c>
      <c r="C88" s="14" t="s">
        <v>30</v>
      </c>
      <c r="D88" s="17">
        <v>0</v>
      </c>
      <c r="E88" s="1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12">
        <v>3.2</v>
      </c>
      <c r="B89" s="54"/>
      <c r="C89" s="14" t="s">
        <v>31</v>
      </c>
      <c r="D89" s="15">
        <v>0</v>
      </c>
      <c r="E89" s="1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12">
        <v>3.3</v>
      </c>
      <c r="B90" s="54"/>
      <c r="C90" s="14" t="s">
        <v>32</v>
      </c>
      <c r="D90" s="17">
        <v>1</v>
      </c>
      <c r="E90" s="1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12">
        <v>3.4</v>
      </c>
      <c r="B91" s="52"/>
      <c r="C91" s="14" t="s">
        <v>33</v>
      </c>
      <c r="D91" s="15">
        <v>0</v>
      </c>
      <c r="E91" s="1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12">
        <v>4.0999999999999996</v>
      </c>
      <c r="B92" s="53" t="s">
        <v>34</v>
      </c>
      <c r="C92" s="14" t="s">
        <v>60</v>
      </c>
      <c r="D92" s="17">
        <v>1</v>
      </c>
      <c r="E92" s="1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12">
        <v>4.2</v>
      </c>
      <c r="B93" s="54"/>
      <c r="C93" s="14" t="s">
        <v>36</v>
      </c>
      <c r="D93" s="17">
        <v>1</v>
      </c>
      <c r="E93" s="1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12">
        <v>4.3</v>
      </c>
      <c r="B94" s="52"/>
      <c r="C94" s="14" t="s">
        <v>37</v>
      </c>
      <c r="D94" s="17">
        <v>1</v>
      </c>
      <c r="E94" s="1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12">
        <v>5.0999999999999996</v>
      </c>
      <c r="B95" s="53" t="s">
        <v>38</v>
      </c>
      <c r="C95" s="14" t="s">
        <v>39</v>
      </c>
      <c r="D95" s="17">
        <v>1</v>
      </c>
      <c r="E95" s="1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12">
        <v>5.2</v>
      </c>
      <c r="B96" s="54"/>
      <c r="C96" s="14" t="s">
        <v>40</v>
      </c>
      <c r="D96" s="17">
        <v>1</v>
      </c>
      <c r="E96" s="1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12">
        <v>5.3</v>
      </c>
      <c r="B97" s="54"/>
      <c r="C97" s="14" t="s">
        <v>41</v>
      </c>
      <c r="D97" s="17">
        <v>1</v>
      </c>
      <c r="E97" s="1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12">
        <v>5.4</v>
      </c>
      <c r="B98" s="52"/>
      <c r="C98" s="14" t="s">
        <v>42</v>
      </c>
      <c r="D98" s="17">
        <v>1</v>
      </c>
      <c r="E98" s="1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39" t="s">
        <v>43</v>
      </c>
      <c r="B99" s="40"/>
      <c r="C99" s="18" t="s">
        <v>44</v>
      </c>
      <c r="D99" s="19">
        <f>SUM(D81:D98)</f>
        <v>12</v>
      </c>
      <c r="E99" s="1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41"/>
      <c r="B100" s="42"/>
      <c r="C100" s="20" t="s">
        <v>45</v>
      </c>
      <c r="D100" s="21">
        <f>D99/18</f>
        <v>0.66666666666666663</v>
      </c>
      <c r="E100" s="2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3" t="s">
        <v>46</v>
      </c>
      <c r="B101" s="24" t="s">
        <v>47</v>
      </c>
      <c r="C101" s="20"/>
      <c r="D101" s="21"/>
      <c r="E101" s="2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3" t="s">
        <v>48</v>
      </c>
      <c r="B102" s="24" t="s">
        <v>49</v>
      </c>
      <c r="C102" s="25"/>
      <c r="D102" s="25"/>
      <c r="E102" s="1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3" t="s">
        <v>50</v>
      </c>
      <c r="B103" s="24" t="s">
        <v>51</v>
      </c>
      <c r="C103" s="26"/>
      <c r="D103" s="26"/>
      <c r="E103" s="2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37" t="s">
        <v>57</v>
      </c>
      <c r="B104" s="38"/>
      <c r="C104" s="27"/>
      <c r="D104" s="27" t="s">
        <v>53</v>
      </c>
      <c r="E104" s="28" t="s">
        <v>61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9"/>
      <c r="C105" s="29"/>
      <c r="D105" s="2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9"/>
      <c r="C106" s="29"/>
      <c r="D106" s="2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9"/>
      <c r="C107" s="29"/>
      <c r="D107" s="2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43" t="s">
        <v>0</v>
      </c>
      <c r="B108" s="44"/>
      <c r="C108" s="44"/>
      <c r="D108" s="45"/>
      <c r="E108" s="1" t="s">
        <v>1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41"/>
      <c r="B109" s="46"/>
      <c r="C109" s="46"/>
      <c r="D109" s="42"/>
      <c r="E109" s="3" t="s">
        <v>2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41"/>
      <c r="B110" s="46"/>
      <c r="C110" s="46"/>
      <c r="D110" s="42"/>
      <c r="E110" s="3" t="s">
        <v>3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47"/>
      <c r="B111" s="48"/>
      <c r="C111" s="48"/>
      <c r="D111" s="49"/>
      <c r="E111" s="3" t="s">
        <v>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50" t="s">
        <v>5</v>
      </c>
      <c r="B112" s="40"/>
      <c r="C112" s="51" t="s">
        <v>6</v>
      </c>
      <c r="D112" s="51" t="s">
        <v>7</v>
      </c>
      <c r="E112" s="33">
        <f>COUNTIF(D117:D134,1)</f>
        <v>14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47"/>
      <c r="B113" s="49"/>
      <c r="C113" s="52"/>
      <c r="D113" s="52"/>
      <c r="E113" s="3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35" t="s">
        <v>8</v>
      </c>
      <c r="B114" s="36"/>
      <c r="C114" s="4" t="s">
        <v>9</v>
      </c>
      <c r="D114" s="4" t="s">
        <v>10</v>
      </c>
      <c r="E114" s="5">
        <f>COUNTIF(D117:D134,0)</f>
        <v>4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37" t="s">
        <v>11</v>
      </c>
      <c r="B115" s="38"/>
      <c r="C115" s="6" t="s">
        <v>62</v>
      </c>
      <c r="D115" s="4" t="s">
        <v>13</v>
      </c>
      <c r="E115" s="7" t="s">
        <v>14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8" t="s">
        <v>15</v>
      </c>
      <c r="B116" s="9" t="s">
        <v>16</v>
      </c>
      <c r="C116" s="10" t="s">
        <v>17</v>
      </c>
      <c r="D116" s="10" t="s">
        <v>18</v>
      </c>
      <c r="E116" s="11" t="s">
        <v>19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12">
        <v>1.1000000000000001</v>
      </c>
      <c r="B117" s="53" t="s">
        <v>20</v>
      </c>
      <c r="C117" s="14" t="s">
        <v>21</v>
      </c>
      <c r="D117" s="15">
        <v>0</v>
      </c>
      <c r="E117" s="1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12">
        <v>1.2</v>
      </c>
      <c r="B118" s="54"/>
      <c r="C118" s="14" t="s">
        <v>22</v>
      </c>
      <c r="D118" s="17">
        <v>1</v>
      </c>
      <c r="E118" s="1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12">
        <v>1.3</v>
      </c>
      <c r="B119" s="52"/>
      <c r="C119" s="14" t="s">
        <v>23</v>
      </c>
      <c r="D119" s="15">
        <v>0</v>
      </c>
      <c r="E119" s="1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12">
        <v>2.1</v>
      </c>
      <c r="B120" s="53" t="s">
        <v>24</v>
      </c>
      <c r="C120" s="14" t="s">
        <v>25</v>
      </c>
      <c r="D120" s="17">
        <v>1</v>
      </c>
      <c r="E120" s="1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12">
        <v>2.2000000000000002</v>
      </c>
      <c r="B121" s="54"/>
      <c r="C121" s="14" t="s">
        <v>26</v>
      </c>
      <c r="D121" s="17">
        <v>1</v>
      </c>
      <c r="E121" s="1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12">
        <v>2.2999999999999998</v>
      </c>
      <c r="B122" s="54"/>
      <c r="C122" s="14" t="s">
        <v>27</v>
      </c>
      <c r="D122" s="17">
        <v>1</v>
      </c>
      <c r="E122" s="1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12">
        <v>2.4</v>
      </c>
      <c r="B123" s="52"/>
      <c r="C123" s="14" t="s">
        <v>28</v>
      </c>
      <c r="D123" s="15">
        <v>1</v>
      </c>
      <c r="E123" s="1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12">
        <v>3.1</v>
      </c>
      <c r="B124" s="53" t="s">
        <v>29</v>
      </c>
      <c r="C124" s="14" t="s">
        <v>30</v>
      </c>
      <c r="D124" s="17">
        <v>0</v>
      </c>
      <c r="E124" s="1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12">
        <v>3.2</v>
      </c>
      <c r="B125" s="54"/>
      <c r="C125" s="14" t="s">
        <v>31</v>
      </c>
      <c r="D125" s="15">
        <v>0</v>
      </c>
      <c r="E125" s="1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12">
        <v>3.3</v>
      </c>
      <c r="B126" s="54"/>
      <c r="C126" s="14" t="s">
        <v>32</v>
      </c>
      <c r="D126" s="17">
        <v>1</v>
      </c>
      <c r="E126" s="1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12">
        <v>3.4</v>
      </c>
      <c r="B127" s="52"/>
      <c r="C127" s="14" t="s">
        <v>33</v>
      </c>
      <c r="D127" s="17">
        <v>1</v>
      </c>
      <c r="E127" s="1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12">
        <v>4.0999999999999996</v>
      </c>
      <c r="B128" s="53" t="s">
        <v>34</v>
      </c>
      <c r="C128" s="14" t="s">
        <v>63</v>
      </c>
      <c r="D128" s="17">
        <v>1</v>
      </c>
      <c r="E128" s="1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12">
        <v>4.2</v>
      </c>
      <c r="B129" s="54"/>
      <c r="C129" s="14" t="s">
        <v>36</v>
      </c>
      <c r="D129" s="17">
        <v>1</v>
      </c>
      <c r="E129" s="1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12">
        <v>4.3</v>
      </c>
      <c r="B130" s="52"/>
      <c r="C130" s="14" t="s">
        <v>37</v>
      </c>
      <c r="D130" s="17">
        <v>1</v>
      </c>
      <c r="E130" s="1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12">
        <v>5.0999999999999996</v>
      </c>
      <c r="B131" s="53" t="s">
        <v>38</v>
      </c>
      <c r="C131" s="14" t="s">
        <v>39</v>
      </c>
      <c r="D131" s="17">
        <v>1</v>
      </c>
      <c r="E131" s="1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12">
        <v>5.2</v>
      </c>
      <c r="B132" s="54"/>
      <c r="C132" s="14" t="s">
        <v>40</v>
      </c>
      <c r="D132" s="17">
        <v>1</v>
      </c>
      <c r="E132" s="1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12">
        <v>5.3</v>
      </c>
      <c r="B133" s="54"/>
      <c r="C133" s="14" t="s">
        <v>41</v>
      </c>
      <c r="D133" s="17">
        <v>1</v>
      </c>
      <c r="E133" s="1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12">
        <v>5.4</v>
      </c>
      <c r="B134" s="52"/>
      <c r="C134" s="14" t="s">
        <v>42</v>
      </c>
      <c r="D134" s="17">
        <v>1</v>
      </c>
      <c r="E134" s="1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39" t="s">
        <v>43</v>
      </c>
      <c r="B135" s="40"/>
      <c r="C135" s="18" t="s">
        <v>44</v>
      </c>
      <c r="D135" s="19">
        <f>SUM(D117:D134)</f>
        <v>14</v>
      </c>
      <c r="E135" s="1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41"/>
      <c r="B136" s="42"/>
      <c r="C136" s="20" t="s">
        <v>45</v>
      </c>
      <c r="D136" s="21">
        <f>D135/18</f>
        <v>0.77777777777777779</v>
      </c>
      <c r="E136" s="2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3" t="s">
        <v>46</v>
      </c>
      <c r="B137" s="24" t="s">
        <v>47</v>
      </c>
      <c r="C137" s="20"/>
      <c r="D137" s="21"/>
      <c r="E137" s="2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3" t="s">
        <v>48</v>
      </c>
      <c r="B138" s="24" t="s">
        <v>49</v>
      </c>
      <c r="C138" s="25"/>
      <c r="D138" s="25"/>
      <c r="E138" s="1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3" t="s">
        <v>50</v>
      </c>
      <c r="B139" s="24" t="s">
        <v>51</v>
      </c>
      <c r="C139" s="26"/>
      <c r="D139" s="26"/>
      <c r="E139" s="2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37" t="s">
        <v>57</v>
      </c>
      <c r="B140" s="38"/>
      <c r="C140" s="27"/>
      <c r="D140" s="27" t="s">
        <v>53</v>
      </c>
      <c r="E140" s="28" t="s">
        <v>64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9"/>
      <c r="C141" s="29"/>
      <c r="D141" s="2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9"/>
      <c r="C142" s="29"/>
      <c r="D142" s="2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9"/>
      <c r="C143" s="29"/>
      <c r="D143" s="2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43" t="s">
        <v>0</v>
      </c>
      <c r="B144" s="44"/>
      <c r="C144" s="44"/>
      <c r="D144" s="45"/>
      <c r="E144" s="1" t="s">
        <v>1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41"/>
      <c r="B145" s="46"/>
      <c r="C145" s="46"/>
      <c r="D145" s="42"/>
      <c r="E145" s="3" t="s">
        <v>2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41"/>
      <c r="B146" s="46"/>
      <c r="C146" s="46"/>
      <c r="D146" s="42"/>
      <c r="E146" s="3" t="s">
        <v>3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47"/>
      <c r="B147" s="48"/>
      <c r="C147" s="48"/>
      <c r="D147" s="49"/>
      <c r="E147" s="3" t="s">
        <v>4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50" t="s">
        <v>5</v>
      </c>
      <c r="B148" s="40"/>
      <c r="C148" s="51" t="s">
        <v>6</v>
      </c>
      <c r="D148" s="51" t="s">
        <v>7</v>
      </c>
      <c r="E148" s="33">
        <f>COUNTIF(D153:D170,1)</f>
        <v>13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47"/>
      <c r="B149" s="49"/>
      <c r="C149" s="52"/>
      <c r="D149" s="52"/>
      <c r="E149" s="3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35" t="s">
        <v>8</v>
      </c>
      <c r="B150" s="36"/>
      <c r="C150" s="4" t="s">
        <v>9</v>
      </c>
      <c r="D150" s="4" t="s">
        <v>10</v>
      </c>
      <c r="E150" s="5">
        <f>COUNTIF(D153:D170,0)</f>
        <v>5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37" t="s">
        <v>11</v>
      </c>
      <c r="B151" s="38"/>
      <c r="C151" s="6" t="s">
        <v>65</v>
      </c>
      <c r="D151" s="4" t="s">
        <v>13</v>
      </c>
      <c r="E151" s="7" t="s">
        <v>14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8" t="s">
        <v>15</v>
      </c>
      <c r="B152" s="9" t="s">
        <v>16</v>
      </c>
      <c r="C152" s="10" t="s">
        <v>17</v>
      </c>
      <c r="D152" s="10" t="s">
        <v>18</v>
      </c>
      <c r="E152" s="11" t="s">
        <v>19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12">
        <v>1.1000000000000001</v>
      </c>
      <c r="B153" s="53" t="s">
        <v>20</v>
      </c>
      <c r="C153" s="14" t="s">
        <v>21</v>
      </c>
      <c r="D153" s="15">
        <v>0</v>
      </c>
      <c r="E153" s="1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12">
        <v>1.2</v>
      </c>
      <c r="B154" s="54"/>
      <c r="C154" s="14" t="s">
        <v>22</v>
      </c>
      <c r="D154" s="17">
        <v>1</v>
      </c>
      <c r="E154" s="1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12">
        <v>1.3</v>
      </c>
      <c r="B155" s="52"/>
      <c r="C155" s="14" t="s">
        <v>23</v>
      </c>
      <c r="D155" s="15">
        <v>0</v>
      </c>
      <c r="E155" s="1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12">
        <v>2.1</v>
      </c>
      <c r="B156" s="53" t="s">
        <v>24</v>
      </c>
      <c r="C156" s="14" t="s">
        <v>25</v>
      </c>
      <c r="D156" s="17">
        <v>1</v>
      </c>
      <c r="E156" s="1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12">
        <v>2.2000000000000002</v>
      </c>
      <c r="B157" s="54"/>
      <c r="C157" s="14" t="s">
        <v>26</v>
      </c>
      <c r="D157" s="15">
        <v>0</v>
      </c>
      <c r="E157" s="1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12">
        <v>2.2999999999999998</v>
      </c>
      <c r="B158" s="54"/>
      <c r="C158" s="14" t="s">
        <v>27</v>
      </c>
      <c r="D158" s="17">
        <v>1</v>
      </c>
      <c r="E158" s="1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12">
        <v>2.4</v>
      </c>
      <c r="B159" s="52"/>
      <c r="C159" s="14" t="s">
        <v>28</v>
      </c>
      <c r="D159" s="15">
        <v>1</v>
      </c>
      <c r="E159" s="1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12">
        <v>3.1</v>
      </c>
      <c r="B160" s="53" t="s">
        <v>29</v>
      </c>
      <c r="C160" s="14" t="s">
        <v>30</v>
      </c>
      <c r="D160" s="17">
        <v>0</v>
      </c>
      <c r="E160" s="1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12">
        <v>3.2</v>
      </c>
      <c r="B161" s="54"/>
      <c r="C161" s="14" t="s">
        <v>31</v>
      </c>
      <c r="D161" s="15">
        <v>0</v>
      </c>
      <c r="E161" s="1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12">
        <v>3.3</v>
      </c>
      <c r="B162" s="54"/>
      <c r="C162" s="14" t="s">
        <v>32</v>
      </c>
      <c r="D162" s="17">
        <v>1</v>
      </c>
      <c r="E162" s="1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12">
        <v>3.4</v>
      </c>
      <c r="B163" s="52"/>
      <c r="C163" s="14" t="s">
        <v>33</v>
      </c>
      <c r="D163" s="17">
        <v>1</v>
      </c>
      <c r="E163" s="1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12">
        <v>4.0999999999999996</v>
      </c>
      <c r="B164" s="53" t="s">
        <v>34</v>
      </c>
      <c r="C164" s="14" t="s">
        <v>66</v>
      </c>
      <c r="D164" s="17">
        <v>1</v>
      </c>
      <c r="E164" s="1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12">
        <v>4.2</v>
      </c>
      <c r="B165" s="54"/>
      <c r="C165" s="14" t="s">
        <v>36</v>
      </c>
      <c r="D165" s="17">
        <v>1</v>
      </c>
      <c r="E165" s="1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12">
        <v>4.3</v>
      </c>
      <c r="B166" s="52"/>
      <c r="C166" s="14" t="s">
        <v>37</v>
      </c>
      <c r="D166" s="17">
        <v>1</v>
      </c>
      <c r="E166" s="1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12">
        <v>5.0999999999999996</v>
      </c>
      <c r="B167" s="53" t="s">
        <v>38</v>
      </c>
      <c r="C167" s="14" t="s">
        <v>39</v>
      </c>
      <c r="D167" s="17">
        <v>1</v>
      </c>
      <c r="E167" s="1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12">
        <v>5.2</v>
      </c>
      <c r="B168" s="54"/>
      <c r="C168" s="14" t="s">
        <v>40</v>
      </c>
      <c r="D168" s="17">
        <v>1</v>
      </c>
      <c r="E168" s="1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12">
        <v>5.3</v>
      </c>
      <c r="B169" s="54"/>
      <c r="C169" s="14" t="s">
        <v>41</v>
      </c>
      <c r="D169" s="17">
        <v>1</v>
      </c>
      <c r="E169" s="1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12">
        <v>5.4</v>
      </c>
      <c r="B170" s="52"/>
      <c r="C170" s="14" t="s">
        <v>42</v>
      </c>
      <c r="D170" s="17">
        <v>1</v>
      </c>
      <c r="E170" s="1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39" t="s">
        <v>43</v>
      </c>
      <c r="B171" s="40"/>
      <c r="C171" s="18" t="s">
        <v>44</v>
      </c>
      <c r="D171" s="19">
        <f>SUM(D153:D170)</f>
        <v>13</v>
      </c>
      <c r="E171" s="1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41"/>
      <c r="B172" s="42"/>
      <c r="C172" s="20" t="s">
        <v>45</v>
      </c>
      <c r="D172" s="21">
        <f>D171/18</f>
        <v>0.72222222222222221</v>
      </c>
      <c r="E172" s="2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3" t="s">
        <v>46</v>
      </c>
      <c r="B173" s="24" t="s">
        <v>47</v>
      </c>
      <c r="C173" s="20"/>
      <c r="D173" s="21"/>
      <c r="E173" s="2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3" t="s">
        <v>48</v>
      </c>
      <c r="B174" s="24" t="s">
        <v>49</v>
      </c>
      <c r="C174" s="25"/>
      <c r="D174" s="25"/>
      <c r="E174" s="1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3" t="s">
        <v>50</v>
      </c>
      <c r="B175" s="24" t="s">
        <v>51</v>
      </c>
      <c r="C175" s="26"/>
      <c r="D175" s="26"/>
      <c r="E175" s="2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37" t="s">
        <v>57</v>
      </c>
      <c r="B176" s="38"/>
      <c r="C176" s="27"/>
      <c r="D176" s="27" t="s">
        <v>53</v>
      </c>
      <c r="E176" s="28" t="s">
        <v>67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9"/>
      <c r="C177" s="29"/>
      <c r="D177" s="29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9"/>
      <c r="C178" s="29"/>
      <c r="D178" s="2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9"/>
      <c r="C179" s="29"/>
      <c r="D179" s="2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9"/>
      <c r="C180" s="29"/>
      <c r="D180" s="2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9"/>
      <c r="C181" s="29"/>
      <c r="D181" s="29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9"/>
      <c r="C182" s="29"/>
      <c r="D182" s="29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9"/>
      <c r="C183" s="29"/>
      <c r="D183" s="29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9"/>
      <c r="C184" s="29"/>
      <c r="D184" s="29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9"/>
      <c r="C185" s="29"/>
      <c r="D185" s="29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9"/>
      <c r="C186" s="29"/>
      <c r="D186" s="2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9"/>
      <c r="C187" s="29"/>
      <c r="D187" s="2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9"/>
      <c r="C188" s="29"/>
      <c r="D188" s="2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9"/>
      <c r="C189" s="29"/>
      <c r="D189" s="2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9"/>
      <c r="C190" s="29"/>
      <c r="D190" s="2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9"/>
      <c r="C191" s="29"/>
      <c r="D191" s="2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9"/>
      <c r="C192" s="29"/>
      <c r="D192" s="2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9"/>
      <c r="C193" s="29"/>
      <c r="D193" s="2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9"/>
      <c r="C194" s="29"/>
      <c r="D194" s="2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9"/>
      <c r="C195" s="29"/>
      <c r="D195" s="2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9"/>
      <c r="C196" s="29"/>
      <c r="D196" s="2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9"/>
      <c r="C197" s="29"/>
      <c r="D197" s="2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9"/>
      <c r="C198" s="29"/>
      <c r="D198" s="2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9"/>
      <c r="C199" s="29"/>
      <c r="D199" s="2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9"/>
      <c r="C200" s="29"/>
      <c r="D200" s="29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9"/>
      <c r="C201" s="29"/>
      <c r="D201" s="29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9"/>
      <c r="C202" s="29"/>
      <c r="D202" s="29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9"/>
      <c r="C203" s="29"/>
      <c r="D203" s="2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9"/>
      <c r="C204" s="29"/>
      <c r="D204" s="29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9"/>
      <c r="C205" s="29"/>
      <c r="D205" s="2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9"/>
      <c r="C206" s="29"/>
      <c r="D206" s="2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9"/>
      <c r="C207" s="29"/>
      <c r="D207" s="29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9"/>
      <c r="C208" s="29"/>
      <c r="D208" s="29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9"/>
      <c r="C209" s="29"/>
      <c r="D209" s="29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9"/>
      <c r="C210" s="29"/>
      <c r="D210" s="29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9"/>
      <c r="C211" s="29"/>
      <c r="D211" s="29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9"/>
      <c r="C212" s="29"/>
      <c r="D212" s="29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9"/>
      <c r="C213" s="29"/>
      <c r="D213" s="29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9"/>
      <c r="C214" s="29"/>
      <c r="D214" s="2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9"/>
      <c r="C215" s="29"/>
      <c r="D215" s="2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9"/>
      <c r="C216" s="29"/>
      <c r="D216" s="2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9"/>
      <c r="C217" s="29"/>
      <c r="D217" s="2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9"/>
      <c r="C218" s="29"/>
      <c r="D218" s="29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9"/>
      <c r="C219" s="29"/>
      <c r="D219" s="29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9"/>
      <c r="C220" s="29"/>
      <c r="D220" s="29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9"/>
      <c r="C221" s="29"/>
      <c r="D221" s="29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9"/>
      <c r="C222" s="29"/>
      <c r="D222" s="29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9"/>
      <c r="C223" s="29"/>
      <c r="D223" s="29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9"/>
      <c r="C224" s="29"/>
      <c r="D224" s="29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9"/>
      <c r="C225" s="29"/>
      <c r="D225" s="29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9"/>
      <c r="C226" s="29"/>
      <c r="D226" s="29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9"/>
      <c r="C227" s="29"/>
      <c r="D227" s="29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9"/>
      <c r="C228" s="29"/>
      <c r="D228" s="29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9"/>
      <c r="C229" s="29"/>
      <c r="D229" s="29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9"/>
      <c r="C230" s="29"/>
      <c r="D230" s="29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9"/>
      <c r="C231" s="29"/>
      <c r="D231" s="29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9"/>
      <c r="C232" s="29"/>
      <c r="D232" s="29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9"/>
      <c r="C233" s="29"/>
      <c r="D233" s="29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9"/>
      <c r="C234" s="29"/>
      <c r="D234" s="29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9"/>
      <c r="C235" s="29"/>
      <c r="D235" s="29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9"/>
      <c r="C236" s="29"/>
      <c r="D236" s="29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9"/>
      <c r="C237" s="29"/>
      <c r="D237" s="29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9"/>
      <c r="C238" s="29"/>
      <c r="D238" s="29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9"/>
      <c r="C239" s="29"/>
      <c r="D239" s="29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9"/>
      <c r="C240" s="29"/>
      <c r="D240" s="29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9"/>
      <c r="C241" s="29"/>
      <c r="D241" s="29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9"/>
      <c r="C242" s="29"/>
      <c r="D242" s="2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9"/>
      <c r="C243" s="29"/>
      <c r="D243" s="29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9"/>
      <c r="C244" s="29"/>
      <c r="D244" s="2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9"/>
      <c r="C245" s="29"/>
      <c r="D245" s="29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9"/>
      <c r="C246" s="29"/>
      <c r="D246" s="2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9"/>
      <c r="C247" s="29"/>
      <c r="D247" s="29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9"/>
      <c r="C248" s="29"/>
      <c r="D248" s="2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9"/>
      <c r="C249" s="29"/>
      <c r="D249" s="29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9"/>
      <c r="C250" s="29"/>
      <c r="D250" s="2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9"/>
      <c r="C251" s="29"/>
      <c r="D251" s="29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9"/>
      <c r="C252" s="29"/>
      <c r="D252" s="29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9"/>
      <c r="C253" s="29"/>
      <c r="D253" s="29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9"/>
      <c r="C254" s="29"/>
      <c r="D254" s="29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9"/>
      <c r="C255" s="29"/>
      <c r="D255" s="29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9"/>
      <c r="C256" s="29"/>
      <c r="D256" s="29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9"/>
      <c r="C257" s="29"/>
      <c r="D257" s="29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9"/>
      <c r="C258" s="29"/>
      <c r="D258" s="2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9"/>
      <c r="C259" s="29"/>
      <c r="D259" s="29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9"/>
      <c r="C260" s="29"/>
      <c r="D260" s="2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9"/>
      <c r="C261" s="29"/>
      <c r="D261" s="29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9"/>
      <c r="C262" s="29"/>
      <c r="D262" s="29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9"/>
      <c r="C263" s="29"/>
      <c r="D263" s="29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9"/>
      <c r="C264" s="29"/>
      <c r="D264" s="29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9"/>
      <c r="C265" s="29"/>
      <c r="D265" s="29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9"/>
      <c r="C266" s="29"/>
      <c r="D266" s="29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9"/>
      <c r="C267" s="29"/>
      <c r="D267" s="29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9"/>
      <c r="C268" s="29"/>
      <c r="D268" s="29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9"/>
      <c r="C269" s="29"/>
      <c r="D269" s="29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9"/>
      <c r="C270" s="29"/>
      <c r="D270" s="2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9"/>
      <c r="C271" s="29"/>
      <c r="D271" s="29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9"/>
      <c r="C272" s="29"/>
      <c r="D272" s="29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9"/>
      <c r="C273" s="29"/>
      <c r="D273" s="29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9"/>
      <c r="C274" s="29"/>
      <c r="D274" s="29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9"/>
      <c r="C275" s="29"/>
      <c r="D275" s="29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9"/>
      <c r="C276" s="29"/>
      <c r="D276" s="29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9"/>
      <c r="C277" s="29"/>
      <c r="D277" s="29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9"/>
      <c r="C278" s="29"/>
      <c r="D278" s="29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9"/>
      <c r="C279" s="29"/>
      <c r="D279" s="29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9"/>
      <c r="C280" s="29"/>
      <c r="D280" s="29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9"/>
      <c r="C281" s="29"/>
      <c r="D281" s="29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9"/>
      <c r="C282" s="29"/>
      <c r="D282" s="29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9"/>
      <c r="C283" s="29"/>
      <c r="D283" s="29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9"/>
      <c r="C284" s="29"/>
      <c r="D284" s="29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9"/>
      <c r="C285" s="29"/>
      <c r="D285" s="29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9"/>
      <c r="C286" s="29"/>
      <c r="D286" s="29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9"/>
      <c r="C287" s="29"/>
      <c r="D287" s="2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9"/>
      <c r="C288" s="29"/>
      <c r="D288" s="29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9"/>
      <c r="C289" s="29"/>
      <c r="D289" s="2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9"/>
      <c r="C290" s="29"/>
      <c r="D290" s="29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9"/>
      <c r="C291" s="29"/>
      <c r="D291" s="29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9"/>
      <c r="C292" s="29"/>
      <c r="D292" s="29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9"/>
      <c r="C293" s="29"/>
      <c r="D293" s="2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9"/>
      <c r="C294" s="29"/>
      <c r="D294" s="2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9"/>
      <c r="C295" s="29"/>
      <c r="D295" s="2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9"/>
      <c r="C296" s="29"/>
      <c r="D296" s="2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9"/>
      <c r="C297" s="29"/>
      <c r="D297" s="2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9"/>
      <c r="C298" s="29"/>
      <c r="D298" s="2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9"/>
      <c r="C299" s="29"/>
      <c r="D299" s="2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9"/>
      <c r="C300" s="29"/>
      <c r="D300" s="2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9"/>
      <c r="C301" s="29"/>
      <c r="D301" s="2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9"/>
      <c r="C302" s="29"/>
      <c r="D302" s="2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9"/>
      <c r="C303" s="29"/>
      <c r="D303" s="2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9"/>
      <c r="C304" s="29"/>
      <c r="D304" s="2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9"/>
      <c r="C305" s="29"/>
      <c r="D305" s="2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9"/>
      <c r="C306" s="29"/>
      <c r="D306" s="2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9"/>
      <c r="C307" s="29"/>
      <c r="D307" s="2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9"/>
      <c r="C308" s="29"/>
      <c r="D308" s="2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9"/>
      <c r="C309" s="29"/>
      <c r="D309" s="2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9"/>
      <c r="C310" s="29"/>
      <c r="D310" s="2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9"/>
      <c r="C311" s="29"/>
      <c r="D311" s="2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9"/>
      <c r="C312" s="29"/>
      <c r="D312" s="2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9"/>
      <c r="C313" s="29"/>
      <c r="D313" s="2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9"/>
      <c r="C314" s="29"/>
      <c r="D314" s="2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9"/>
      <c r="C315" s="29"/>
      <c r="D315" s="2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9"/>
      <c r="C316" s="29"/>
      <c r="D316" s="2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9"/>
      <c r="C317" s="29"/>
      <c r="D317" s="2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9"/>
      <c r="C318" s="29"/>
      <c r="D318" s="2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9"/>
      <c r="C319" s="29"/>
      <c r="D319" s="2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9"/>
      <c r="C320" s="29"/>
      <c r="D320" s="2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9"/>
      <c r="C321" s="29"/>
      <c r="D321" s="2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9"/>
      <c r="C322" s="29"/>
      <c r="D322" s="2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9"/>
      <c r="C323" s="29"/>
      <c r="D323" s="2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9"/>
      <c r="C324" s="29"/>
      <c r="D324" s="29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9"/>
      <c r="C325" s="29"/>
      <c r="D325" s="2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9"/>
      <c r="C326" s="29"/>
      <c r="D326" s="29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9"/>
      <c r="C327" s="29"/>
      <c r="D327" s="2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9"/>
      <c r="C328" s="29"/>
      <c r="D328" s="2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9"/>
      <c r="C329" s="29"/>
      <c r="D329" s="2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9"/>
      <c r="C330" s="29"/>
      <c r="D330" s="2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9"/>
      <c r="C331" s="29"/>
      <c r="D331" s="2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9"/>
      <c r="C332" s="29"/>
      <c r="D332" s="2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9"/>
      <c r="C333" s="29"/>
      <c r="D333" s="2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9"/>
      <c r="C334" s="29"/>
      <c r="D334" s="29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9"/>
      <c r="C335" s="29"/>
      <c r="D335" s="29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9"/>
      <c r="C336" s="29"/>
      <c r="D336" s="29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9"/>
      <c r="C337" s="29"/>
      <c r="D337" s="29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9"/>
      <c r="C338" s="29"/>
      <c r="D338" s="29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9"/>
      <c r="C339" s="29"/>
      <c r="D339" s="29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9"/>
      <c r="C340" s="29"/>
      <c r="D340" s="29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9"/>
      <c r="C341" s="29"/>
      <c r="D341" s="29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9"/>
      <c r="C342" s="29"/>
      <c r="D342" s="29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9"/>
      <c r="C343" s="29"/>
      <c r="D343" s="29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9"/>
      <c r="C344" s="29"/>
      <c r="D344" s="29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9"/>
      <c r="C345" s="29"/>
      <c r="D345" s="29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9"/>
      <c r="C346" s="29"/>
      <c r="D346" s="29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9"/>
      <c r="C347" s="29"/>
      <c r="D347" s="29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9"/>
      <c r="C348" s="29"/>
      <c r="D348" s="29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9"/>
      <c r="C349" s="29"/>
      <c r="D349" s="29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9"/>
      <c r="C350" s="29"/>
      <c r="D350" s="29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9"/>
      <c r="C351" s="29"/>
      <c r="D351" s="29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9"/>
      <c r="C352" s="29"/>
      <c r="D352" s="29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9"/>
      <c r="C353" s="29"/>
      <c r="D353" s="29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9"/>
      <c r="C354" s="29"/>
      <c r="D354" s="29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9"/>
      <c r="C355" s="29"/>
      <c r="D355" s="29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9"/>
      <c r="C356" s="29"/>
      <c r="D356" s="29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9"/>
      <c r="C357" s="29"/>
      <c r="D357" s="29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9"/>
      <c r="C358" s="29"/>
      <c r="D358" s="29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9"/>
      <c r="C359" s="29"/>
      <c r="D359" s="29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9"/>
      <c r="C360" s="29"/>
      <c r="D360" s="29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9"/>
      <c r="C361" s="29"/>
      <c r="D361" s="29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9"/>
      <c r="C362" s="29"/>
      <c r="D362" s="29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9"/>
      <c r="C363" s="29"/>
      <c r="D363" s="29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9"/>
      <c r="C364" s="29"/>
      <c r="D364" s="29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9"/>
      <c r="C365" s="29"/>
      <c r="D365" s="29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9"/>
      <c r="C366" s="29"/>
      <c r="D366" s="29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9"/>
      <c r="C367" s="29"/>
      <c r="D367" s="29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9"/>
      <c r="C368" s="29"/>
      <c r="D368" s="29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9"/>
      <c r="C369" s="29"/>
      <c r="D369" s="29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9"/>
      <c r="C370" s="29"/>
      <c r="D370" s="29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9"/>
      <c r="C371" s="29"/>
      <c r="D371" s="29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9"/>
      <c r="C372" s="29"/>
      <c r="D372" s="29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9"/>
      <c r="C373" s="29"/>
      <c r="D373" s="29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9"/>
      <c r="C374" s="29"/>
      <c r="D374" s="29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9"/>
      <c r="C375" s="29"/>
      <c r="D375" s="29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9"/>
      <c r="C376" s="29"/>
      <c r="D376" s="29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9"/>
      <c r="C377" s="29"/>
      <c r="D377" s="29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9"/>
      <c r="C378" s="29"/>
      <c r="D378" s="29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9"/>
      <c r="C379" s="29"/>
      <c r="D379" s="29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9"/>
      <c r="C380" s="29"/>
      <c r="D380" s="29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9"/>
      <c r="C381" s="29"/>
      <c r="D381" s="29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9"/>
      <c r="C382" s="29"/>
      <c r="D382" s="29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9"/>
      <c r="C383" s="29"/>
      <c r="D383" s="29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9"/>
      <c r="C384" s="29"/>
      <c r="D384" s="29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9"/>
      <c r="C385" s="29"/>
      <c r="D385" s="29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9"/>
      <c r="C386" s="29"/>
      <c r="D386" s="29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9"/>
      <c r="C387" s="29"/>
      <c r="D387" s="29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9"/>
      <c r="C388" s="29"/>
      <c r="D388" s="29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9"/>
      <c r="C389" s="29"/>
      <c r="D389" s="29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9"/>
      <c r="C390" s="29"/>
      <c r="D390" s="29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9"/>
      <c r="C391" s="29"/>
      <c r="D391" s="29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9"/>
      <c r="C392" s="29"/>
      <c r="D392" s="29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9"/>
      <c r="C393" s="29"/>
      <c r="D393" s="29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9"/>
      <c r="C394" s="29"/>
      <c r="D394" s="29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9"/>
      <c r="C395" s="29"/>
      <c r="D395" s="29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9"/>
      <c r="C396" s="29"/>
      <c r="D396" s="29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9"/>
      <c r="C397" s="29"/>
      <c r="D397" s="29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9"/>
      <c r="C398" s="29"/>
      <c r="D398" s="29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9"/>
      <c r="C399" s="29"/>
      <c r="D399" s="29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9"/>
      <c r="C400" s="29"/>
      <c r="D400" s="29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9"/>
      <c r="C401" s="29"/>
      <c r="D401" s="29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9"/>
      <c r="C402" s="29"/>
      <c r="D402" s="29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9"/>
      <c r="C403" s="29"/>
      <c r="D403" s="29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9"/>
      <c r="C404" s="29"/>
      <c r="D404" s="29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9"/>
      <c r="C405" s="29"/>
      <c r="D405" s="29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9"/>
      <c r="C406" s="29"/>
      <c r="D406" s="29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9"/>
      <c r="C407" s="29"/>
      <c r="D407" s="29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9"/>
      <c r="C408" s="29"/>
      <c r="D408" s="29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9"/>
      <c r="C409" s="29"/>
      <c r="D409" s="29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9"/>
      <c r="C410" s="29"/>
      <c r="D410" s="29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9"/>
      <c r="C411" s="29"/>
      <c r="D411" s="29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9"/>
      <c r="C412" s="29"/>
      <c r="D412" s="29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9"/>
      <c r="C413" s="29"/>
      <c r="D413" s="29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9"/>
      <c r="C414" s="29"/>
      <c r="D414" s="29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9"/>
      <c r="C415" s="29"/>
      <c r="D415" s="29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9"/>
      <c r="C416" s="29"/>
      <c r="D416" s="29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9"/>
      <c r="C417" s="29"/>
      <c r="D417" s="29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9"/>
      <c r="C418" s="29"/>
      <c r="D418" s="29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9"/>
      <c r="C419" s="29"/>
      <c r="D419" s="29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9"/>
      <c r="C420" s="29"/>
      <c r="D420" s="29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9"/>
      <c r="C421" s="29"/>
      <c r="D421" s="29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9"/>
      <c r="C422" s="29"/>
      <c r="D422" s="29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9"/>
      <c r="C423" s="29"/>
      <c r="D423" s="29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9"/>
      <c r="C424" s="29"/>
      <c r="D424" s="29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9"/>
      <c r="C425" s="29"/>
      <c r="D425" s="29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9"/>
      <c r="C426" s="29"/>
      <c r="D426" s="29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9"/>
      <c r="C427" s="29"/>
      <c r="D427" s="29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9"/>
      <c r="C428" s="29"/>
      <c r="D428" s="29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9"/>
      <c r="C429" s="29"/>
      <c r="D429" s="29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9"/>
      <c r="C430" s="29"/>
      <c r="D430" s="29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9"/>
      <c r="C431" s="29"/>
      <c r="D431" s="29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9"/>
      <c r="C432" s="29"/>
      <c r="D432" s="29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9"/>
      <c r="C433" s="29"/>
      <c r="D433" s="29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9"/>
      <c r="C434" s="29"/>
      <c r="D434" s="29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9"/>
      <c r="C435" s="29"/>
      <c r="D435" s="29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9"/>
      <c r="C436" s="29"/>
      <c r="D436" s="29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9"/>
      <c r="C437" s="29"/>
      <c r="D437" s="29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9"/>
      <c r="C438" s="29"/>
      <c r="D438" s="29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9"/>
      <c r="C439" s="29"/>
      <c r="D439" s="29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9"/>
      <c r="C440" s="29"/>
      <c r="D440" s="29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9"/>
      <c r="C441" s="29"/>
      <c r="D441" s="29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9"/>
      <c r="C442" s="29"/>
      <c r="D442" s="29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9"/>
      <c r="C443" s="29"/>
      <c r="D443" s="29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9"/>
      <c r="C444" s="29"/>
      <c r="D444" s="29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9"/>
      <c r="C445" s="29"/>
      <c r="D445" s="29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9"/>
      <c r="C446" s="29"/>
      <c r="D446" s="29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9"/>
      <c r="C447" s="29"/>
      <c r="D447" s="29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9"/>
      <c r="C448" s="29"/>
      <c r="D448" s="29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9"/>
      <c r="C449" s="29"/>
      <c r="D449" s="29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9"/>
      <c r="C450" s="29"/>
      <c r="D450" s="29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9"/>
      <c r="C451" s="29"/>
      <c r="D451" s="29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9"/>
      <c r="C452" s="29"/>
      <c r="D452" s="29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9"/>
      <c r="C453" s="29"/>
      <c r="D453" s="29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9"/>
      <c r="C454" s="29"/>
      <c r="D454" s="29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9"/>
      <c r="C455" s="29"/>
      <c r="D455" s="29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9"/>
      <c r="C456" s="29"/>
      <c r="D456" s="29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9"/>
      <c r="C457" s="29"/>
      <c r="D457" s="29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9"/>
      <c r="C458" s="29"/>
      <c r="D458" s="29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9"/>
      <c r="C459" s="29"/>
      <c r="D459" s="29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9"/>
      <c r="C460" s="29"/>
      <c r="D460" s="29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9"/>
      <c r="C461" s="29"/>
      <c r="D461" s="29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9"/>
      <c r="C462" s="29"/>
      <c r="D462" s="29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9"/>
      <c r="C463" s="29"/>
      <c r="D463" s="29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9"/>
      <c r="C464" s="29"/>
      <c r="D464" s="29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9"/>
      <c r="C465" s="29"/>
      <c r="D465" s="29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9"/>
      <c r="C466" s="29"/>
      <c r="D466" s="29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9"/>
      <c r="C467" s="29"/>
      <c r="D467" s="29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9"/>
      <c r="C468" s="29"/>
      <c r="D468" s="29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9"/>
      <c r="C469" s="29"/>
      <c r="D469" s="29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9"/>
      <c r="C470" s="29"/>
      <c r="D470" s="29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9"/>
      <c r="C471" s="29"/>
      <c r="D471" s="29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9"/>
      <c r="C472" s="29"/>
      <c r="D472" s="29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9"/>
      <c r="C473" s="29"/>
      <c r="D473" s="29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9"/>
      <c r="C474" s="29"/>
      <c r="D474" s="29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9"/>
      <c r="C475" s="29"/>
      <c r="D475" s="29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9"/>
      <c r="C476" s="29"/>
      <c r="D476" s="29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9"/>
      <c r="C477" s="29"/>
      <c r="D477" s="29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9"/>
      <c r="C478" s="29"/>
      <c r="D478" s="29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9"/>
      <c r="C479" s="29"/>
      <c r="D479" s="29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9"/>
      <c r="C480" s="29"/>
      <c r="D480" s="29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9"/>
      <c r="C481" s="29"/>
      <c r="D481" s="29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9"/>
      <c r="C482" s="29"/>
      <c r="D482" s="29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9"/>
      <c r="C483" s="29"/>
      <c r="D483" s="29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9"/>
      <c r="C484" s="29"/>
      <c r="D484" s="29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9"/>
      <c r="C485" s="29"/>
      <c r="D485" s="29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9"/>
      <c r="C486" s="29"/>
      <c r="D486" s="29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9"/>
      <c r="C487" s="29"/>
      <c r="D487" s="29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9"/>
      <c r="C488" s="29"/>
      <c r="D488" s="29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9"/>
      <c r="C489" s="29"/>
      <c r="D489" s="29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9"/>
      <c r="C490" s="29"/>
      <c r="D490" s="29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9"/>
      <c r="C491" s="29"/>
      <c r="D491" s="29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9"/>
      <c r="C492" s="29"/>
      <c r="D492" s="29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9"/>
      <c r="C493" s="29"/>
      <c r="D493" s="29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9"/>
      <c r="C494" s="29"/>
      <c r="D494" s="29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9"/>
      <c r="C495" s="29"/>
      <c r="D495" s="29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9"/>
      <c r="C496" s="29"/>
      <c r="D496" s="29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9"/>
      <c r="C497" s="29"/>
      <c r="D497" s="29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9"/>
      <c r="C498" s="29"/>
      <c r="D498" s="29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9"/>
      <c r="C499" s="29"/>
      <c r="D499" s="29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9"/>
      <c r="C500" s="29"/>
      <c r="D500" s="29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9"/>
      <c r="C501" s="29"/>
      <c r="D501" s="29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9"/>
      <c r="C502" s="29"/>
      <c r="D502" s="29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9"/>
      <c r="C503" s="29"/>
      <c r="D503" s="29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9"/>
      <c r="C504" s="29"/>
      <c r="D504" s="29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9"/>
      <c r="C505" s="29"/>
      <c r="D505" s="29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9"/>
      <c r="C506" s="29"/>
      <c r="D506" s="29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9"/>
      <c r="C507" s="29"/>
      <c r="D507" s="29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9"/>
      <c r="C508" s="29"/>
      <c r="D508" s="29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9"/>
      <c r="C509" s="29"/>
      <c r="D509" s="29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9"/>
      <c r="C510" s="29"/>
      <c r="D510" s="29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9"/>
      <c r="C511" s="29"/>
      <c r="D511" s="29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9"/>
      <c r="C512" s="29"/>
      <c r="D512" s="29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9"/>
      <c r="C513" s="29"/>
      <c r="D513" s="29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9"/>
      <c r="C514" s="29"/>
      <c r="D514" s="29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9"/>
      <c r="C515" s="29"/>
      <c r="D515" s="29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9"/>
      <c r="C516" s="29"/>
      <c r="D516" s="29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9"/>
      <c r="C517" s="29"/>
      <c r="D517" s="29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9"/>
      <c r="C518" s="29"/>
      <c r="D518" s="29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9"/>
      <c r="C519" s="29"/>
      <c r="D519" s="29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9"/>
      <c r="C520" s="29"/>
      <c r="D520" s="29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9"/>
      <c r="C521" s="29"/>
      <c r="D521" s="29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9"/>
      <c r="C522" s="29"/>
      <c r="D522" s="29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9"/>
      <c r="C523" s="29"/>
      <c r="D523" s="29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9"/>
      <c r="C524" s="29"/>
      <c r="D524" s="29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9"/>
      <c r="C525" s="29"/>
      <c r="D525" s="29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9"/>
      <c r="C526" s="29"/>
      <c r="D526" s="29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9"/>
      <c r="C527" s="29"/>
      <c r="D527" s="29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9"/>
      <c r="C528" s="29"/>
      <c r="D528" s="29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9"/>
      <c r="C529" s="29"/>
      <c r="D529" s="29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9"/>
      <c r="C530" s="29"/>
      <c r="D530" s="29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9"/>
      <c r="C531" s="29"/>
      <c r="D531" s="29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9"/>
      <c r="C532" s="29"/>
      <c r="D532" s="29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9"/>
      <c r="C533" s="29"/>
      <c r="D533" s="29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9"/>
      <c r="C534" s="29"/>
      <c r="D534" s="29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9"/>
      <c r="C535" s="29"/>
      <c r="D535" s="29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9"/>
      <c r="C536" s="29"/>
      <c r="D536" s="29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9"/>
      <c r="C537" s="29"/>
      <c r="D537" s="29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9"/>
      <c r="C538" s="29"/>
      <c r="D538" s="29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9"/>
      <c r="C539" s="29"/>
      <c r="D539" s="29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9"/>
      <c r="C540" s="29"/>
      <c r="D540" s="29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9"/>
      <c r="C541" s="29"/>
      <c r="D541" s="29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9"/>
      <c r="C542" s="29"/>
      <c r="D542" s="29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9"/>
      <c r="C543" s="29"/>
      <c r="D543" s="29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9"/>
      <c r="C544" s="29"/>
      <c r="D544" s="29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9"/>
      <c r="C545" s="29"/>
      <c r="D545" s="29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9"/>
      <c r="C546" s="29"/>
      <c r="D546" s="29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9"/>
      <c r="C547" s="29"/>
      <c r="D547" s="29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9"/>
      <c r="C548" s="29"/>
      <c r="D548" s="29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9"/>
      <c r="C549" s="29"/>
      <c r="D549" s="29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9"/>
      <c r="C550" s="29"/>
      <c r="D550" s="29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9"/>
      <c r="C551" s="29"/>
      <c r="D551" s="29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9"/>
      <c r="C552" s="29"/>
      <c r="D552" s="29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9"/>
      <c r="C553" s="29"/>
      <c r="D553" s="29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9"/>
      <c r="C554" s="29"/>
      <c r="D554" s="29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9"/>
      <c r="C555" s="29"/>
      <c r="D555" s="29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9"/>
      <c r="C556" s="29"/>
      <c r="D556" s="29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9"/>
      <c r="C557" s="29"/>
      <c r="D557" s="29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9"/>
      <c r="C558" s="29"/>
      <c r="D558" s="29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9"/>
      <c r="C559" s="29"/>
      <c r="D559" s="29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9"/>
      <c r="C560" s="29"/>
      <c r="D560" s="29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9"/>
      <c r="C561" s="29"/>
      <c r="D561" s="29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9"/>
      <c r="C562" s="29"/>
      <c r="D562" s="29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9"/>
      <c r="C563" s="29"/>
      <c r="D563" s="29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9"/>
      <c r="C564" s="29"/>
      <c r="D564" s="29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9"/>
      <c r="C565" s="29"/>
      <c r="D565" s="29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9"/>
      <c r="C566" s="29"/>
      <c r="D566" s="29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9"/>
      <c r="C567" s="29"/>
      <c r="D567" s="29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9"/>
      <c r="C568" s="29"/>
      <c r="D568" s="29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9"/>
      <c r="C569" s="29"/>
      <c r="D569" s="29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9"/>
      <c r="C570" s="29"/>
      <c r="D570" s="29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9"/>
      <c r="C571" s="29"/>
      <c r="D571" s="29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9"/>
      <c r="C572" s="29"/>
      <c r="D572" s="29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9"/>
      <c r="C573" s="29"/>
      <c r="D573" s="29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9"/>
      <c r="C574" s="29"/>
      <c r="D574" s="29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9"/>
      <c r="C575" s="29"/>
      <c r="D575" s="29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9"/>
      <c r="C576" s="29"/>
      <c r="D576" s="29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9"/>
      <c r="C577" s="29"/>
      <c r="D577" s="29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9"/>
      <c r="C578" s="29"/>
      <c r="D578" s="29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9"/>
      <c r="C579" s="29"/>
      <c r="D579" s="29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9"/>
      <c r="C580" s="29"/>
      <c r="D580" s="29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9"/>
      <c r="C581" s="29"/>
      <c r="D581" s="29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9"/>
      <c r="C582" s="29"/>
      <c r="D582" s="29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9"/>
      <c r="C583" s="29"/>
      <c r="D583" s="29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9"/>
      <c r="C584" s="29"/>
      <c r="D584" s="29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9"/>
      <c r="C585" s="29"/>
      <c r="D585" s="29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9"/>
      <c r="C586" s="29"/>
      <c r="D586" s="29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9"/>
      <c r="C587" s="29"/>
      <c r="D587" s="29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9"/>
      <c r="C588" s="29"/>
      <c r="D588" s="29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9"/>
      <c r="C589" s="29"/>
      <c r="D589" s="29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9"/>
      <c r="C590" s="29"/>
      <c r="D590" s="29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9"/>
      <c r="C591" s="29"/>
      <c r="D591" s="29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9"/>
      <c r="C592" s="29"/>
      <c r="D592" s="29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9"/>
      <c r="C593" s="29"/>
      <c r="D593" s="29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9"/>
      <c r="C594" s="29"/>
      <c r="D594" s="29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9"/>
      <c r="C595" s="29"/>
      <c r="D595" s="29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9"/>
      <c r="C596" s="29"/>
      <c r="D596" s="29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9"/>
      <c r="C597" s="29"/>
      <c r="D597" s="29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9"/>
      <c r="C598" s="29"/>
      <c r="D598" s="29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9"/>
      <c r="C599" s="29"/>
      <c r="D599" s="29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9"/>
      <c r="C600" s="29"/>
      <c r="D600" s="29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9"/>
      <c r="C601" s="29"/>
      <c r="D601" s="29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9"/>
      <c r="C602" s="29"/>
      <c r="D602" s="29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9"/>
      <c r="C603" s="29"/>
      <c r="D603" s="29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9"/>
      <c r="C604" s="29"/>
      <c r="D604" s="29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9"/>
      <c r="C605" s="29"/>
      <c r="D605" s="29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9"/>
      <c r="C606" s="29"/>
      <c r="D606" s="29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9"/>
      <c r="C607" s="29"/>
      <c r="D607" s="29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9"/>
      <c r="C608" s="29"/>
      <c r="D608" s="29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9"/>
      <c r="C609" s="29"/>
      <c r="D609" s="29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9"/>
      <c r="C610" s="29"/>
      <c r="D610" s="29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9"/>
      <c r="C611" s="29"/>
      <c r="D611" s="29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9"/>
      <c r="C612" s="29"/>
      <c r="D612" s="29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9"/>
      <c r="C613" s="29"/>
      <c r="D613" s="29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9"/>
      <c r="C614" s="29"/>
      <c r="D614" s="29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9"/>
      <c r="C615" s="29"/>
      <c r="D615" s="29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9"/>
      <c r="C616" s="29"/>
      <c r="D616" s="29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9"/>
      <c r="C617" s="29"/>
      <c r="D617" s="29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9"/>
      <c r="C618" s="29"/>
      <c r="D618" s="29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9"/>
      <c r="C619" s="29"/>
      <c r="D619" s="29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9"/>
      <c r="C620" s="29"/>
      <c r="D620" s="29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9"/>
      <c r="C621" s="29"/>
      <c r="D621" s="29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9"/>
      <c r="C622" s="29"/>
      <c r="D622" s="29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9"/>
      <c r="C623" s="29"/>
      <c r="D623" s="29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9"/>
      <c r="C624" s="29"/>
      <c r="D624" s="29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9"/>
      <c r="C625" s="29"/>
      <c r="D625" s="29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9"/>
      <c r="C626" s="29"/>
      <c r="D626" s="29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9"/>
      <c r="C627" s="29"/>
      <c r="D627" s="29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9"/>
      <c r="C628" s="29"/>
      <c r="D628" s="29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9"/>
      <c r="C629" s="29"/>
      <c r="D629" s="29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9"/>
      <c r="C630" s="29"/>
      <c r="D630" s="29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9"/>
      <c r="C631" s="29"/>
      <c r="D631" s="29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9"/>
      <c r="C632" s="29"/>
      <c r="D632" s="29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9"/>
      <c r="C633" s="29"/>
      <c r="D633" s="29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9"/>
      <c r="C634" s="29"/>
      <c r="D634" s="29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9"/>
      <c r="C635" s="29"/>
      <c r="D635" s="29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9"/>
      <c r="C636" s="29"/>
      <c r="D636" s="29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9"/>
      <c r="C637" s="29"/>
      <c r="D637" s="29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9"/>
      <c r="C638" s="29"/>
      <c r="D638" s="29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9"/>
      <c r="C639" s="29"/>
      <c r="D639" s="29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9"/>
      <c r="C640" s="29"/>
      <c r="D640" s="29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9"/>
      <c r="C641" s="29"/>
      <c r="D641" s="29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9"/>
      <c r="C642" s="29"/>
      <c r="D642" s="29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9"/>
      <c r="C643" s="29"/>
      <c r="D643" s="29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9"/>
      <c r="C644" s="29"/>
      <c r="D644" s="29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9"/>
      <c r="C645" s="29"/>
      <c r="D645" s="29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9"/>
      <c r="C646" s="29"/>
      <c r="D646" s="29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9"/>
      <c r="C647" s="29"/>
      <c r="D647" s="29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9"/>
      <c r="C648" s="29"/>
      <c r="D648" s="29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9"/>
      <c r="C649" s="29"/>
      <c r="D649" s="29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9"/>
      <c r="C650" s="29"/>
      <c r="D650" s="29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9"/>
      <c r="C651" s="29"/>
      <c r="D651" s="29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9"/>
      <c r="C652" s="29"/>
      <c r="D652" s="29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9"/>
      <c r="C653" s="29"/>
      <c r="D653" s="29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9"/>
      <c r="C654" s="29"/>
      <c r="D654" s="29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9"/>
      <c r="C655" s="29"/>
      <c r="D655" s="29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9"/>
      <c r="C656" s="29"/>
      <c r="D656" s="29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9"/>
      <c r="C657" s="29"/>
      <c r="D657" s="29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9"/>
      <c r="C658" s="29"/>
      <c r="D658" s="29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9"/>
      <c r="C659" s="29"/>
      <c r="D659" s="29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9"/>
      <c r="C660" s="29"/>
      <c r="D660" s="29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9"/>
      <c r="C661" s="29"/>
      <c r="D661" s="29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9"/>
      <c r="C662" s="29"/>
      <c r="D662" s="29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9"/>
      <c r="C663" s="29"/>
      <c r="D663" s="29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9"/>
      <c r="C664" s="29"/>
      <c r="D664" s="29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9"/>
      <c r="C665" s="29"/>
      <c r="D665" s="29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9"/>
      <c r="C666" s="29"/>
      <c r="D666" s="29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9"/>
      <c r="C667" s="29"/>
      <c r="D667" s="29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9"/>
      <c r="C668" s="29"/>
      <c r="D668" s="29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9"/>
      <c r="C669" s="29"/>
      <c r="D669" s="29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9"/>
      <c r="C670" s="29"/>
      <c r="D670" s="29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9"/>
      <c r="C671" s="29"/>
      <c r="D671" s="29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9"/>
      <c r="C672" s="29"/>
      <c r="D672" s="29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9"/>
      <c r="C673" s="29"/>
      <c r="D673" s="29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9"/>
      <c r="C674" s="29"/>
      <c r="D674" s="29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9"/>
      <c r="C675" s="29"/>
      <c r="D675" s="29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9"/>
      <c r="C676" s="29"/>
      <c r="D676" s="29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9"/>
      <c r="C677" s="29"/>
      <c r="D677" s="29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9"/>
      <c r="C678" s="29"/>
      <c r="D678" s="29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9"/>
      <c r="C679" s="29"/>
      <c r="D679" s="29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9"/>
      <c r="C680" s="29"/>
      <c r="D680" s="29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9"/>
      <c r="C681" s="29"/>
      <c r="D681" s="29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9"/>
      <c r="C682" s="29"/>
      <c r="D682" s="29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9"/>
      <c r="C683" s="29"/>
      <c r="D683" s="29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9"/>
      <c r="C684" s="29"/>
      <c r="D684" s="29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9"/>
      <c r="C685" s="29"/>
      <c r="D685" s="29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9"/>
      <c r="C686" s="29"/>
      <c r="D686" s="29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9"/>
      <c r="C687" s="29"/>
      <c r="D687" s="29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9"/>
      <c r="C688" s="29"/>
      <c r="D688" s="29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9"/>
      <c r="C689" s="29"/>
      <c r="D689" s="29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9"/>
      <c r="C690" s="29"/>
      <c r="D690" s="29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9"/>
      <c r="C691" s="29"/>
      <c r="D691" s="29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9"/>
      <c r="C692" s="29"/>
      <c r="D692" s="29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9"/>
      <c r="C693" s="29"/>
      <c r="D693" s="29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9"/>
      <c r="C694" s="29"/>
      <c r="D694" s="29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9"/>
      <c r="C695" s="29"/>
      <c r="D695" s="29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9"/>
      <c r="C696" s="29"/>
      <c r="D696" s="29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9"/>
      <c r="C697" s="29"/>
      <c r="D697" s="29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9"/>
      <c r="C698" s="29"/>
      <c r="D698" s="29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9"/>
      <c r="C699" s="29"/>
      <c r="D699" s="29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9"/>
      <c r="C700" s="29"/>
      <c r="D700" s="29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9"/>
      <c r="C701" s="29"/>
      <c r="D701" s="29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9"/>
      <c r="C702" s="29"/>
      <c r="D702" s="29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9"/>
      <c r="C703" s="29"/>
      <c r="D703" s="29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9"/>
      <c r="C704" s="29"/>
      <c r="D704" s="29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9"/>
      <c r="C705" s="29"/>
      <c r="D705" s="29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9"/>
      <c r="C706" s="29"/>
      <c r="D706" s="29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9"/>
      <c r="C707" s="29"/>
      <c r="D707" s="29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9"/>
      <c r="C708" s="29"/>
      <c r="D708" s="29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9"/>
      <c r="C709" s="29"/>
      <c r="D709" s="29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9"/>
      <c r="C710" s="29"/>
      <c r="D710" s="29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9"/>
      <c r="C711" s="29"/>
      <c r="D711" s="29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9"/>
      <c r="C712" s="29"/>
      <c r="D712" s="29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9"/>
      <c r="C713" s="29"/>
      <c r="D713" s="29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9"/>
      <c r="C714" s="29"/>
      <c r="D714" s="29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9"/>
      <c r="C715" s="29"/>
      <c r="D715" s="29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9"/>
      <c r="C716" s="29"/>
      <c r="D716" s="29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9"/>
      <c r="C717" s="29"/>
      <c r="D717" s="29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9"/>
      <c r="C718" s="29"/>
      <c r="D718" s="29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9"/>
      <c r="C719" s="29"/>
      <c r="D719" s="29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9"/>
      <c r="C720" s="29"/>
      <c r="D720" s="29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9"/>
      <c r="C721" s="29"/>
      <c r="D721" s="29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9"/>
      <c r="C722" s="29"/>
      <c r="D722" s="29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9"/>
      <c r="C723" s="29"/>
      <c r="D723" s="29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9"/>
      <c r="C724" s="29"/>
      <c r="D724" s="29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9"/>
      <c r="C725" s="29"/>
      <c r="D725" s="29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9"/>
      <c r="C726" s="29"/>
      <c r="D726" s="29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9"/>
      <c r="C727" s="29"/>
      <c r="D727" s="29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9"/>
      <c r="C728" s="29"/>
      <c r="D728" s="29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9"/>
      <c r="C729" s="29"/>
      <c r="D729" s="29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9"/>
      <c r="C730" s="29"/>
      <c r="D730" s="29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9"/>
      <c r="C731" s="29"/>
      <c r="D731" s="29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9"/>
      <c r="C732" s="29"/>
      <c r="D732" s="29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9"/>
      <c r="C733" s="29"/>
      <c r="D733" s="29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9"/>
      <c r="C734" s="29"/>
      <c r="D734" s="29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9"/>
      <c r="C735" s="29"/>
      <c r="D735" s="29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9"/>
      <c r="C736" s="29"/>
      <c r="D736" s="29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9"/>
      <c r="C737" s="29"/>
      <c r="D737" s="29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9"/>
      <c r="C738" s="29"/>
      <c r="D738" s="29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9"/>
      <c r="C739" s="29"/>
      <c r="D739" s="29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9"/>
      <c r="C740" s="29"/>
      <c r="D740" s="29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9"/>
      <c r="C741" s="29"/>
      <c r="D741" s="29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9"/>
      <c r="C742" s="29"/>
      <c r="D742" s="29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9"/>
      <c r="C743" s="29"/>
      <c r="D743" s="29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9"/>
      <c r="C744" s="29"/>
      <c r="D744" s="29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9"/>
      <c r="C745" s="29"/>
      <c r="D745" s="29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9"/>
      <c r="C746" s="29"/>
      <c r="D746" s="29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9"/>
      <c r="C747" s="29"/>
      <c r="D747" s="29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9"/>
      <c r="C748" s="29"/>
      <c r="D748" s="29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9"/>
      <c r="C749" s="29"/>
      <c r="D749" s="29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9"/>
      <c r="C750" s="29"/>
      <c r="D750" s="29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9"/>
      <c r="C751" s="29"/>
      <c r="D751" s="29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9"/>
      <c r="C752" s="29"/>
      <c r="D752" s="29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9"/>
      <c r="C753" s="29"/>
      <c r="D753" s="29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9"/>
      <c r="C754" s="29"/>
      <c r="D754" s="29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9"/>
      <c r="C755" s="29"/>
      <c r="D755" s="29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9"/>
      <c r="C756" s="29"/>
      <c r="D756" s="29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9"/>
      <c r="C757" s="29"/>
      <c r="D757" s="29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9"/>
      <c r="C758" s="29"/>
      <c r="D758" s="29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9"/>
      <c r="C759" s="29"/>
      <c r="D759" s="29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9"/>
      <c r="C760" s="29"/>
      <c r="D760" s="29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9"/>
      <c r="C761" s="29"/>
      <c r="D761" s="29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9"/>
      <c r="C762" s="29"/>
      <c r="D762" s="29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9"/>
      <c r="C763" s="29"/>
      <c r="D763" s="29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9"/>
      <c r="C764" s="29"/>
      <c r="D764" s="29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9"/>
      <c r="C765" s="29"/>
      <c r="D765" s="29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9"/>
      <c r="C766" s="29"/>
      <c r="D766" s="29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9"/>
      <c r="C767" s="29"/>
      <c r="D767" s="29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9"/>
      <c r="C768" s="29"/>
      <c r="D768" s="29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9"/>
      <c r="C769" s="29"/>
      <c r="D769" s="29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9"/>
      <c r="C770" s="29"/>
      <c r="D770" s="29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9"/>
      <c r="C771" s="29"/>
      <c r="D771" s="29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9"/>
      <c r="C772" s="29"/>
      <c r="D772" s="29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9"/>
      <c r="C773" s="29"/>
      <c r="D773" s="29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9"/>
      <c r="C774" s="29"/>
      <c r="D774" s="29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9"/>
      <c r="C775" s="29"/>
      <c r="D775" s="29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9"/>
      <c r="C776" s="29"/>
      <c r="D776" s="29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9"/>
      <c r="C777" s="29"/>
      <c r="D777" s="29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9"/>
      <c r="C778" s="29"/>
      <c r="D778" s="29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9"/>
      <c r="C779" s="29"/>
      <c r="D779" s="29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9"/>
      <c r="C780" s="29"/>
      <c r="D780" s="29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9"/>
      <c r="C781" s="29"/>
      <c r="D781" s="29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9"/>
      <c r="C782" s="29"/>
      <c r="D782" s="29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9"/>
      <c r="C783" s="29"/>
      <c r="D783" s="29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9"/>
      <c r="C784" s="29"/>
      <c r="D784" s="29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9"/>
      <c r="C785" s="29"/>
      <c r="D785" s="29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9"/>
      <c r="C786" s="29"/>
      <c r="D786" s="29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9"/>
      <c r="C787" s="29"/>
      <c r="D787" s="29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9"/>
      <c r="C788" s="29"/>
      <c r="D788" s="29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9"/>
      <c r="C789" s="29"/>
      <c r="D789" s="29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9"/>
      <c r="C790" s="29"/>
      <c r="D790" s="29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9"/>
      <c r="C791" s="29"/>
      <c r="D791" s="29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9"/>
      <c r="C792" s="29"/>
      <c r="D792" s="29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9"/>
      <c r="C793" s="29"/>
      <c r="D793" s="29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9"/>
      <c r="C794" s="29"/>
      <c r="D794" s="29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9"/>
      <c r="C795" s="29"/>
      <c r="D795" s="29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9"/>
      <c r="C796" s="29"/>
      <c r="D796" s="29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9"/>
      <c r="C797" s="29"/>
      <c r="D797" s="29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</sheetData>
  <mergeCells count="70">
    <mergeCell ref="B117:B119"/>
    <mergeCell ref="B120:B123"/>
    <mergeCell ref="B124:B127"/>
    <mergeCell ref="A114:B114"/>
    <mergeCell ref="A115:B115"/>
    <mergeCell ref="B128:B130"/>
    <mergeCell ref="B131:B134"/>
    <mergeCell ref="A135:B136"/>
    <mergeCell ref="A140:B140"/>
    <mergeCell ref="A1:D4"/>
    <mergeCell ref="A5:B6"/>
    <mergeCell ref="C5:C6"/>
    <mergeCell ref="D5:D6"/>
    <mergeCell ref="B17:B20"/>
    <mergeCell ref="B21:B23"/>
    <mergeCell ref="B24:B27"/>
    <mergeCell ref="A28:B29"/>
    <mergeCell ref="A33:B33"/>
    <mergeCell ref="A36:D39"/>
    <mergeCell ref="A40:B41"/>
    <mergeCell ref="C40:C41"/>
    <mergeCell ref="E5:E6"/>
    <mergeCell ref="A7:B7"/>
    <mergeCell ref="A8:B8"/>
    <mergeCell ref="B10:B12"/>
    <mergeCell ref="B13:B16"/>
    <mergeCell ref="D40:D41"/>
    <mergeCell ref="E40:E41"/>
    <mergeCell ref="A42:B42"/>
    <mergeCell ref="A43:B43"/>
    <mergeCell ref="B45:B47"/>
    <mergeCell ref="B48:B51"/>
    <mergeCell ref="B52:B55"/>
    <mergeCell ref="B56:B58"/>
    <mergeCell ref="B59:B62"/>
    <mergeCell ref="A63:B64"/>
    <mergeCell ref="A68:B68"/>
    <mergeCell ref="A72:D75"/>
    <mergeCell ref="A76:B77"/>
    <mergeCell ref="C76:C77"/>
    <mergeCell ref="D76:D77"/>
    <mergeCell ref="E76:E77"/>
    <mergeCell ref="A78:B78"/>
    <mergeCell ref="A79:B79"/>
    <mergeCell ref="A108:D111"/>
    <mergeCell ref="A112:B113"/>
    <mergeCell ref="C112:C113"/>
    <mergeCell ref="D112:D113"/>
    <mergeCell ref="E112:E113"/>
    <mergeCell ref="A99:B100"/>
    <mergeCell ref="A104:B104"/>
    <mergeCell ref="B81:B83"/>
    <mergeCell ref="B84:B87"/>
    <mergeCell ref="B88:B91"/>
    <mergeCell ref="B92:B94"/>
    <mergeCell ref="B95:B98"/>
    <mergeCell ref="A144:D147"/>
    <mergeCell ref="A148:B149"/>
    <mergeCell ref="C148:C149"/>
    <mergeCell ref="D148:D149"/>
    <mergeCell ref="B153:B155"/>
    <mergeCell ref="E148:E149"/>
    <mergeCell ref="A150:B150"/>
    <mergeCell ref="A151:B151"/>
    <mergeCell ref="A171:B172"/>
    <mergeCell ref="A176:B176"/>
    <mergeCell ref="B156:B159"/>
    <mergeCell ref="B160:B163"/>
    <mergeCell ref="B164:B166"/>
    <mergeCell ref="B167:B170"/>
  </mergeCells>
  <conditionalFormatting sqref="D28">
    <cfRule type="colorScale" priority="1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10:D27">
    <cfRule type="colorScale" priority="2">
      <colorScale>
        <cfvo type="formula" val="0"/>
        <cfvo type="formula" val="1"/>
        <color rgb="FFFF0000"/>
        <color rgb="FF00B050"/>
      </colorScale>
    </cfRule>
  </conditionalFormatting>
  <conditionalFormatting sqref="D63">
    <cfRule type="colorScale" priority="3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45:D62">
    <cfRule type="colorScale" priority="4">
      <colorScale>
        <cfvo type="formula" val="0"/>
        <cfvo type="formula" val="1"/>
        <color rgb="FFFF0000"/>
        <color rgb="FF00B050"/>
      </colorScale>
    </cfRule>
  </conditionalFormatting>
  <conditionalFormatting sqref="D99">
    <cfRule type="colorScale" priority="5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81:D98">
    <cfRule type="colorScale" priority="6">
      <colorScale>
        <cfvo type="formula" val="0"/>
        <cfvo type="formula" val="1"/>
        <color rgb="FFFF0000"/>
        <color rgb="FF00B050"/>
      </colorScale>
    </cfRule>
  </conditionalFormatting>
  <conditionalFormatting sqref="D135 D171">
    <cfRule type="colorScale" priority="7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117:D134 D153:D170">
    <cfRule type="colorScale" priority="8">
      <colorScale>
        <cfvo type="formula" val="0"/>
        <cfvo type="formula" val="1"/>
        <color rgb="FFFF0000"/>
        <color rgb="FF00B050"/>
      </colorScale>
    </cfRule>
  </conditionalFormatting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workbookViewId="0">
      <selection sqref="A1:D4"/>
    </sheetView>
  </sheetViews>
  <sheetFormatPr defaultColWidth="14.42578125" defaultRowHeight="15" customHeight="1"/>
  <cols>
    <col min="1" max="1" width="25.85546875" customWidth="1"/>
    <col min="2" max="2" width="20.42578125" customWidth="1"/>
    <col min="3" max="3" width="85.5703125" customWidth="1"/>
    <col min="4" max="4" width="27.5703125" customWidth="1"/>
    <col min="5" max="5" width="36.5703125" customWidth="1"/>
    <col min="6" max="25" width="9.140625" customWidth="1"/>
  </cols>
  <sheetData>
    <row r="1" spans="1:26">
      <c r="A1" s="43" t="s">
        <v>0</v>
      </c>
      <c r="B1" s="44"/>
      <c r="C1" s="44"/>
      <c r="D1" s="45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1"/>
      <c r="B2" s="46"/>
      <c r="C2" s="46"/>
      <c r="D2" s="42"/>
      <c r="E2" s="3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1"/>
      <c r="B3" s="46"/>
      <c r="C3" s="46"/>
      <c r="D3" s="42"/>
      <c r="E3" s="3" t="s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7"/>
      <c r="B4" s="48"/>
      <c r="C4" s="48"/>
      <c r="D4" s="49"/>
      <c r="E4" s="3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0" t="s">
        <v>5</v>
      </c>
      <c r="B5" s="40"/>
      <c r="C5" s="51" t="s">
        <v>6</v>
      </c>
      <c r="D5" s="51" t="s">
        <v>7</v>
      </c>
      <c r="E5" s="33">
        <f>COUNTIF(D10:D27,1)</f>
        <v>13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7"/>
      <c r="B6" s="49"/>
      <c r="C6" s="52"/>
      <c r="D6" s="52"/>
      <c r="E6" s="3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>
      <c r="A7" s="35" t="s">
        <v>8</v>
      </c>
      <c r="B7" s="36"/>
      <c r="C7" s="4" t="s">
        <v>9</v>
      </c>
      <c r="D7" s="4" t="s">
        <v>10</v>
      </c>
      <c r="E7" s="5">
        <f>COUNTIF(D10:D27,0)</f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>
      <c r="A8" s="37" t="s">
        <v>11</v>
      </c>
      <c r="B8" s="38"/>
      <c r="C8" s="6" t="s">
        <v>68</v>
      </c>
      <c r="D8" s="4" t="s">
        <v>13</v>
      </c>
      <c r="E8" s="7" t="s">
        <v>14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6">
      <c r="A9" s="8" t="s">
        <v>15</v>
      </c>
      <c r="B9" s="9" t="s">
        <v>16</v>
      </c>
      <c r="C9" s="10" t="s">
        <v>17</v>
      </c>
      <c r="D9" s="10" t="s">
        <v>18</v>
      </c>
      <c r="E9" s="11" t="s">
        <v>19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.25">
      <c r="A10" s="12">
        <v>1.1000000000000001</v>
      </c>
      <c r="B10" s="53" t="s">
        <v>20</v>
      </c>
      <c r="C10" s="14" t="s">
        <v>21</v>
      </c>
      <c r="D10" s="15">
        <v>0</v>
      </c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0.25">
      <c r="A11" s="12">
        <v>1.2</v>
      </c>
      <c r="B11" s="54"/>
      <c r="C11" s="14" t="s">
        <v>22</v>
      </c>
      <c r="D11" s="17">
        <v>1</v>
      </c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.25">
      <c r="A12" s="12">
        <v>1.3</v>
      </c>
      <c r="B12" s="52"/>
      <c r="C12" s="14" t="s">
        <v>23</v>
      </c>
      <c r="D12" s="15">
        <v>0</v>
      </c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25">
      <c r="A13" s="12">
        <v>2.1</v>
      </c>
      <c r="B13" s="53" t="s">
        <v>24</v>
      </c>
      <c r="C13" s="14" t="s">
        <v>25</v>
      </c>
      <c r="D13" s="17">
        <v>1</v>
      </c>
      <c r="E13" s="1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.25">
      <c r="A14" s="12">
        <v>2.2000000000000002</v>
      </c>
      <c r="B14" s="54"/>
      <c r="C14" s="14" t="s">
        <v>26</v>
      </c>
      <c r="D14" s="15">
        <v>0</v>
      </c>
      <c r="E14" s="1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0.5">
      <c r="A15" s="12">
        <v>2.2999999999999998</v>
      </c>
      <c r="B15" s="54"/>
      <c r="C15" s="14" t="s">
        <v>27</v>
      </c>
      <c r="D15" s="17">
        <v>0</v>
      </c>
      <c r="E15" s="1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60.75">
      <c r="A16" s="12">
        <v>2.4</v>
      </c>
      <c r="B16" s="52"/>
      <c r="C16" s="14" t="s">
        <v>28</v>
      </c>
      <c r="D16" s="15">
        <v>1</v>
      </c>
      <c r="E16" s="1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0.25">
      <c r="A17" s="12">
        <v>3.1</v>
      </c>
      <c r="B17" s="53" t="s">
        <v>29</v>
      </c>
      <c r="C17" s="14" t="s">
        <v>30</v>
      </c>
      <c r="D17" s="15">
        <v>0</v>
      </c>
      <c r="E17" s="1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.25">
      <c r="A18" s="12">
        <v>3.2</v>
      </c>
      <c r="B18" s="54"/>
      <c r="C18" s="14" t="s">
        <v>31</v>
      </c>
      <c r="D18" s="17">
        <v>1</v>
      </c>
      <c r="E18" s="1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0.5">
      <c r="A19" s="12">
        <v>3.3</v>
      </c>
      <c r="B19" s="54"/>
      <c r="C19" s="14" t="s">
        <v>32</v>
      </c>
      <c r="D19" s="17">
        <v>1</v>
      </c>
      <c r="E19" s="1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60.75">
      <c r="A20" s="12">
        <v>3.4</v>
      </c>
      <c r="B20" s="52"/>
      <c r="C20" s="14" t="s">
        <v>33</v>
      </c>
      <c r="D20" s="17">
        <v>1</v>
      </c>
      <c r="E20" s="1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2">
        <v>4.0999999999999996</v>
      </c>
      <c r="B21" s="53" t="s">
        <v>34</v>
      </c>
      <c r="C21" s="14" t="s">
        <v>69</v>
      </c>
      <c r="D21" s="17">
        <v>1</v>
      </c>
      <c r="E21" s="1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2">
        <v>4.2</v>
      </c>
      <c r="B22" s="54"/>
      <c r="C22" s="14" t="s">
        <v>36</v>
      </c>
      <c r="D22" s="17">
        <v>1</v>
      </c>
      <c r="E22" s="1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2">
        <v>4.3</v>
      </c>
      <c r="B23" s="52"/>
      <c r="C23" s="14" t="s">
        <v>37</v>
      </c>
      <c r="D23" s="17">
        <v>1</v>
      </c>
      <c r="E23" s="1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2">
        <v>5.0999999999999996</v>
      </c>
      <c r="B24" s="53" t="s">
        <v>38</v>
      </c>
      <c r="C24" s="14" t="s">
        <v>39</v>
      </c>
      <c r="D24" s="17">
        <v>1</v>
      </c>
      <c r="E24" s="1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2">
        <v>5.2</v>
      </c>
      <c r="B25" s="54"/>
      <c r="C25" s="14" t="s">
        <v>40</v>
      </c>
      <c r="D25" s="17">
        <v>1</v>
      </c>
      <c r="E25" s="1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2">
        <v>5.3</v>
      </c>
      <c r="B26" s="54"/>
      <c r="C26" s="14" t="s">
        <v>41</v>
      </c>
      <c r="D26" s="17">
        <v>1</v>
      </c>
      <c r="E26" s="1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2">
        <v>5.4</v>
      </c>
      <c r="B27" s="52"/>
      <c r="C27" s="14" t="s">
        <v>42</v>
      </c>
      <c r="D27" s="17">
        <v>1</v>
      </c>
      <c r="E27" s="1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39" t="s">
        <v>43</v>
      </c>
      <c r="B28" s="40"/>
      <c r="C28" s="18" t="s">
        <v>44</v>
      </c>
      <c r="D28" s="19">
        <f>SUM(D10:D27)</f>
        <v>13</v>
      </c>
      <c r="E28" s="1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41"/>
      <c r="B29" s="42"/>
      <c r="C29" s="20" t="s">
        <v>45</v>
      </c>
      <c r="D29" s="21">
        <f>D28/18</f>
        <v>0.72222222222222221</v>
      </c>
      <c r="E29" s="2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3" t="s">
        <v>46</v>
      </c>
      <c r="B30" s="24" t="s">
        <v>47</v>
      </c>
      <c r="C30" s="20"/>
      <c r="D30" s="21"/>
      <c r="E30" s="2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3" t="s">
        <v>48</v>
      </c>
      <c r="B31" s="24" t="s">
        <v>49</v>
      </c>
      <c r="C31" s="25"/>
      <c r="D31" s="25"/>
      <c r="E31" s="1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3" t="s">
        <v>50</v>
      </c>
      <c r="B32" s="24" t="s">
        <v>51</v>
      </c>
      <c r="C32" s="26"/>
      <c r="D32" s="26"/>
      <c r="E32" s="2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5.5" customHeight="1">
      <c r="A33" s="37" t="s">
        <v>57</v>
      </c>
      <c r="B33" s="38"/>
      <c r="C33" s="27"/>
      <c r="D33" s="27" t="s">
        <v>53</v>
      </c>
      <c r="E33" s="28" t="s">
        <v>70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9"/>
      <c r="C34" s="29"/>
      <c r="D34" s="29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9"/>
      <c r="C35" s="29"/>
      <c r="D35" s="29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43" t="s">
        <v>0</v>
      </c>
      <c r="B36" s="44"/>
      <c r="C36" s="44"/>
      <c r="D36" s="45"/>
      <c r="E36" s="1" t="s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41"/>
      <c r="B37" s="46"/>
      <c r="C37" s="46"/>
      <c r="D37" s="42"/>
      <c r="E37" s="3" t="s">
        <v>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41"/>
      <c r="B38" s="46"/>
      <c r="C38" s="46"/>
      <c r="D38" s="42"/>
      <c r="E38" s="3" t="s">
        <v>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47"/>
      <c r="B39" s="48"/>
      <c r="C39" s="48"/>
      <c r="D39" s="49"/>
      <c r="E39" s="3" t="s">
        <v>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50" t="s">
        <v>5</v>
      </c>
      <c r="B40" s="40"/>
      <c r="C40" s="51" t="s">
        <v>6</v>
      </c>
      <c r="D40" s="51" t="s">
        <v>7</v>
      </c>
      <c r="E40" s="33">
        <f>COUNTIF(D45:D62,1)</f>
        <v>12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47"/>
      <c r="B41" s="49"/>
      <c r="C41" s="52"/>
      <c r="D41" s="52"/>
      <c r="E41" s="3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>
      <c r="A42" s="35" t="s">
        <v>8</v>
      </c>
      <c r="B42" s="36"/>
      <c r="C42" s="4" t="s">
        <v>9</v>
      </c>
      <c r="D42" s="4" t="s">
        <v>10</v>
      </c>
      <c r="E42" s="5">
        <f>COUNTIF(D45:D62,0)</f>
        <v>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1" customHeight="1">
      <c r="A43" s="37" t="s">
        <v>11</v>
      </c>
      <c r="B43" s="38"/>
      <c r="C43" s="6" t="s">
        <v>71</v>
      </c>
      <c r="D43" s="4" t="s">
        <v>13</v>
      </c>
      <c r="E43" s="7" t="s">
        <v>14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8" t="s">
        <v>15</v>
      </c>
      <c r="B44" s="9" t="s">
        <v>16</v>
      </c>
      <c r="C44" s="10" t="s">
        <v>17</v>
      </c>
      <c r="D44" s="10" t="s">
        <v>18</v>
      </c>
      <c r="E44" s="11" t="s">
        <v>19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.75" customHeight="1">
      <c r="A45" s="12">
        <v>1.1000000000000001</v>
      </c>
      <c r="B45" s="53" t="s">
        <v>20</v>
      </c>
      <c r="C45" s="14" t="s">
        <v>21</v>
      </c>
      <c r="D45" s="15">
        <v>0</v>
      </c>
      <c r="E45" s="1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2">
        <v>1.2</v>
      </c>
      <c r="B46" s="54"/>
      <c r="C46" s="14" t="s">
        <v>22</v>
      </c>
      <c r="D46" s="17">
        <v>1</v>
      </c>
      <c r="E46" s="1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2">
        <v>1.3</v>
      </c>
      <c r="B47" s="52"/>
      <c r="C47" s="14" t="s">
        <v>23</v>
      </c>
      <c r="D47" s="15">
        <v>0</v>
      </c>
      <c r="E47" s="1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2">
        <v>2.1</v>
      </c>
      <c r="B48" s="53" t="s">
        <v>24</v>
      </c>
      <c r="C48" s="14" t="s">
        <v>25</v>
      </c>
      <c r="D48" s="17">
        <v>1</v>
      </c>
      <c r="E48" s="1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2">
        <v>2.2000000000000002</v>
      </c>
      <c r="B49" s="54"/>
      <c r="C49" s="14" t="s">
        <v>26</v>
      </c>
      <c r="D49" s="15">
        <v>0</v>
      </c>
      <c r="E49" s="1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2">
        <v>2.2999999999999998</v>
      </c>
      <c r="B50" s="54"/>
      <c r="C50" s="14" t="s">
        <v>27</v>
      </c>
      <c r="D50" s="15">
        <v>0</v>
      </c>
      <c r="E50" s="1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2">
        <v>2.4</v>
      </c>
      <c r="B51" s="52"/>
      <c r="C51" s="14" t="s">
        <v>28</v>
      </c>
      <c r="D51" s="17">
        <v>1</v>
      </c>
      <c r="E51" s="1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2">
        <v>3.1</v>
      </c>
      <c r="B52" s="53" t="s">
        <v>29</v>
      </c>
      <c r="C52" s="14" t="s">
        <v>30</v>
      </c>
      <c r="D52" s="17">
        <v>1</v>
      </c>
      <c r="E52" s="1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2">
        <v>3.2</v>
      </c>
      <c r="B53" s="54"/>
      <c r="C53" s="14" t="s">
        <v>31</v>
      </c>
      <c r="D53" s="17">
        <v>0</v>
      </c>
      <c r="E53" s="1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2">
        <v>3.3</v>
      </c>
      <c r="B54" s="54"/>
      <c r="C54" s="14" t="s">
        <v>32</v>
      </c>
      <c r="D54" s="17">
        <v>0</v>
      </c>
      <c r="E54" s="1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2">
        <v>3.4</v>
      </c>
      <c r="B55" s="52"/>
      <c r="C55" s="14" t="s">
        <v>33</v>
      </c>
      <c r="D55" s="17">
        <v>1</v>
      </c>
      <c r="E55" s="1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2">
        <v>4.0999999999999996</v>
      </c>
      <c r="B56" s="53" t="s">
        <v>34</v>
      </c>
      <c r="C56" s="14" t="s">
        <v>72</v>
      </c>
      <c r="D56" s="17">
        <v>1</v>
      </c>
      <c r="E56" s="1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2">
        <v>4.2</v>
      </c>
      <c r="B57" s="54"/>
      <c r="C57" s="14" t="s">
        <v>36</v>
      </c>
      <c r="D57" s="17">
        <v>1</v>
      </c>
      <c r="E57" s="1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2">
        <v>4.3</v>
      </c>
      <c r="B58" s="52"/>
      <c r="C58" s="14" t="s">
        <v>37</v>
      </c>
      <c r="D58" s="17">
        <v>1</v>
      </c>
      <c r="E58" s="1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2">
        <v>5.0999999999999996</v>
      </c>
      <c r="B59" s="53" t="s">
        <v>38</v>
      </c>
      <c r="C59" s="14" t="s">
        <v>39</v>
      </c>
      <c r="D59" s="17">
        <v>1</v>
      </c>
      <c r="E59" s="1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2">
        <v>5.2</v>
      </c>
      <c r="B60" s="54"/>
      <c r="C60" s="14" t="s">
        <v>40</v>
      </c>
      <c r="D60" s="17">
        <v>1</v>
      </c>
      <c r="E60" s="1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2">
        <v>5.3</v>
      </c>
      <c r="B61" s="54"/>
      <c r="C61" s="14" t="s">
        <v>41</v>
      </c>
      <c r="D61" s="17">
        <v>1</v>
      </c>
      <c r="E61" s="1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2">
        <v>5.4</v>
      </c>
      <c r="B62" s="52"/>
      <c r="C62" s="14" t="s">
        <v>42</v>
      </c>
      <c r="D62" s="17">
        <v>1</v>
      </c>
      <c r="E62" s="1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39" t="s">
        <v>43</v>
      </c>
      <c r="B63" s="40"/>
      <c r="C63" s="18" t="s">
        <v>44</v>
      </c>
      <c r="D63" s="19">
        <f>SUM(D45:D62)</f>
        <v>12</v>
      </c>
      <c r="E63" s="1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41"/>
      <c r="B64" s="42"/>
      <c r="C64" s="20" t="s">
        <v>45</v>
      </c>
      <c r="D64" s="21">
        <f>D63/18</f>
        <v>0.66666666666666663</v>
      </c>
      <c r="E64" s="2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3" t="s">
        <v>46</v>
      </c>
      <c r="B65" s="24" t="s">
        <v>47</v>
      </c>
      <c r="C65" s="20"/>
      <c r="D65" s="21"/>
      <c r="E65" s="2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3" t="s">
        <v>48</v>
      </c>
      <c r="B66" s="24" t="s">
        <v>49</v>
      </c>
      <c r="C66" s="25"/>
      <c r="D66" s="25"/>
      <c r="E66" s="1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3" t="s">
        <v>50</v>
      </c>
      <c r="B67" s="24" t="s">
        <v>51</v>
      </c>
      <c r="C67" s="26"/>
      <c r="D67" s="26"/>
      <c r="E67" s="2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2.5" customHeight="1">
      <c r="A68" s="37" t="s">
        <v>57</v>
      </c>
      <c r="B68" s="38"/>
      <c r="C68" s="27"/>
      <c r="D68" s="27" t="s">
        <v>53</v>
      </c>
      <c r="E68" s="28" t="s">
        <v>73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9"/>
      <c r="C69" s="29"/>
      <c r="D69" s="2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9"/>
      <c r="C70" s="29"/>
      <c r="D70" s="2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9"/>
      <c r="C71" s="29"/>
      <c r="D71" s="29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43" t="s">
        <v>0</v>
      </c>
      <c r="B72" s="44"/>
      <c r="C72" s="44"/>
      <c r="D72" s="45"/>
      <c r="E72" s="1" t="s">
        <v>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41"/>
      <c r="B73" s="46"/>
      <c r="C73" s="46"/>
      <c r="D73" s="42"/>
      <c r="E73" s="3" t="s">
        <v>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41"/>
      <c r="B74" s="46"/>
      <c r="C74" s="46"/>
      <c r="D74" s="42"/>
      <c r="E74" s="3" t="s">
        <v>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47"/>
      <c r="B75" s="48"/>
      <c r="C75" s="48"/>
      <c r="D75" s="49"/>
      <c r="E75" s="3" t="s">
        <v>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50" t="s">
        <v>5</v>
      </c>
      <c r="B76" s="40"/>
      <c r="C76" s="51" t="s">
        <v>6</v>
      </c>
      <c r="D76" s="51" t="s">
        <v>7</v>
      </c>
      <c r="E76" s="33">
        <f>COUNTIF(D81:D98,1)</f>
        <v>11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47"/>
      <c r="B77" s="49"/>
      <c r="C77" s="52"/>
      <c r="D77" s="52"/>
      <c r="E77" s="3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35" t="s">
        <v>8</v>
      </c>
      <c r="B78" s="36"/>
      <c r="C78" s="4" t="s">
        <v>9</v>
      </c>
      <c r="D78" s="4" t="s">
        <v>10</v>
      </c>
      <c r="E78" s="5">
        <f>COUNTIF(D81:D98,0)</f>
        <v>7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37" t="s">
        <v>11</v>
      </c>
      <c r="B79" s="38"/>
      <c r="C79" s="6" t="s">
        <v>74</v>
      </c>
      <c r="D79" s="4" t="s">
        <v>13</v>
      </c>
      <c r="E79" s="7" t="s">
        <v>14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8" t="s">
        <v>15</v>
      </c>
      <c r="B80" s="9" t="s">
        <v>16</v>
      </c>
      <c r="C80" s="10" t="s">
        <v>17</v>
      </c>
      <c r="D80" s="10" t="s">
        <v>18</v>
      </c>
      <c r="E80" s="11" t="s">
        <v>19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2">
        <v>1.1000000000000001</v>
      </c>
      <c r="B81" s="53" t="s">
        <v>20</v>
      </c>
      <c r="C81" s="14" t="s">
        <v>21</v>
      </c>
      <c r="D81" s="15">
        <v>0</v>
      </c>
      <c r="E81" s="1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2">
        <v>1.2</v>
      </c>
      <c r="B82" s="54"/>
      <c r="C82" s="14" t="s">
        <v>22</v>
      </c>
      <c r="D82" s="17">
        <v>1</v>
      </c>
      <c r="E82" s="1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2">
        <v>1.3</v>
      </c>
      <c r="B83" s="52"/>
      <c r="C83" s="14" t="s">
        <v>23</v>
      </c>
      <c r="D83" s="15">
        <v>0</v>
      </c>
      <c r="E83" s="1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2">
        <v>2.1</v>
      </c>
      <c r="B84" s="53" t="s">
        <v>24</v>
      </c>
      <c r="C84" s="14" t="s">
        <v>25</v>
      </c>
      <c r="D84" s="17">
        <v>1</v>
      </c>
      <c r="E84" s="1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2">
        <v>2.2000000000000002</v>
      </c>
      <c r="B85" s="54"/>
      <c r="C85" s="14" t="s">
        <v>26</v>
      </c>
      <c r="D85" s="17">
        <v>0</v>
      </c>
      <c r="E85" s="1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2">
        <v>2.2999999999999998</v>
      </c>
      <c r="B86" s="54"/>
      <c r="C86" s="14" t="s">
        <v>27</v>
      </c>
      <c r="D86" s="17">
        <v>0</v>
      </c>
      <c r="E86" s="1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2">
        <v>2.4</v>
      </c>
      <c r="B87" s="52"/>
      <c r="C87" s="14" t="s">
        <v>28</v>
      </c>
      <c r="D87" s="17">
        <v>1</v>
      </c>
      <c r="E87" s="1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2">
        <v>3.1</v>
      </c>
      <c r="B88" s="53" t="s">
        <v>29</v>
      </c>
      <c r="C88" s="14" t="s">
        <v>30</v>
      </c>
      <c r="D88" s="15">
        <v>0</v>
      </c>
      <c r="E88" s="1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2">
        <v>3.2</v>
      </c>
      <c r="B89" s="54"/>
      <c r="C89" s="14" t="s">
        <v>31</v>
      </c>
      <c r="D89" s="15">
        <v>0</v>
      </c>
      <c r="E89" s="1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2">
        <v>3.3</v>
      </c>
      <c r="B90" s="54"/>
      <c r="C90" s="14" t="s">
        <v>32</v>
      </c>
      <c r="D90" s="17">
        <v>1</v>
      </c>
      <c r="E90" s="1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2">
        <v>3.4</v>
      </c>
      <c r="B91" s="52"/>
      <c r="C91" s="14" t="s">
        <v>33</v>
      </c>
      <c r="D91" s="17">
        <v>0</v>
      </c>
      <c r="E91" s="1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2">
        <v>4.0999999999999996</v>
      </c>
      <c r="B92" s="53" t="s">
        <v>34</v>
      </c>
      <c r="C92" s="14" t="s">
        <v>75</v>
      </c>
      <c r="D92" s="17">
        <v>1</v>
      </c>
      <c r="E92" s="1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2">
        <v>4.2</v>
      </c>
      <c r="B93" s="54"/>
      <c r="C93" s="14" t="s">
        <v>36</v>
      </c>
      <c r="D93" s="15">
        <v>1</v>
      </c>
      <c r="E93" s="1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2">
        <v>4.3</v>
      </c>
      <c r="B94" s="52"/>
      <c r="C94" s="14" t="s">
        <v>37</v>
      </c>
      <c r="D94" s="17">
        <v>1</v>
      </c>
      <c r="E94" s="1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2">
        <v>5.0999999999999996</v>
      </c>
      <c r="B95" s="53" t="s">
        <v>38</v>
      </c>
      <c r="C95" s="14" t="s">
        <v>39</v>
      </c>
      <c r="D95" s="17">
        <v>1</v>
      </c>
      <c r="E95" s="1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2">
        <v>5.2</v>
      </c>
      <c r="B96" s="54"/>
      <c r="C96" s="14" t="s">
        <v>40</v>
      </c>
      <c r="D96" s="17">
        <v>1</v>
      </c>
      <c r="E96" s="1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2">
        <v>5.3</v>
      </c>
      <c r="B97" s="54"/>
      <c r="C97" s="14" t="s">
        <v>41</v>
      </c>
      <c r="D97" s="17">
        <v>1</v>
      </c>
      <c r="E97" s="1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2">
        <v>5.4</v>
      </c>
      <c r="B98" s="52"/>
      <c r="C98" s="14" t="s">
        <v>42</v>
      </c>
      <c r="D98" s="17">
        <v>1</v>
      </c>
      <c r="E98" s="1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39" t="s">
        <v>43</v>
      </c>
      <c r="B99" s="40"/>
      <c r="C99" s="18" t="s">
        <v>44</v>
      </c>
      <c r="D99" s="19">
        <f>SUM(D81:D98)</f>
        <v>11</v>
      </c>
      <c r="E99" s="1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41"/>
      <c r="B100" s="42"/>
      <c r="C100" s="20" t="s">
        <v>45</v>
      </c>
      <c r="D100" s="21">
        <f>D99/18</f>
        <v>0.61111111111111116</v>
      </c>
      <c r="E100" s="2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3" t="s">
        <v>46</v>
      </c>
      <c r="B101" s="24" t="s">
        <v>47</v>
      </c>
      <c r="C101" s="20"/>
      <c r="D101" s="21"/>
      <c r="E101" s="2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3" t="s">
        <v>48</v>
      </c>
      <c r="B102" s="24" t="s">
        <v>49</v>
      </c>
      <c r="C102" s="25"/>
      <c r="D102" s="25"/>
      <c r="E102" s="1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3" t="s">
        <v>50</v>
      </c>
      <c r="B103" s="24" t="s">
        <v>51</v>
      </c>
      <c r="C103" s="26"/>
      <c r="D103" s="26"/>
      <c r="E103" s="2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37" t="s">
        <v>57</v>
      </c>
      <c r="B104" s="38"/>
      <c r="C104" s="27"/>
      <c r="D104" s="27" t="s">
        <v>53</v>
      </c>
      <c r="E104" s="28" t="s">
        <v>76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9"/>
      <c r="C105" s="29"/>
      <c r="D105" s="2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9"/>
      <c r="C106" s="29"/>
      <c r="D106" s="2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9"/>
      <c r="C107" s="29"/>
      <c r="D107" s="2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43" t="s">
        <v>0</v>
      </c>
      <c r="B108" s="44"/>
      <c r="C108" s="44"/>
      <c r="D108" s="45"/>
      <c r="E108" s="1" t="s">
        <v>1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41"/>
      <c r="B109" s="46"/>
      <c r="C109" s="46"/>
      <c r="D109" s="42"/>
      <c r="E109" s="3" t="s">
        <v>2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41"/>
      <c r="B110" s="46"/>
      <c r="C110" s="46"/>
      <c r="D110" s="42"/>
      <c r="E110" s="3" t="s">
        <v>3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47"/>
      <c r="B111" s="48"/>
      <c r="C111" s="48"/>
      <c r="D111" s="49"/>
      <c r="E111" s="3" t="s">
        <v>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50" t="s">
        <v>5</v>
      </c>
      <c r="B112" s="40"/>
      <c r="C112" s="51" t="s">
        <v>6</v>
      </c>
      <c r="D112" s="51" t="s">
        <v>7</v>
      </c>
      <c r="E112" s="33">
        <f>COUNTIF(D117:D134,1)</f>
        <v>13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47"/>
      <c r="B113" s="49"/>
      <c r="C113" s="52"/>
      <c r="D113" s="52"/>
      <c r="E113" s="3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35" t="s">
        <v>8</v>
      </c>
      <c r="B114" s="36"/>
      <c r="C114" s="4" t="s">
        <v>9</v>
      </c>
      <c r="D114" s="4" t="s">
        <v>10</v>
      </c>
      <c r="E114" s="5">
        <f>COUNTIF(D117:D134,0)</f>
        <v>5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37" t="s">
        <v>11</v>
      </c>
      <c r="B115" s="38"/>
      <c r="C115" s="6" t="s">
        <v>77</v>
      </c>
      <c r="D115" s="4" t="s">
        <v>13</v>
      </c>
      <c r="E115" s="7" t="s">
        <v>14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8" t="s">
        <v>15</v>
      </c>
      <c r="B116" s="9" t="s">
        <v>16</v>
      </c>
      <c r="C116" s="10" t="s">
        <v>17</v>
      </c>
      <c r="D116" s="10" t="s">
        <v>18</v>
      </c>
      <c r="E116" s="11" t="s">
        <v>19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2">
        <v>1.1000000000000001</v>
      </c>
      <c r="B117" s="53" t="s">
        <v>20</v>
      </c>
      <c r="C117" s="14" t="s">
        <v>21</v>
      </c>
      <c r="D117" s="15">
        <v>0</v>
      </c>
      <c r="E117" s="1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2">
        <v>1.2</v>
      </c>
      <c r="B118" s="54"/>
      <c r="C118" s="14" t="s">
        <v>22</v>
      </c>
      <c r="D118" s="17">
        <v>1</v>
      </c>
      <c r="E118" s="1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2">
        <v>1.3</v>
      </c>
      <c r="B119" s="52"/>
      <c r="C119" s="14" t="s">
        <v>23</v>
      </c>
      <c r="D119" s="15">
        <v>0</v>
      </c>
      <c r="E119" s="1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2">
        <v>2.1</v>
      </c>
      <c r="B120" s="53" t="s">
        <v>24</v>
      </c>
      <c r="C120" s="14" t="s">
        <v>25</v>
      </c>
      <c r="D120" s="17">
        <v>1</v>
      </c>
      <c r="E120" s="1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2">
        <v>2.2000000000000002</v>
      </c>
      <c r="B121" s="54"/>
      <c r="C121" s="14" t="s">
        <v>26</v>
      </c>
      <c r="D121" s="17">
        <v>1</v>
      </c>
      <c r="E121" s="1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2">
        <v>2.2999999999999998</v>
      </c>
      <c r="B122" s="54"/>
      <c r="C122" s="14" t="s">
        <v>27</v>
      </c>
      <c r="D122" s="17">
        <v>1</v>
      </c>
      <c r="E122" s="1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2">
        <v>2.4</v>
      </c>
      <c r="B123" s="52"/>
      <c r="C123" s="14" t="s">
        <v>28</v>
      </c>
      <c r="D123" s="15">
        <v>1</v>
      </c>
      <c r="E123" s="1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2">
        <v>3.1</v>
      </c>
      <c r="B124" s="53" t="s">
        <v>29</v>
      </c>
      <c r="C124" s="14" t="s">
        <v>30</v>
      </c>
      <c r="D124" s="17">
        <v>1</v>
      </c>
      <c r="E124" s="1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2">
        <v>3.2</v>
      </c>
      <c r="B125" s="54"/>
      <c r="C125" s="14" t="s">
        <v>31</v>
      </c>
      <c r="D125" s="17">
        <v>0</v>
      </c>
      <c r="E125" s="1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2">
        <v>3.3</v>
      </c>
      <c r="B126" s="54"/>
      <c r="C126" s="14" t="s">
        <v>32</v>
      </c>
      <c r="D126" s="15">
        <v>0</v>
      </c>
      <c r="E126" s="1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2">
        <v>3.4</v>
      </c>
      <c r="B127" s="52"/>
      <c r="C127" s="14" t="s">
        <v>33</v>
      </c>
      <c r="D127" s="17">
        <v>1</v>
      </c>
      <c r="E127" s="1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2">
        <v>4.0999999999999996</v>
      </c>
      <c r="B128" s="53" t="s">
        <v>34</v>
      </c>
      <c r="C128" s="14" t="s">
        <v>78</v>
      </c>
      <c r="D128" s="17">
        <v>1</v>
      </c>
      <c r="E128" s="1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2">
        <v>4.2</v>
      </c>
      <c r="B129" s="54"/>
      <c r="C129" s="14" t="s">
        <v>36</v>
      </c>
      <c r="D129" s="17">
        <v>1</v>
      </c>
      <c r="E129" s="1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2">
        <v>4.3</v>
      </c>
      <c r="B130" s="52"/>
      <c r="C130" s="14" t="s">
        <v>37</v>
      </c>
      <c r="D130" s="15">
        <v>0</v>
      </c>
      <c r="E130" s="1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2">
        <v>5.0999999999999996</v>
      </c>
      <c r="B131" s="53" t="s">
        <v>38</v>
      </c>
      <c r="C131" s="14" t="s">
        <v>39</v>
      </c>
      <c r="D131" s="17">
        <v>1</v>
      </c>
      <c r="E131" s="1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2">
        <v>5.2</v>
      </c>
      <c r="B132" s="54"/>
      <c r="C132" s="14" t="s">
        <v>40</v>
      </c>
      <c r="D132" s="17">
        <v>1</v>
      </c>
      <c r="E132" s="1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2">
        <v>5.3</v>
      </c>
      <c r="B133" s="54"/>
      <c r="C133" s="14" t="s">
        <v>41</v>
      </c>
      <c r="D133" s="17">
        <v>1</v>
      </c>
      <c r="E133" s="1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2">
        <v>5.4</v>
      </c>
      <c r="B134" s="52"/>
      <c r="C134" s="14" t="s">
        <v>42</v>
      </c>
      <c r="D134" s="17">
        <v>1</v>
      </c>
      <c r="E134" s="1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39" t="s">
        <v>43</v>
      </c>
      <c r="B135" s="40"/>
      <c r="C135" s="18" t="s">
        <v>44</v>
      </c>
      <c r="D135" s="19">
        <f>SUM(D117:D134)</f>
        <v>13</v>
      </c>
      <c r="E135" s="1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41"/>
      <c r="B136" s="42"/>
      <c r="C136" s="20" t="s">
        <v>45</v>
      </c>
      <c r="D136" s="21">
        <f>D135/18</f>
        <v>0.72222222222222221</v>
      </c>
      <c r="E136" s="2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3" t="s">
        <v>46</v>
      </c>
      <c r="B137" s="24" t="s">
        <v>47</v>
      </c>
      <c r="C137" s="20"/>
      <c r="D137" s="21"/>
      <c r="E137" s="2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3" t="s">
        <v>48</v>
      </c>
      <c r="B138" s="24" t="s">
        <v>49</v>
      </c>
      <c r="C138" s="25"/>
      <c r="D138" s="25"/>
      <c r="E138" s="1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3" t="s">
        <v>50</v>
      </c>
      <c r="B139" s="24" t="s">
        <v>51</v>
      </c>
      <c r="C139" s="26"/>
      <c r="D139" s="26"/>
      <c r="E139" s="2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37" t="s">
        <v>57</v>
      </c>
      <c r="B140" s="38"/>
      <c r="C140" s="27"/>
      <c r="D140" s="27" t="s">
        <v>53</v>
      </c>
      <c r="E140" s="28" t="s">
        <v>79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9"/>
      <c r="C141" s="29"/>
      <c r="D141" s="2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9"/>
      <c r="C142" s="29"/>
      <c r="D142" s="2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9"/>
      <c r="C143" s="29"/>
      <c r="D143" s="2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43" t="s">
        <v>0</v>
      </c>
      <c r="B144" s="44"/>
      <c r="C144" s="44"/>
      <c r="D144" s="45"/>
      <c r="E144" s="1" t="s">
        <v>1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41"/>
      <c r="B145" s="46"/>
      <c r="C145" s="46"/>
      <c r="D145" s="42"/>
      <c r="E145" s="3" t="s">
        <v>2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41"/>
      <c r="B146" s="46"/>
      <c r="C146" s="46"/>
      <c r="D146" s="42"/>
      <c r="E146" s="3" t="s">
        <v>3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47"/>
      <c r="B147" s="48"/>
      <c r="C147" s="48"/>
      <c r="D147" s="49"/>
      <c r="E147" s="3" t="s">
        <v>4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50" t="s">
        <v>5</v>
      </c>
      <c r="B148" s="40"/>
      <c r="C148" s="51" t="s">
        <v>6</v>
      </c>
      <c r="D148" s="51" t="s">
        <v>7</v>
      </c>
      <c r="E148" s="33">
        <f>COUNTIF(D153:D170,1)</f>
        <v>13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47"/>
      <c r="B149" s="49"/>
      <c r="C149" s="52"/>
      <c r="D149" s="52"/>
      <c r="E149" s="3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35" t="s">
        <v>8</v>
      </c>
      <c r="B150" s="36"/>
      <c r="C150" s="4" t="s">
        <v>9</v>
      </c>
      <c r="D150" s="4" t="s">
        <v>10</v>
      </c>
      <c r="E150" s="5">
        <f>COUNTIF(D153:D170,0)</f>
        <v>5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37" t="s">
        <v>11</v>
      </c>
      <c r="B151" s="38"/>
      <c r="C151" s="6" t="s">
        <v>77</v>
      </c>
      <c r="D151" s="4" t="s">
        <v>13</v>
      </c>
      <c r="E151" s="7" t="s">
        <v>14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8" t="s">
        <v>15</v>
      </c>
      <c r="B152" s="9" t="s">
        <v>16</v>
      </c>
      <c r="C152" s="10" t="s">
        <v>17</v>
      </c>
      <c r="D152" s="10" t="s">
        <v>18</v>
      </c>
      <c r="E152" s="11" t="s">
        <v>19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2">
        <v>1.1000000000000001</v>
      </c>
      <c r="B153" s="53" t="s">
        <v>20</v>
      </c>
      <c r="C153" s="14" t="s">
        <v>21</v>
      </c>
      <c r="D153" s="15">
        <v>0</v>
      </c>
      <c r="E153" s="1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2">
        <v>1.2</v>
      </c>
      <c r="B154" s="54"/>
      <c r="C154" s="14" t="s">
        <v>22</v>
      </c>
      <c r="D154" s="17">
        <v>1</v>
      </c>
      <c r="E154" s="1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2">
        <v>1.3</v>
      </c>
      <c r="B155" s="52"/>
      <c r="C155" s="14" t="s">
        <v>23</v>
      </c>
      <c r="D155" s="15">
        <v>0</v>
      </c>
      <c r="E155" s="1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2">
        <v>2.1</v>
      </c>
      <c r="B156" s="53" t="s">
        <v>24</v>
      </c>
      <c r="C156" s="14" t="s">
        <v>25</v>
      </c>
      <c r="D156" s="15">
        <v>1</v>
      </c>
      <c r="E156" s="1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2">
        <v>2.2000000000000002</v>
      </c>
      <c r="B157" s="54"/>
      <c r="C157" s="14" t="s">
        <v>26</v>
      </c>
      <c r="D157" s="15">
        <v>1</v>
      </c>
      <c r="E157" s="1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2">
        <v>2.2999999999999998</v>
      </c>
      <c r="B158" s="54"/>
      <c r="C158" s="14" t="s">
        <v>27</v>
      </c>
      <c r="D158" s="15">
        <v>1</v>
      </c>
      <c r="E158" s="1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2">
        <v>2.4</v>
      </c>
      <c r="B159" s="52"/>
      <c r="C159" s="14" t="s">
        <v>28</v>
      </c>
      <c r="D159" s="15">
        <v>0</v>
      </c>
      <c r="E159" s="1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2">
        <v>3.1</v>
      </c>
      <c r="B160" s="53" t="s">
        <v>29</v>
      </c>
      <c r="C160" s="14" t="s">
        <v>30</v>
      </c>
      <c r="D160" s="15">
        <v>0</v>
      </c>
      <c r="E160" s="1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2">
        <v>3.2</v>
      </c>
      <c r="B161" s="54"/>
      <c r="C161" s="14" t="s">
        <v>31</v>
      </c>
      <c r="D161" s="17">
        <v>1</v>
      </c>
      <c r="E161" s="1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2">
        <v>3.3</v>
      </c>
      <c r="B162" s="54"/>
      <c r="C162" s="14" t="s">
        <v>32</v>
      </c>
      <c r="D162" s="17">
        <v>1</v>
      </c>
      <c r="E162" s="1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2">
        <v>3.4</v>
      </c>
      <c r="B163" s="52"/>
      <c r="C163" s="14" t="s">
        <v>33</v>
      </c>
      <c r="D163" s="17">
        <v>1</v>
      </c>
      <c r="E163" s="1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2">
        <v>4.0999999999999996</v>
      </c>
      <c r="B164" s="53" t="s">
        <v>34</v>
      </c>
      <c r="C164" s="14" t="s">
        <v>80</v>
      </c>
      <c r="D164" s="15">
        <v>0</v>
      </c>
      <c r="E164" s="1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2">
        <v>4.2</v>
      </c>
      <c r="B165" s="54"/>
      <c r="C165" s="14" t="s">
        <v>36</v>
      </c>
      <c r="D165" s="17">
        <v>1</v>
      </c>
      <c r="E165" s="1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2">
        <v>4.3</v>
      </c>
      <c r="B166" s="52"/>
      <c r="C166" s="14" t="s">
        <v>37</v>
      </c>
      <c r="D166" s="17">
        <v>1</v>
      </c>
      <c r="E166" s="1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2">
        <v>5.0999999999999996</v>
      </c>
      <c r="B167" s="53" t="s">
        <v>38</v>
      </c>
      <c r="C167" s="14" t="s">
        <v>39</v>
      </c>
      <c r="D167" s="17">
        <v>1</v>
      </c>
      <c r="E167" s="1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2">
        <v>5.2</v>
      </c>
      <c r="B168" s="54"/>
      <c r="C168" s="14" t="s">
        <v>40</v>
      </c>
      <c r="D168" s="17">
        <v>1</v>
      </c>
      <c r="E168" s="1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2">
        <v>5.3</v>
      </c>
      <c r="B169" s="54"/>
      <c r="C169" s="14" t="s">
        <v>41</v>
      </c>
      <c r="D169" s="17">
        <v>1</v>
      </c>
      <c r="E169" s="1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2">
        <v>5.4</v>
      </c>
      <c r="B170" s="52"/>
      <c r="C170" s="14" t="s">
        <v>42</v>
      </c>
      <c r="D170" s="17">
        <v>1</v>
      </c>
      <c r="E170" s="1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39" t="s">
        <v>43</v>
      </c>
      <c r="B171" s="40"/>
      <c r="C171" s="18" t="s">
        <v>44</v>
      </c>
      <c r="D171" s="19">
        <f>SUM(D153:D170)</f>
        <v>13</v>
      </c>
      <c r="E171" s="1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41"/>
      <c r="B172" s="42"/>
      <c r="C172" s="20" t="s">
        <v>45</v>
      </c>
      <c r="D172" s="21">
        <f>D171/18</f>
        <v>0.72222222222222221</v>
      </c>
      <c r="E172" s="2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3" t="s">
        <v>46</v>
      </c>
      <c r="B173" s="24" t="s">
        <v>47</v>
      </c>
      <c r="C173" s="20"/>
      <c r="D173" s="21"/>
      <c r="E173" s="2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3" t="s">
        <v>48</v>
      </c>
      <c r="B174" s="24" t="s">
        <v>49</v>
      </c>
      <c r="C174" s="25"/>
      <c r="D174" s="25"/>
      <c r="E174" s="1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3" t="s">
        <v>50</v>
      </c>
      <c r="B175" s="24" t="s">
        <v>51</v>
      </c>
      <c r="C175" s="26"/>
      <c r="D175" s="26"/>
      <c r="E175" s="2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37" t="s">
        <v>57</v>
      </c>
      <c r="B176" s="38"/>
      <c r="C176" s="27"/>
      <c r="D176" s="27" t="s">
        <v>53</v>
      </c>
      <c r="E176" s="28" t="s">
        <v>81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9"/>
      <c r="C177" s="29"/>
      <c r="D177" s="29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9"/>
      <c r="C178" s="29"/>
      <c r="D178" s="2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9"/>
      <c r="C179" s="29"/>
      <c r="D179" s="2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9"/>
      <c r="C180" s="29"/>
      <c r="D180" s="2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9"/>
      <c r="C181" s="29"/>
      <c r="D181" s="29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9"/>
      <c r="C182" s="29"/>
      <c r="D182" s="29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9"/>
      <c r="C183" s="29"/>
      <c r="D183" s="29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9"/>
      <c r="C184" s="29"/>
      <c r="D184" s="29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9"/>
      <c r="C185" s="29"/>
      <c r="D185" s="29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9"/>
      <c r="C186" s="29"/>
      <c r="D186" s="2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9"/>
      <c r="C187" s="29"/>
      <c r="D187" s="2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9"/>
      <c r="C188" s="29"/>
      <c r="D188" s="2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9"/>
      <c r="C189" s="29"/>
      <c r="D189" s="2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9"/>
      <c r="C190" s="29"/>
      <c r="D190" s="2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9"/>
      <c r="C191" s="29"/>
      <c r="D191" s="2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9"/>
      <c r="C192" s="29"/>
      <c r="D192" s="2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9"/>
      <c r="C193" s="29"/>
      <c r="D193" s="2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9"/>
      <c r="C194" s="29"/>
      <c r="D194" s="2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9"/>
      <c r="C195" s="29"/>
      <c r="D195" s="2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9"/>
      <c r="C196" s="29"/>
      <c r="D196" s="2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9"/>
      <c r="C197" s="29"/>
      <c r="D197" s="2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9"/>
      <c r="C198" s="29"/>
      <c r="D198" s="2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9"/>
      <c r="C199" s="29"/>
      <c r="D199" s="2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9"/>
      <c r="C200" s="29"/>
      <c r="D200" s="29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9"/>
      <c r="C201" s="29"/>
      <c r="D201" s="29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9"/>
      <c r="C202" s="29"/>
      <c r="D202" s="29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9"/>
      <c r="C203" s="29"/>
      <c r="D203" s="2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9"/>
      <c r="C204" s="29"/>
      <c r="D204" s="29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9"/>
      <c r="C205" s="29"/>
      <c r="D205" s="2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9"/>
      <c r="C206" s="29"/>
      <c r="D206" s="2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9"/>
      <c r="C207" s="29"/>
      <c r="D207" s="29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9"/>
      <c r="C208" s="29"/>
      <c r="D208" s="29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9"/>
      <c r="C209" s="29"/>
      <c r="D209" s="29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9"/>
      <c r="C210" s="29"/>
      <c r="D210" s="29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9"/>
      <c r="C211" s="29"/>
      <c r="D211" s="29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9"/>
      <c r="C212" s="29"/>
      <c r="D212" s="29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9"/>
      <c r="C213" s="29"/>
      <c r="D213" s="29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9"/>
      <c r="C214" s="29"/>
      <c r="D214" s="2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9"/>
      <c r="C215" s="29"/>
      <c r="D215" s="2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9"/>
      <c r="C216" s="29"/>
      <c r="D216" s="2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9"/>
      <c r="C217" s="29"/>
      <c r="D217" s="2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9"/>
      <c r="C218" s="29"/>
      <c r="D218" s="29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9"/>
      <c r="C219" s="29"/>
      <c r="D219" s="29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9"/>
      <c r="C220" s="29"/>
      <c r="D220" s="29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9"/>
      <c r="C221" s="29"/>
      <c r="D221" s="29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9"/>
      <c r="C222" s="29"/>
      <c r="D222" s="29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9"/>
      <c r="C223" s="29"/>
      <c r="D223" s="29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9"/>
      <c r="C224" s="29"/>
      <c r="D224" s="29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9"/>
      <c r="C225" s="29"/>
      <c r="D225" s="29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9"/>
      <c r="C226" s="29"/>
      <c r="D226" s="29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9"/>
      <c r="C227" s="29"/>
      <c r="D227" s="29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9"/>
      <c r="C228" s="29"/>
      <c r="D228" s="29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9"/>
      <c r="C229" s="29"/>
      <c r="D229" s="29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9"/>
      <c r="C230" s="29"/>
      <c r="D230" s="29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9"/>
      <c r="C231" s="29"/>
      <c r="D231" s="29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9"/>
      <c r="C232" s="29"/>
      <c r="D232" s="29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9"/>
      <c r="C233" s="29"/>
      <c r="D233" s="29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9"/>
      <c r="C234" s="29"/>
      <c r="D234" s="29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9"/>
      <c r="C235" s="29"/>
      <c r="D235" s="29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9"/>
      <c r="C236" s="29"/>
      <c r="D236" s="29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9"/>
      <c r="C237" s="29"/>
      <c r="D237" s="29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9"/>
      <c r="C238" s="29"/>
      <c r="D238" s="29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9"/>
      <c r="C239" s="29"/>
      <c r="D239" s="29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9"/>
      <c r="C240" s="29"/>
      <c r="D240" s="29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9"/>
      <c r="C241" s="29"/>
      <c r="D241" s="29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9"/>
      <c r="C242" s="29"/>
      <c r="D242" s="2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9"/>
      <c r="C243" s="29"/>
      <c r="D243" s="29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9"/>
      <c r="C244" s="29"/>
      <c r="D244" s="2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9"/>
      <c r="C245" s="29"/>
      <c r="D245" s="29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9"/>
      <c r="C246" s="29"/>
      <c r="D246" s="2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9"/>
      <c r="C247" s="29"/>
      <c r="D247" s="29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9"/>
      <c r="C248" s="29"/>
      <c r="D248" s="2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9"/>
      <c r="C249" s="29"/>
      <c r="D249" s="29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9"/>
      <c r="C250" s="29"/>
      <c r="D250" s="2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9"/>
      <c r="C251" s="29"/>
      <c r="D251" s="29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9"/>
      <c r="C252" s="29"/>
      <c r="D252" s="29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9"/>
      <c r="C253" s="29"/>
      <c r="D253" s="29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9"/>
      <c r="C254" s="29"/>
      <c r="D254" s="29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9"/>
      <c r="C255" s="29"/>
      <c r="D255" s="29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9"/>
      <c r="C256" s="29"/>
      <c r="D256" s="29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9"/>
      <c r="C257" s="29"/>
      <c r="D257" s="29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9"/>
      <c r="C258" s="29"/>
      <c r="D258" s="2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9"/>
      <c r="C259" s="29"/>
      <c r="D259" s="29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9"/>
      <c r="C260" s="29"/>
      <c r="D260" s="2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9"/>
      <c r="C261" s="29"/>
      <c r="D261" s="29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9"/>
      <c r="C262" s="29"/>
      <c r="D262" s="29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9"/>
      <c r="C263" s="29"/>
      <c r="D263" s="29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9"/>
      <c r="C264" s="29"/>
      <c r="D264" s="29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9"/>
      <c r="C265" s="29"/>
      <c r="D265" s="29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9"/>
      <c r="C266" s="29"/>
      <c r="D266" s="29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9"/>
      <c r="C267" s="29"/>
      <c r="D267" s="29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9"/>
      <c r="C268" s="29"/>
      <c r="D268" s="29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9"/>
      <c r="C269" s="29"/>
      <c r="D269" s="29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9"/>
      <c r="C270" s="29"/>
      <c r="D270" s="2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9"/>
      <c r="C271" s="29"/>
      <c r="D271" s="29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9"/>
      <c r="C272" s="29"/>
      <c r="D272" s="29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9"/>
      <c r="C273" s="29"/>
      <c r="D273" s="29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9"/>
      <c r="C274" s="29"/>
      <c r="D274" s="29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9"/>
      <c r="C275" s="29"/>
      <c r="D275" s="29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9"/>
      <c r="C276" s="29"/>
      <c r="D276" s="29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9"/>
      <c r="C277" s="29"/>
      <c r="D277" s="29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9"/>
      <c r="C278" s="29"/>
      <c r="D278" s="29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9"/>
      <c r="C279" s="29"/>
      <c r="D279" s="29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9"/>
      <c r="C280" s="29"/>
      <c r="D280" s="29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9"/>
      <c r="C281" s="29"/>
      <c r="D281" s="29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9"/>
      <c r="C282" s="29"/>
      <c r="D282" s="29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9"/>
      <c r="C283" s="29"/>
      <c r="D283" s="29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9"/>
      <c r="C284" s="29"/>
      <c r="D284" s="29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9"/>
      <c r="C285" s="29"/>
      <c r="D285" s="29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9"/>
      <c r="C286" s="29"/>
      <c r="D286" s="29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9"/>
      <c r="C287" s="29"/>
      <c r="D287" s="2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9"/>
      <c r="C288" s="29"/>
      <c r="D288" s="29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9"/>
      <c r="C289" s="29"/>
      <c r="D289" s="2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9"/>
      <c r="C290" s="29"/>
      <c r="D290" s="29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9"/>
      <c r="C291" s="29"/>
      <c r="D291" s="29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9"/>
      <c r="C292" s="29"/>
      <c r="D292" s="29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9"/>
      <c r="C293" s="29"/>
      <c r="D293" s="2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9"/>
      <c r="C294" s="29"/>
      <c r="D294" s="2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9"/>
      <c r="C295" s="29"/>
      <c r="D295" s="2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9"/>
      <c r="C296" s="29"/>
      <c r="D296" s="2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9"/>
      <c r="C297" s="29"/>
      <c r="D297" s="2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9"/>
      <c r="C298" s="29"/>
      <c r="D298" s="2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9"/>
      <c r="C299" s="29"/>
      <c r="D299" s="2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9"/>
      <c r="C300" s="29"/>
      <c r="D300" s="2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9"/>
      <c r="C301" s="29"/>
      <c r="D301" s="2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9"/>
      <c r="C302" s="29"/>
      <c r="D302" s="2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9"/>
      <c r="C303" s="29"/>
      <c r="D303" s="2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9"/>
      <c r="C304" s="29"/>
      <c r="D304" s="2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9"/>
      <c r="C305" s="29"/>
      <c r="D305" s="2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9"/>
      <c r="C306" s="29"/>
      <c r="D306" s="2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9"/>
      <c r="C307" s="29"/>
      <c r="D307" s="2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9"/>
      <c r="C308" s="29"/>
      <c r="D308" s="2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9"/>
      <c r="C309" s="29"/>
      <c r="D309" s="2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9"/>
      <c r="C310" s="29"/>
      <c r="D310" s="2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9"/>
      <c r="C311" s="29"/>
      <c r="D311" s="2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9"/>
      <c r="C312" s="29"/>
      <c r="D312" s="2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9"/>
      <c r="C313" s="29"/>
      <c r="D313" s="2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9"/>
      <c r="C314" s="29"/>
      <c r="D314" s="2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9"/>
      <c r="C315" s="29"/>
      <c r="D315" s="2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9"/>
      <c r="C316" s="29"/>
      <c r="D316" s="2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9"/>
      <c r="C317" s="29"/>
      <c r="D317" s="2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9"/>
      <c r="C318" s="29"/>
      <c r="D318" s="2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9"/>
      <c r="C319" s="29"/>
      <c r="D319" s="2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9"/>
      <c r="C320" s="29"/>
      <c r="D320" s="2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9"/>
      <c r="C321" s="29"/>
      <c r="D321" s="2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9"/>
      <c r="C322" s="29"/>
      <c r="D322" s="2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9"/>
      <c r="C323" s="29"/>
      <c r="D323" s="2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9"/>
      <c r="C324" s="29"/>
      <c r="D324" s="29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9"/>
      <c r="C325" s="29"/>
      <c r="D325" s="2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9"/>
      <c r="C326" s="29"/>
      <c r="D326" s="29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9"/>
      <c r="C327" s="29"/>
      <c r="D327" s="2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9"/>
      <c r="C328" s="29"/>
      <c r="D328" s="2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9"/>
      <c r="C329" s="29"/>
      <c r="D329" s="2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9"/>
      <c r="C330" s="29"/>
      <c r="D330" s="2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9"/>
      <c r="C331" s="29"/>
      <c r="D331" s="2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9"/>
      <c r="C332" s="29"/>
      <c r="D332" s="2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9"/>
      <c r="C333" s="29"/>
      <c r="D333" s="2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9"/>
      <c r="C334" s="29"/>
      <c r="D334" s="29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9"/>
      <c r="C335" s="29"/>
      <c r="D335" s="29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9"/>
      <c r="C336" s="29"/>
      <c r="D336" s="29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9"/>
      <c r="C337" s="29"/>
      <c r="D337" s="29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9"/>
      <c r="C338" s="29"/>
      <c r="D338" s="29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9"/>
      <c r="C339" s="29"/>
      <c r="D339" s="29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9"/>
      <c r="C340" s="29"/>
      <c r="D340" s="29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70">
    <mergeCell ref="B117:B119"/>
    <mergeCell ref="B120:B123"/>
    <mergeCell ref="B124:B127"/>
    <mergeCell ref="A114:B114"/>
    <mergeCell ref="A115:B115"/>
    <mergeCell ref="B128:B130"/>
    <mergeCell ref="B131:B134"/>
    <mergeCell ref="A135:B136"/>
    <mergeCell ref="A140:B140"/>
    <mergeCell ref="A1:D4"/>
    <mergeCell ref="A5:B6"/>
    <mergeCell ref="C5:C6"/>
    <mergeCell ref="D5:D6"/>
    <mergeCell ref="B17:B20"/>
    <mergeCell ref="B21:B23"/>
    <mergeCell ref="B24:B27"/>
    <mergeCell ref="A28:B29"/>
    <mergeCell ref="A33:B33"/>
    <mergeCell ref="A36:D39"/>
    <mergeCell ref="A40:B41"/>
    <mergeCell ref="C40:C41"/>
    <mergeCell ref="E5:E6"/>
    <mergeCell ref="A7:B7"/>
    <mergeCell ref="A8:B8"/>
    <mergeCell ref="B10:B12"/>
    <mergeCell ref="B13:B16"/>
    <mergeCell ref="D40:D41"/>
    <mergeCell ref="E40:E41"/>
    <mergeCell ref="A42:B42"/>
    <mergeCell ref="A43:B43"/>
    <mergeCell ref="B45:B47"/>
    <mergeCell ref="B48:B51"/>
    <mergeCell ref="B52:B55"/>
    <mergeCell ref="B56:B58"/>
    <mergeCell ref="B59:B62"/>
    <mergeCell ref="A63:B64"/>
    <mergeCell ref="A68:B68"/>
    <mergeCell ref="A72:D75"/>
    <mergeCell ref="A76:B77"/>
    <mergeCell ref="C76:C77"/>
    <mergeCell ref="D76:D77"/>
    <mergeCell ref="E76:E77"/>
    <mergeCell ref="A78:B78"/>
    <mergeCell ref="A79:B79"/>
    <mergeCell ref="A108:D111"/>
    <mergeCell ref="A112:B113"/>
    <mergeCell ref="C112:C113"/>
    <mergeCell ref="D112:D113"/>
    <mergeCell ref="E112:E113"/>
    <mergeCell ref="A99:B100"/>
    <mergeCell ref="A104:B104"/>
    <mergeCell ref="B81:B83"/>
    <mergeCell ref="B84:B87"/>
    <mergeCell ref="B88:B91"/>
    <mergeCell ref="B92:B94"/>
    <mergeCell ref="B95:B98"/>
    <mergeCell ref="A144:D147"/>
    <mergeCell ref="A148:B149"/>
    <mergeCell ref="C148:C149"/>
    <mergeCell ref="D148:D149"/>
    <mergeCell ref="B153:B155"/>
    <mergeCell ref="E148:E149"/>
    <mergeCell ref="A150:B150"/>
    <mergeCell ref="A151:B151"/>
    <mergeCell ref="A171:B172"/>
    <mergeCell ref="A176:B176"/>
    <mergeCell ref="B156:B159"/>
    <mergeCell ref="B160:B163"/>
    <mergeCell ref="B164:B166"/>
    <mergeCell ref="B167:B170"/>
  </mergeCells>
  <conditionalFormatting sqref="D28 D171">
    <cfRule type="colorScale" priority="1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10:D27 D153:D170">
    <cfRule type="colorScale" priority="2">
      <colorScale>
        <cfvo type="formula" val="0"/>
        <cfvo type="formula" val="1"/>
        <color rgb="FFFF0000"/>
        <color rgb="FF00B050"/>
      </colorScale>
    </cfRule>
  </conditionalFormatting>
  <conditionalFormatting sqref="D63">
    <cfRule type="colorScale" priority="3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45:D62">
    <cfRule type="colorScale" priority="4">
      <colorScale>
        <cfvo type="formula" val="0"/>
        <cfvo type="formula" val="1"/>
        <color rgb="FFFF0000"/>
        <color rgb="FF00B050"/>
      </colorScale>
    </cfRule>
  </conditionalFormatting>
  <conditionalFormatting sqref="D99">
    <cfRule type="colorScale" priority="5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81:D98">
    <cfRule type="colorScale" priority="6">
      <colorScale>
        <cfvo type="formula" val="0"/>
        <cfvo type="formula" val="1"/>
        <color rgb="FFFF0000"/>
        <color rgb="FF00B050"/>
      </colorScale>
    </cfRule>
  </conditionalFormatting>
  <conditionalFormatting sqref="D135">
    <cfRule type="colorScale" priority="7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117:D134">
    <cfRule type="colorScale" priority="8">
      <colorScale>
        <cfvo type="formula" val="0"/>
        <cfvo type="formula" val="1"/>
        <color rgb="FFFF0000"/>
        <color rgb="FF00B050"/>
      </colorScale>
    </cfRule>
  </conditionalFormatting>
  <pageMargins left="0.3" right="0.2" top="0.7" bottom="0" header="0" footer="0"/>
  <pageSetup paperSize="9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workbookViewId="0">
      <selection sqref="A1:D4"/>
    </sheetView>
  </sheetViews>
  <sheetFormatPr defaultColWidth="14.42578125" defaultRowHeight="15" customHeight="1"/>
  <cols>
    <col min="1" max="1" width="25.85546875" customWidth="1"/>
    <col min="2" max="2" width="20.42578125" customWidth="1"/>
    <col min="3" max="3" width="85.5703125" customWidth="1"/>
    <col min="4" max="4" width="27.5703125" customWidth="1"/>
    <col min="5" max="5" width="36.5703125" customWidth="1"/>
    <col min="6" max="25" width="9.140625" customWidth="1"/>
  </cols>
  <sheetData>
    <row r="1" spans="1:26">
      <c r="A1" s="43" t="s">
        <v>0</v>
      </c>
      <c r="B1" s="44"/>
      <c r="C1" s="44"/>
      <c r="D1" s="45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1"/>
      <c r="B2" s="46"/>
      <c r="C2" s="46"/>
      <c r="D2" s="42"/>
      <c r="E2" s="3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1"/>
      <c r="B3" s="46"/>
      <c r="C3" s="46"/>
      <c r="D3" s="42"/>
      <c r="E3" s="3" t="s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7"/>
      <c r="B4" s="48"/>
      <c r="C4" s="48"/>
      <c r="D4" s="49"/>
      <c r="E4" s="3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0" t="s">
        <v>5</v>
      </c>
      <c r="B5" s="40"/>
      <c r="C5" s="51" t="s">
        <v>6</v>
      </c>
      <c r="D5" s="51" t="s">
        <v>7</v>
      </c>
      <c r="E5" s="33">
        <f>COUNTIF(D10:D27,1)</f>
        <v>13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7"/>
      <c r="B6" s="49"/>
      <c r="C6" s="52"/>
      <c r="D6" s="52"/>
      <c r="E6" s="3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>
      <c r="A7" s="35" t="s">
        <v>8</v>
      </c>
      <c r="B7" s="36"/>
      <c r="C7" s="4" t="s">
        <v>9</v>
      </c>
      <c r="D7" s="4" t="s">
        <v>10</v>
      </c>
      <c r="E7" s="5">
        <f>COUNTIF(D10:D27,0)</f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>
      <c r="A8" s="37" t="s">
        <v>11</v>
      </c>
      <c r="B8" s="38"/>
      <c r="C8" s="6" t="s">
        <v>82</v>
      </c>
      <c r="D8" s="4" t="s">
        <v>13</v>
      </c>
      <c r="E8" s="7" t="s">
        <v>14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6">
      <c r="A9" s="8" t="s">
        <v>15</v>
      </c>
      <c r="B9" s="9" t="s">
        <v>16</v>
      </c>
      <c r="C9" s="10" t="s">
        <v>17</v>
      </c>
      <c r="D9" s="10" t="s">
        <v>18</v>
      </c>
      <c r="E9" s="11" t="s">
        <v>19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.25">
      <c r="A10" s="12">
        <v>1.1000000000000001</v>
      </c>
      <c r="B10" s="53" t="s">
        <v>20</v>
      </c>
      <c r="C10" s="14" t="s">
        <v>21</v>
      </c>
      <c r="D10" s="15">
        <v>0</v>
      </c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0.25">
      <c r="A11" s="12">
        <v>1.2</v>
      </c>
      <c r="B11" s="54"/>
      <c r="C11" s="14" t="s">
        <v>22</v>
      </c>
      <c r="D11" s="17">
        <v>1</v>
      </c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.25">
      <c r="A12" s="12">
        <v>1.3</v>
      </c>
      <c r="B12" s="52"/>
      <c r="C12" s="14" t="s">
        <v>23</v>
      </c>
      <c r="D12" s="15">
        <v>0</v>
      </c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25">
      <c r="A13" s="12">
        <v>2.1</v>
      </c>
      <c r="B13" s="53" t="s">
        <v>24</v>
      </c>
      <c r="C13" s="14" t="s">
        <v>25</v>
      </c>
      <c r="D13" s="17">
        <v>1</v>
      </c>
      <c r="E13" s="1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.25">
      <c r="A14" s="12">
        <v>2.2000000000000002</v>
      </c>
      <c r="B14" s="54"/>
      <c r="C14" s="14" t="s">
        <v>26</v>
      </c>
      <c r="D14" s="15">
        <v>0</v>
      </c>
      <c r="E14" s="1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0.5">
      <c r="A15" s="12">
        <v>2.2999999999999998</v>
      </c>
      <c r="B15" s="54"/>
      <c r="C15" s="14" t="s">
        <v>27</v>
      </c>
      <c r="D15" s="15">
        <v>0</v>
      </c>
      <c r="E15" s="1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60.75">
      <c r="A16" s="12">
        <v>2.4</v>
      </c>
      <c r="B16" s="52"/>
      <c r="C16" s="14" t="s">
        <v>28</v>
      </c>
      <c r="D16" s="17">
        <v>1</v>
      </c>
      <c r="E16" s="1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0.25">
      <c r="A17" s="12">
        <v>3.1</v>
      </c>
      <c r="B17" s="53" t="s">
        <v>29</v>
      </c>
      <c r="C17" s="14" t="s">
        <v>30</v>
      </c>
      <c r="D17" s="17">
        <v>0</v>
      </c>
      <c r="E17" s="1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.25">
      <c r="A18" s="12">
        <v>3.2</v>
      </c>
      <c r="B18" s="54"/>
      <c r="C18" s="14" t="s">
        <v>31</v>
      </c>
      <c r="D18" s="15">
        <v>1</v>
      </c>
      <c r="E18" s="1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0.5">
      <c r="A19" s="12">
        <v>3.3</v>
      </c>
      <c r="B19" s="54"/>
      <c r="C19" s="14" t="s">
        <v>32</v>
      </c>
      <c r="D19" s="17">
        <v>1</v>
      </c>
      <c r="E19" s="1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60.75">
      <c r="A20" s="12">
        <v>3.4</v>
      </c>
      <c r="B20" s="52"/>
      <c r="C20" s="14" t="s">
        <v>33</v>
      </c>
      <c r="D20" s="17">
        <v>1</v>
      </c>
      <c r="E20" s="1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2">
        <v>4.0999999999999996</v>
      </c>
      <c r="B21" s="53" t="s">
        <v>34</v>
      </c>
      <c r="C21" s="14" t="s">
        <v>83</v>
      </c>
      <c r="D21" s="17">
        <v>1</v>
      </c>
      <c r="E21" s="1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2">
        <v>4.2</v>
      </c>
      <c r="B22" s="54"/>
      <c r="C22" s="14" t="s">
        <v>36</v>
      </c>
      <c r="D22" s="17">
        <v>1</v>
      </c>
      <c r="E22" s="1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2">
        <v>4.3</v>
      </c>
      <c r="B23" s="52"/>
      <c r="C23" s="14" t="s">
        <v>37</v>
      </c>
      <c r="D23" s="17">
        <v>1</v>
      </c>
      <c r="E23" s="1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2">
        <v>5.0999999999999996</v>
      </c>
      <c r="B24" s="53" t="s">
        <v>38</v>
      </c>
      <c r="C24" s="14" t="s">
        <v>39</v>
      </c>
      <c r="D24" s="17">
        <v>1</v>
      </c>
      <c r="E24" s="1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2">
        <v>5.2</v>
      </c>
      <c r="B25" s="54"/>
      <c r="C25" s="14" t="s">
        <v>40</v>
      </c>
      <c r="D25" s="17">
        <v>1</v>
      </c>
      <c r="E25" s="1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2">
        <v>5.3</v>
      </c>
      <c r="B26" s="54"/>
      <c r="C26" s="14" t="s">
        <v>41</v>
      </c>
      <c r="D26" s="17">
        <v>1</v>
      </c>
      <c r="E26" s="1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2">
        <v>5.4</v>
      </c>
      <c r="B27" s="52"/>
      <c r="C27" s="14" t="s">
        <v>42</v>
      </c>
      <c r="D27" s="17">
        <v>1</v>
      </c>
      <c r="E27" s="16"/>
      <c r="F27" s="2"/>
      <c r="G27" s="31"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39" t="s">
        <v>43</v>
      </c>
      <c r="B28" s="40"/>
      <c r="C28" s="18" t="s">
        <v>44</v>
      </c>
      <c r="D28" s="19">
        <f>SUM(D10:D27)</f>
        <v>13</v>
      </c>
      <c r="E28" s="1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41"/>
      <c r="B29" s="42"/>
      <c r="C29" s="20" t="s">
        <v>45</v>
      </c>
      <c r="D29" s="21">
        <f>D28/18</f>
        <v>0.72222222222222221</v>
      </c>
      <c r="E29" s="2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3" t="s">
        <v>46</v>
      </c>
      <c r="B30" s="24" t="s">
        <v>47</v>
      </c>
      <c r="C30" s="20"/>
      <c r="D30" s="21"/>
      <c r="E30" s="2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3" t="s">
        <v>48</v>
      </c>
      <c r="B31" s="24" t="s">
        <v>49</v>
      </c>
      <c r="C31" s="25"/>
      <c r="D31" s="25"/>
      <c r="E31" s="1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3" t="s">
        <v>50</v>
      </c>
      <c r="B32" s="24" t="s">
        <v>51</v>
      </c>
      <c r="C32" s="26"/>
      <c r="D32" s="26"/>
      <c r="E32" s="2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37" t="s">
        <v>52</v>
      </c>
      <c r="B33" s="38"/>
      <c r="C33" s="27"/>
      <c r="D33" s="27" t="s">
        <v>53</v>
      </c>
      <c r="E33" s="28" t="s">
        <v>84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9"/>
      <c r="C34" s="29"/>
      <c r="D34" s="29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9"/>
      <c r="C35" s="29"/>
      <c r="D35" s="29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43" t="s">
        <v>0</v>
      </c>
      <c r="B36" s="44"/>
      <c r="C36" s="44"/>
      <c r="D36" s="45"/>
      <c r="E36" s="1" t="s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41"/>
      <c r="B37" s="46"/>
      <c r="C37" s="46"/>
      <c r="D37" s="42"/>
      <c r="E37" s="3" t="s">
        <v>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41"/>
      <c r="B38" s="46"/>
      <c r="C38" s="46"/>
      <c r="D38" s="42"/>
      <c r="E38" s="3" t="s">
        <v>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47"/>
      <c r="B39" s="48"/>
      <c r="C39" s="48"/>
      <c r="D39" s="49"/>
      <c r="E39" s="3" t="s">
        <v>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50" t="s">
        <v>5</v>
      </c>
      <c r="B40" s="40"/>
      <c r="C40" s="51" t="s">
        <v>6</v>
      </c>
      <c r="D40" s="51" t="s">
        <v>7</v>
      </c>
      <c r="E40" s="33">
        <f>COUNTIF(D45:D62,1)</f>
        <v>12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47"/>
      <c r="B41" s="49"/>
      <c r="C41" s="52"/>
      <c r="D41" s="52"/>
      <c r="E41" s="3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35" t="s">
        <v>8</v>
      </c>
      <c r="B42" s="36"/>
      <c r="C42" s="4" t="s">
        <v>9</v>
      </c>
      <c r="D42" s="4" t="s">
        <v>10</v>
      </c>
      <c r="E42" s="5">
        <f>COUNTIF(D45:D62,0)</f>
        <v>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37" t="s">
        <v>11</v>
      </c>
      <c r="B43" s="38"/>
      <c r="C43" s="6" t="s">
        <v>85</v>
      </c>
      <c r="D43" s="4" t="s">
        <v>13</v>
      </c>
      <c r="E43" s="7" t="s">
        <v>14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8" t="s">
        <v>15</v>
      </c>
      <c r="B44" s="9" t="s">
        <v>16</v>
      </c>
      <c r="C44" s="10" t="s">
        <v>17</v>
      </c>
      <c r="D44" s="10" t="s">
        <v>18</v>
      </c>
      <c r="E44" s="11" t="s">
        <v>19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2">
        <v>1.1000000000000001</v>
      </c>
      <c r="B45" s="53" t="s">
        <v>20</v>
      </c>
      <c r="C45" s="14" t="s">
        <v>21</v>
      </c>
      <c r="D45" s="15">
        <v>0</v>
      </c>
      <c r="E45" s="1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2">
        <v>1.2</v>
      </c>
      <c r="B46" s="54"/>
      <c r="C46" s="14" t="s">
        <v>22</v>
      </c>
      <c r="D46" s="17">
        <v>1</v>
      </c>
      <c r="E46" s="1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2">
        <v>1.3</v>
      </c>
      <c r="B47" s="52"/>
      <c r="C47" s="14" t="s">
        <v>23</v>
      </c>
      <c r="D47" s="15">
        <v>0</v>
      </c>
      <c r="E47" s="1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2">
        <v>2.1</v>
      </c>
      <c r="B48" s="53" t="s">
        <v>24</v>
      </c>
      <c r="C48" s="14" t="s">
        <v>25</v>
      </c>
      <c r="D48" s="17">
        <v>1</v>
      </c>
      <c r="E48" s="1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2">
        <v>2.2000000000000002</v>
      </c>
      <c r="B49" s="54"/>
      <c r="C49" s="14" t="s">
        <v>26</v>
      </c>
      <c r="D49" s="15">
        <v>0</v>
      </c>
      <c r="E49" s="1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2">
        <v>2.2999999999999998</v>
      </c>
      <c r="B50" s="54"/>
      <c r="C50" s="14" t="s">
        <v>27</v>
      </c>
      <c r="D50" s="15">
        <v>0</v>
      </c>
      <c r="E50" s="1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2">
        <v>2.4</v>
      </c>
      <c r="B51" s="52"/>
      <c r="C51" s="14" t="s">
        <v>28</v>
      </c>
      <c r="D51" s="15">
        <v>1</v>
      </c>
      <c r="E51" s="1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2">
        <v>3.1</v>
      </c>
      <c r="B52" s="53" t="s">
        <v>29</v>
      </c>
      <c r="C52" s="14" t="s">
        <v>30</v>
      </c>
      <c r="D52" s="15">
        <v>0</v>
      </c>
      <c r="E52" s="1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2">
        <v>3.2</v>
      </c>
      <c r="B53" s="54"/>
      <c r="C53" s="14" t="s">
        <v>31</v>
      </c>
      <c r="D53" s="15">
        <v>0</v>
      </c>
      <c r="E53" s="1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2">
        <v>3.3</v>
      </c>
      <c r="B54" s="54"/>
      <c r="C54" s="14" t="s">
        <v>32</v>
      </c>
      <c r="D54" s="17">
        <v>1</v>
      </c>
      <c r="E54" s="1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2">
        <v>3.4</v>
      </c>
      <c r="B55" s="52"/>
      <c r="C55" s="14" t="s">
        <v>33</v>
      </c>
      <c r="D55" s="17">
        <v>1</v>
      </c>
      <c r="E55" s="1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2">
        <v>4.0999999999999996</v>
      </c>
      <c r="B56" s="53" t="s">
        <v>34</v>
      </c>
      <c r="C56" s="14" t="s">
        <v>86</v>
      </c>
      <c r="D56" s="17">
        <v>1</v>
      </c>
      <c r="E56" s="1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2">
        <v>4.2</v>
      </c>
      <c r="B57" s="54"/>
      <c r="C57" s="14" t="s">
        <v>36</v>
      </c>
      <c r="D57" s="17">
        <v>1</v>
      </c>
      <c r="E57" s="1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2">
        <v>4.3</v>
      </c>
      <c r="B58" s="52"/>
      <c r="C58" s="14" t="s">
        <v>37</v>
      </c>
      <c r="D58" s="17">
        <v>1</v>
      </c>
      <c r="E58" s="1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2">
        <v>5.0999999999999996</v>
      </c>
      <c r="B59" s="53" t="s">
        <v>38</v>
      </c>
      <c r="C59" s="14" t="s">
        <v>39</v>
      </c>
      <c r="D59" s="17">
        <v>1</v>
      </c>
      <c r="E59" s="1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2">
        <v>5.2</v>
      </c>
      <c r="B60" s="54"/>
      <c r="C60" s="14" t="s">
        <v>40</v>
      </c>
      <c r="D60" s="17">
        <v>1</v>
      </c>
      <c r="E60" s="1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2">
        <v>5.3</v>
      </c>
      <c r="B61" s="54"/>
      <c r="C61" s="14" t="s">
        <v>41</v>
      </c>
      <c r="D61" s="17">
        <v>1</v>
      </c>
      <c r="E61" s="1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2">
        <v>5.4</v>
      </c>
      <c r="B62" s="52"/>
      <c r="C62" s="14" t="s">
        <v>42</v>
      </c>
      <c r="D62" s="17">
        <v>1</v>
      </c>
      <c r="E62" s="1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39" t="s">
        <v>43</v>
      </c>
      <c r="B63" s="40"/>
      <c r="C63" s="18" t="s">
        <v>44</v>
      </c>
      <c r="D63" s="19">
        <f>SUM(D45:D62)</f>
        <v>12</v>
      </c>
      <c r="E63" s="1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41"/>
      <c r="B64" s="42"/>
      <c r="C64" s="20" t="s">
        <v>45</v>
      </c>
      <c r="D64" s="21">
        <f>D63/18</f>
        <v>0.66666666666666663</v>
      </c>
      <c r="E64" s="2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3" t="s">
        <v>46</v>
      </c>
      <c r="B65" s="24" t="s">
        <v>47</v>
      </c>
      <c r="C65" s="20"/>
      <c r="D65" s="21"/>
      <c r="E65" s="2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3" t="s">
        <v>48</v>
      </c>
      <c r="B66" s="24" t="s">
        <v>49</v>
      </c>
      <c r="C66" s="25"/>
      <c r="D66" s="25"/>
      <c r="E66" s="1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3" t="s">
        <v>50</v>
      </c>
      <c r="B67" s="24" t="s">
        <v>51</v>
      </c>
      <c r="C67" s="26"/>
      <c r="D67" s="26"/>
      <c r="E67" s="2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37" t="s">
        <v>57</v>
      </c>
      <c r="B68" s="38"/>
      <c r="C68" s="27"/>
      <c r="D68" s="27" t="s">
        <v>53</v>
      </c>
      <c r="E68" s="28" t="s">
        <v>87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9"/>
      <c r="C69" s="29"/>
      <c r="D69" s="2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9"/>
      <c r="C70" s="29"/>
      <c r="D70" s="2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9"/>
      <c r="C71" s="29"/>
      <c r="D71" s="29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43" t="s">
        <v>0</v>
      </c>
      <c r="B72" s="44"/>
      <c r="C72" s="44"/>
      <c r="D72" s="45"/>
      <c r="E72" s="1" t="s">
        <v>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41"/>
      <c r="B73" s="46"/>
      <c r="C73" s="46"/>
      <c r="D73" s="42"/>
      <c r="E73" s="3" t="s">
        <v>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41"/>
      <c r="B74" s="46"/>
      <c r="C74" s="46"/>
      <c r="D74" s="42"/>
      <c r="E74" s="3" t="s">
        <v>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47"/>
      <c r="B75" s="48"/>
      <c r="C75" s="48"/>
      <c r="D75" s="49"/>
      <c r="E75" s="3" t="s">
        <v>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50" t="s">
        <v>5</v>
      </c>
      <c r="B76" s="40"/>
      <c r="C76" s="51" t="s">
        <v>6</v>
      </c>
      <c r="D76" s="51" t="s">
        <v>7</v>
      </c>
      <c r="E76" s="33">
        <f>COUNTIF(D81:D98,1)</f>
        <v>12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47"/>
      <c r="B77" s="49"/>
      <c r="C77" s="52"/>
      <c r="D77" s="52"/>
      <c r="E77" s="3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35" t="s">
        <v>8</v>
      </c>
      <c r="B78" s="36"/>
      <c r="C78" s="4" t="s">
        <v>9</v>
      </c>
      <c r="D78" s="4" t="s">
        <v>10</v>
      </c>
      <c r="E78" s="5">
        <f>COUNTIF(D81:D98,0)</f>
        <v>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37" t="s">
        <v>11</v>
      </c>
      <c r="B79" s="38"/>
      <c r="C79" s="6" t="s">
        <v>88</v>
      </c>
      <c r="D79" s="4" t="s">
        <v>13</v>
      </c>
      <c r="E79" s="7" t="s">
        <v>14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8" t="s">
        <v>15</v>
      </c>
      <c r="B80" s="9" t="s">
        <v>16</v>
      </c>
      <c r="C80" s="10" t="s">
        <v>17</v>
      </c>
      <c r="D80" s="10" t="s">
        <v>18</v>
      </c>
      <c r="E80" s="11" t="s">
        <v>19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2">
        <v>1.1000000000000001</v>
      </c>
      <c r="B81" s="53" t="s">
        <v>20</v>
      </c>
      <c r="C81" s="14" t="s">
        <v>21</v>
      </c>
      <c r="D81" s="15">
        <v>0</v>
      </c>
      <c r="E81" s="1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2">
        <v>1.2</v>
      </c>
      <c r="B82" s="54"/>
      <c r="C82" s="14" t="s">
        <v>22</v>
      </c>
      <c r="D82" s="17">
        <v>1</v>
      </c>
      <c r="E82" s="1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2">
        <v>1.3</v>
      </c>
      <c r="B83" s="52"/>
      <c r="C83" s="14" t="s">
        <v>23</v>
      </c>
      <c r="D83" s="15">
        <v>0</v>
      </c>
      <c r="E83" s="1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2">
        <v>2.1</v>
      </c>
      <c r="B84" s="53" t="s">
        <v>24</v>
      </c>
      <c r="C84" s="14" t="s">
        <v>25</v>
      </c>
      <c r="D84" s="17">
        <v>1</v>
      </c>
      <c r="E84" s="1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2">
        <v>2.2000000000000002</v>
      </c>
      <c r="B85" s="54"/>
      <c r="C85" s="14" t="s">
        <v>26</v>
      </c>
      <c r="D85" s="15">
        <v>0</v>
      </c>
      <c r="E85" s="1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2">
        <v>2.2999999999999998</v>
      </c>
      <c r="B86" s="54"/>
      <c r="C86" s="14" t="s">
        <v>27</v>
      </c>
      <c r="D86" s="17">
        <v>0</v>
      </c>
      <c r="E86" s="1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2">
        <v>2.4</v>
      </c>
      <c r="B87" s="52"/>
      <c r="C87" s="14" t="s">
        <v>28</v>
      </c>
      <c r="D87" s="15">
        <v>1</v>
      </c>
      <c r="E87" s="1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2">
        <v>3.1</v>
      </c>
      <c r="B88" s="53" t="s">
        <v>29</v>
      </c>
      <c r="C88" s="14" t="s">
        <v>30</v>
      </c>
      <c r="D88" s="15">
        <v>0</v>
      </c>
      <c r="E88" s="1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2">
        <v>3.2</v>
      </c>
      <c r="B89" s="54"/>
      <c r="C89" s="14" t="s">
        <v>31</v>
      </c>
      <c r="D89" s="15">
        <v>0</v>
      </c>
      <c r="E89" s="1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2">
        <v>3.3</v>
      </c>
      <c r="B90" s="54"/>
      <c r="C90" s="14" t="s">
        <v>32</v>
      </c>
      <c r="D90" s="17">
        <v>1</v>
      </c>
      <c r="E90" s="1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2">
        <v>3.4</v>
      </c>
      <c r="B91" s="52"/>
      <c r="C91" s="14" t="s">
        <v>33</v>
      </c>
      <c r="D91" s="17">
        <v>1</v>
      </c>
      <c r="E91" s="1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2">
        <v>4.0999999999999996</v>
      </c>
      <c r="B92" s="53" t="s">
        <v>34</v>
      </c>
      <c r="C92" s="14" t="s">
        <v>89</v>
      </c>
      <c r="D92" s="17">
        <v>1</v>
      </c>
      <c r="E92" s="1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2">
        <v>4.2</v>
      </c>
      <c r="B93" s="54"/>
      <c r="C93" s="14" t="s">
        <v>36</v>
      </c>
      <c r="D93" s="17">
        <v>1</v>
      </c>
      <c r="E93" s="1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2">
        <v>4.3</v>
      </c>
      <c r="B94" s="52"/>
      <c r="C94" s="14" t="s">
        <v>37</v>
      </c>
      <c r="D94" s="17">
        <v>1</v>
      </c>
      <c r="E94" s="1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2">
        <v>5.0999999999999996</v>
      </c>
      <c r="B95" s="53" t="s">
        <v>38</v>
      </c>
      <c r="C95" s="14" t="s">
        <v>39</v>
      </c>
      <c r="D95" s="17">
        <v>1</v>
      </c>
      <c r="E95" s="1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2">
        <v>5.2</v>
      </c>
      <c r="B96" s="54"/>
      <c r="C96" s="14" t="s">
        <v>40</v>
      </c>
      <c r="D96" s="17">
        <v>1</v>
      </c>
      <c r="E96" s="1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2">
        <v>5.3</v>
      </c>
      <c r="B97" s="54"/>
      <c r="C97" s="14" t="s">
        <v>41</v>
      </c>
      <c r="D97" s="17">
        <v>1</v>
      </c>
      <c r="E97" s="1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2">
        <v>5.4</v>
      </c>
      <c r="B98" s="52"/>
      <c r="C98" s="14" t="s">
        <v>42</v>
      </c>
      <c r="D98" s="17">
        <v>1</v>
      </c>
      <c r="E98" s="1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39" t="s">
        <v>43</v>
      </c>
      <c r="B99" s="40"/>
      <c r="C99" s="18" t="s">
        <v>44</v>
      </c>
      <c r="D99" s="19">
        <f>SUM(D81:D98)</f>
        <v>12</v>
      </c>
      <c r="E99" s="1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41"/>
      <c r="B100" s="42"/>
      <c r="C100" s="20" t="s">
        <v>45</v>
      </c>
      <c r="D100" s="21">
        <f>D99/18</f>
        <v>0.66666666666666663</v>
      </c>
      <c r="E100" s="2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3" t="s">
        <v>46</v>
      </c>
      <c r="B101" s="24" t="s">
        <v>47</v>
      </c>
      <c r="C101" s="20"/>
      <c r="D101" s="21"/>
      <c r="E101" s="2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3" t="s">
        <v>48</v>
      </c>
      <c r="B102" s="24" t="s">
        <v>49</v>
      </c>
      <c r="C102" s="25"/>
      <c r="D102" s="25"/>
      <c r="E102" s="1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3" t="s">
        <v>50</v>
      </c>
      <c r="B103" s="24" t="s">
        <v>51</v>
      </c>
      <c r="C103" s="26"/>
      <c r="D103" s="26"/>
      <c r="E103" s="2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37" t="s">
        <v>57</v>
      </c>
      <c r="B104" s="38"/>
      <c r="C104" s="27"/>
      <c r="D104" s="27" t="s">
        <v>53</v>
      </c>
      <c r="E104" s="28" t="s">
        <v>90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9"/>
      <c r="C105" s="29"/>
      <c r="D105" s="2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9"/>
      <c r="C106" s="29"/>
      <c r="D106" s="2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9"/>
      <c r="C107" s="29"/>
      <c r="D107" s="2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43" t="s">
        <v>0</v>
      </c>
      <c r="B108" s="44"/>
      <c r="C108" s="44"/>
      <c r="D108" s="45"/>
      <c r="E108" s="1" t="s">
        <v>1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41"/>
      <c r="B109" s="46"/>
      <c r="C109" s="46"/>
      <c r="D109" s="42"/>
      <c r="E109" s="3" t="s">
        <v>2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41"/>
      <c r="B110" s="46"/>
      <c r="C110" s="46"/>
      <c r="D110" s="42"/>
      <c r="E110" s="3" t="s">
        <v>3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47"/>
      <c r="B111" s="48"/>
      <c r="C111" s="48"/>
      <c r="D111" s="49"/>
      <c r="E111" s="3" t="s">
        <v>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50" t="s">
        <v>5</v>
      </c>
      <c r="B112" s="40"/>
      <c r="C112" s="51" t="s">
        <v>6</v>
      </c>
      <c r="D112" s="51" t="s">
        <v>7</v>
      </c>
      <c r="E112" s="33">
        <f>COUNTIF(D117:D134,1)</f>
        <v>14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47"/>
      <c r="B113" s="49"/>
      <c r="C113" s="52"/>
      <c r="D113" s="52"/>
      <c r="E113" s="3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35" t="s">
        <v>8</v>
      </c>
      <c r="B114" s="36"/>
      <c r="C114" s="4" t="s">
        <v>9</v>
      </c>
      <c r="D114" s="4" t="s">
        <v>10</v>
      </c>
      <c r="E114" s="5">
        <f>COUNTIF(D117:D134,0)</f>
        <v>4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37" t="s">
        <v>11</v>
      </c>
      <c r="B115" s="38"/>
      <c r="C115" s="6" t="s">
        <v>91</v>
      </c>
      <c r="D115" s="4" t="s">
        <v>13</v>
      </c>
      <c r="E115" s="7" t="s">
        <v>14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8" t="s">
        <v>15</v>
      </c>
      <c r="B116" s="9" t="s">
        <v>16</v>
      </c>
      <c r="C116" s="10" t="s">
        <v>17</v>
      </c>
      <c r="D116" s="10" t="s">
        <v>18</v>
      </c>
      <c r="E116" s="11" t="s">
        <v>19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2">
        <v>1.1000000000000001</v>
      </c>
      <c r="B117" s="53" t="s">
        <v>20</v>
      </c>
      <c r="C117" s="14" t="s">
        <v>21</v>
      </c>
      <c r="D117" s="17">
        <v>1</v>
      </c>
      <c r="E117" s="1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2">
        <v>1.2</v>
      </c>
      <c r="B118" s="54"/>
      <c r="C118" s="14" t="s">
        <v>22</v>
      </c>
      <c r="D118" s="17">
        <v>1</v>
      </c>
      <c r="E118" s="1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2">
        <v>1.3</v>
      </c>
      <c r="B119" s="52"/>
      <c r="C119" s="14" t="s">
        <v>23</v>
      </c>
      <c r="D119" s="15">
        <v>0</v>
      </c>
      <c r="E119" s="1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2">
        <v>2.1</v>
      </c>
      <c r="B120" s="53" t="s">
        <v>24</v>
      </c>
      <c r="C120" s="14" t="s">
        <v>25</v>
      </c>
      <c r="D120" s="17">
        <v>1</v>
      </c>
      <c r="E120" s="1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2">
        <v>2.2000000000000002</v>
      </c>
      <c r="B121" s="54"/>
      <c r="C121" s="14" t="s">
        <v>26</v>
      </c>
      <c r="D121" s="15">
        <v>0</v>
      </c>
      <c r="E121" s="1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2">
        <v>2.2999999999999998</v>
      </c>
      <c r="B122" s="54"/>
      <c r="C122" s="14" t="s">
        <v>27</v>
      </c>
      <c r="D122" s="17">
        <v>1</v>
      </c>
      <c r="E122" s="1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2">
        <v>2.4</v>
      </c>
      <c r="B123" s="52"/>
      <c r="C123" s="14" t="s">
        <v>28</v>
      </c>
      <c r="D123" s="17">
        <v>1</v>
      </c>
      <c r="E123" s="1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2">
        <v>3.1</v>
      </c>
      <c r="B124" s="53" t="s">
        <v>29</v>
      </c>
      <c r="C124" s="14" t="s">
        <v>30</v>
      </c>
      <c r="D124" s="17">
        <v>0</v>
      </c>
      <c r="E124" s="1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2">
        <v>3.2</v>
      </c>
      <c r="B125" s="54"/>
      <c r="C125" s="14" t="s">
        <v>31</v>
      </c>
      <c r="D125" s="17">
        <v>0</v>
      </c>
      <c r="E125" s="1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2">
        <v>3.3</v>
      </c>
      <c r="B126" s="54"/>
      <c r="C126" s="14" t="s">
        <v>32</v>
      </c>
      <c r="D126" s="17">
        <v>1</v>
      </c>
      <c r="E126" s="1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2">
        <v>3.4</v>
      </c>
      <c r="B127" s="52"/>
      <c r="C127" s="14" t="s">
        <v>33</v>
      </c>
      <c r="D127" s="17">
        <v>1</v>
      </c>
      <c r="E127" s="1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2">
        <v>4.0999999999999996</v>
      </c>
      <c r="B128" s="53" t="s">
        <v>34</v>
      </c>
      <c r="C128" s="14" t="s">
        <v>92</v>
      </c>
      <c r="D128" s="17">
        <v>1</v>
      </c>
      <c r="E128" s="1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2">
        <v>4.2</v>
      </c>
      <c r="B129" s="54"/>
      <c r="C129" s="14" t="s">
        <v>36</v>
      </c>
      <c r="D129" s="17">
        <v>1</v>
      </c>
      <c r="E129" s="1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2">
        <v>4.3</v>
      </c>
      <c r="B130" s="52"/>
      <c r="C130" s="14" t="s">
        <v>37</v>
      </c>
      <c r="D130" s="17">
        <v>1</v>
      </c>
      <c r="E130" s="1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2">
        <v>5.0999999999999996</v>
      </c>
      <c r="B131" s="53" t="s">
        <v>38</v>
      </c>
      <c r="C131" s="14" t="s">
        <v>39</v>
      </c>
      <c r="D131" s="17">
        <v>1</v>
      </c>
      <c r="E131" s="1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2">
        <v>5.2</v>
      </c>
      <c r="B132" s="54"/>
      <c r="C132" s="14" t="s">
        <v>40</v>
      </c>
      <c r="D132" s="17">
        <v>1</v>
      </c>
      <c r="E132" s="1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2">
        <v>5.3</v>
      </c>
      <c r="B133" s="54"/>
      <c r="C133" s="14" t="s">
        <v>41</v>
      </c>
      <c r="D133" s="17">
        <v>1</v>
      </c>
      <c r="E133" s="1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2">
        <v>5.4</v>
      </c>
      <c r="B134" s="52"/>
      <c r="C134" s="14" t="s">
        <v>42</v>
      </c>
      <c r="D134" s="17">
        <v>1</v>
      </c>
      <c r="E134" s="1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39" t="s">
        <v>43</v>
      </c>
      <c r="B135" s="40"/>
      <c r="C135" s="18" t="s">
        <v>44</v>
      </c>
      <c r="D135" s="19">
        <f>SUM(D117:D134)</f>
        <v>14</v>
      </c>
      <c r="E135" s="1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41"/>
      <c r="B136" s="42"/>
      <c r="C136" s="20" t="s">
        <v>45</v>
      </c>
      <c r="D136" s="21">
        <f>D135/18</f>
        <v>0.77777777777777779</v>
      </c>
      <c r="E136" s="2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3" t="s">
        <v>46</v>
      </c>
      <c r="B137" s="24" t="s">
        <v>47</v>
      </c>
      <c r="C137" s="20"/>
      <c r="D137" s="21"/>
      <c r="E137" s="2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3" t="s">
        <v>48</v>
      </c>
      <c r="B138" s="24" t="s">
        <v>49</v>
      </c>
      <c r="C138" s="25"/>
      <c r="D138" s="25"/>
      <c r="E138" s="1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3" t="s">
        <v>50</v>
      </c>
      <c r="B139" s="24" t="s">
        <v>51</v>
      </c>
      <c r="C139" s="26"/>
      <c r="D139" s="26"/>
      <c r="E139" s="2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37" t="s">
        <v>57</v>
      </c>
      <c r="B140" s="38"/>
      <c r="C140" s="27"/>
      <c r="D140" s="27" t="s">
        <v>53</v>
      </c>
      <c r="E140" s="28" t="s">
        <v>93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9"/>
      <c r="C141" s="29"/>
      <c r="D141" s="2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9"/>
      <c r="C142" s="29"/>
      <c r="D142" s="2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9"/>
      <c r="C143" s="29"/>
      <c r="D143" s="2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9"/>
      <c r="C144" s="29"/>
      <c r="D144" s="29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9"/>
      <c r="C145" s="29"/>
      <c r="D145" s="29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9"/>
      <c r="C146" s="29"/>
      <c r="D146" s="29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9"/>
      <c r="C147" s="29"/>
      <c r="D147" s="2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9"/>
      <c r="C148" s="29"/>
      <c r="D148" s="29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9"/>
      <c r="C149" s="29"/>
      <c r="D149" s="29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9"/>
      <c r="C150" s="29"/>
      <c r="D150" s="29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9"/>
      <c r="C151" s="29"/>
      <c r="D151" s="29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9"/>
      <c r="C152" s="29"/>
      <c r="D152" s="29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9"/>
      <c r="C153" s="29"/>
      <c r="D153" s="29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9"/>
      <c r="C154" s="29"/>
      <c r="D154" s="29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9"/>
      <c r="C155" s="29"/>
      <c r="D155" s="29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9"/>
      <c r="C156" s="29"/>
      <c r="D156" s="29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9"/>
      <c r="C157" s="29"/>
      <c r="D157" s="29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9"/>
      <c r="C158" s="29"/>
      <c r="D158" s="29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9"/>
      <c r="C159" s="29"/>
      <c r="D159" s="29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9"/>
      <c r="C160" s="29"/>
      <c r="D160" s="29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9"/>
      <c r="C161" s="29"/>
      <c r="D161" s="29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9"/>
      <c r="C162" s="29"/>
      <c r="D162" s="29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9"/>
      <c r="C163" s="29"/>
      <c r="D163" s="29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9"/>
      <c r="C164" s="29"/>
      <c r="D164" s="29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9"/>
      <c r="C165" s="29"/>
      <c r="D165" s="29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9"/>
      <c r="C166" s="29"/>
      <c r="D166" s="29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9"/>
      <c r="C167" s="29"/>
      <c r="D167" s="29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9"/>
      <c r="C168" s="29"/>
      <c r="D168" s="29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9"/>
      <c r="C169" s="29"/>
      <c r="D169" s="29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9"/>
      <c r="C170" s="29"/>
      <c r="D170" s="29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9"/>
      <c r="C171" s="29"/>
      <c r="D171" s="29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9"/>
      <c r="C172" s="29"/>
      <c r="D172" s="29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9"/>
      <c r="C173" s="29"/>
      <c r="D173" s="29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9"/>
      <c r="C174" s="29"/>
      <c r="D174" s="29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9"/>
      <c r="C175" s="29"/>
      <c r="D175" s="29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9"/>
      <c r="C176" s="29"/>
      <c r="D176" s="29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9"/>
      <c r="C177" s="29"/>
      <c r="D177" s="29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9"/>
      <c r="C178" s="29"/>
      <c r="D178" s="2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9"/>
      <c r="C179" s="29"/>
      <c r="D179" s="2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9"/>
      <c r="C180" s="29"/>
      <c r="D180" s="2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9"/>
      <c r="C181" s="29"/>
      <c r="D181" s="29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9"/>
      <c r="C182" s="29"/>
      <c r="D182" s="29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9"/>
      <c r="C183" s="29"/>
      <c r="D183" s="29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9"/>
      <c r="C184" s="29"/>
      <c r="D184" s="29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9"/>
      <c r="C185" s="29"/>
      <c r="D185" s="29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9"/>
      <c r="C186" s="29"/>
      <c r="D186" s="2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9"/>
      <c r="C187" s="29"/>
      <c r="D187" s="2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9"/>
      <c r="C188" s="29"/>
      <c r="D188" s="2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9"/>
      <c r="C189" s="29"/>
      <c r="D189" s="2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9"/>
      <c r="C190" s="29"/>
      <c r="D190" s="2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9"/>
      <c r="C191" s="29"/>
      <c r="D191" s="2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9"/>
      <c r="C192" s="29"/>
      <c r="D192" s="2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9"/>
      <c r="C193" s="29"/>
      <c r="D193" s="2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9"/>
      <c r="C194" s="29"/>
      <c r="D194" s="2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9"/>
      <c r="C195" s="29"/>
      <c r="D195" s="2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9"/>
      <c r="C196" s="29"/>
      <c r="D196" s="2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9"/>
      <c r="C197" s="29"/>
      <c r="D197" s="2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9"/>
      <c r="C198" s="29"/>
      <c r="D198" s="2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9"/>
      <c r="C199" s="29"/>
      <c r="D199" s="2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9"/>
      <c r="C200" s="29"/>
      <c r="D200" s="29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9"/>
      <c r="C201" s="29"/>
      <c r="D201" s="29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9"/>
      <c r="C202" s="29"/>
      <c r="D202" s="29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9"/>
      <c r="C203" s="29"/>
      <c r="D203" s="2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9"/>
      <c r="C204" s="29"/>
      <c r="D204" s="29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9"/>
      <c r="C205" s="29"/>
      <c r="D205" s="2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9"/>
      <c r="C206" s="29"/>
      <c r="D206" s="2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9"/>
      <c r="C207" s="29"/>
      <c r="D207" s="29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9"/>
      <c r="C208" s="29"/>
      <c r="D208" s="29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9"/>
      <c r="C209" s="29"/>
      <c r="D209" s="29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9"/>
      <c r="C210" s="29"/>
      <c r="D210" s="29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9"/>
      <c r="C211" s="29"/>
      <c r="D211" s="29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9"/>
      <c r="C212" s="29"/>
      <c r="D212" s="29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9"/>
      <c r="C213" s="29"/>
      <c r="D213" s="29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9"/>
      <c r="C214" s="29"/>
      <c r="D214" s="2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9"/>
      <c r="C215" s="29"/>
      <c r="D215" s="2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9"/>
      <c r="C216" s="29"/>
      <c r="D216" s="2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9"/>
      <c r="C217" s="29"/>
      <c r="D217" s="2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9"/>
      <c r="C218" s="29"/>
      <c r="D218" s="29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9"/>
      <c r="C219" s="29"/>
      <c r="D219" s="29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9"/>
      <c r="C220" s="29"/>
      <c r="D220" s="29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9"/>
      <c r="C221" s="29"/>
      <c r="D221" s="29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9"/>
      <c r="C222" s="29"/>
      <c r="D222" s="29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9"/>
      <c r="C223" s="29"/>
      <c r="D223" s="29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9"/>
      <c r="C224" s="29"/>
      <c r="D224" s="29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9"/>
      <c r="C225" s="29"/>
      <c r="D225" s="29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9"/>
      <c r="C226" s="29"/>
      <c r="D226" s="29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9"/>
      <c r="C227" s="29"/>
      <c r="D227" s="29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9"/>
      <c r="C228" s="29"/>
      <c r="D228" s="29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9"/>
      <c r="C229" s="29"/>
      <c r="D229" s="29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9"/>
      <c r="C230" s="29"/>
      <c r="D230" s="29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9"/>
      <c r="C231" s="29"/>
      <c r="D231" s="29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9"/>
      <c r="C232" s="29"/>
      <c r="D232" s="29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9"/>
      <c r="C233" s="29"/>
      <c r="D233" s="29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9"/>
      <c r="C234" s="29"/>
      <c r="D234" s="29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9"/>
      <c r="C235" s="29"/>
      <c r="D235" s="29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9"/>
      <c r="C236" s="29"/>
      <c r="D236" s="29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9"/>
      <c r="C237" s="29"/>
      <c r="D237" s="29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9"/>
      <c r="C238" s="29"/>
      <c r="D238" s="29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9"/>
      <c r="C239" s="29"/>
      <c r="D239" s="29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9"/>
      <c r="C240" s="29"/>
      <c r="D240" s="29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9"/>
      <c r="C241" s="29"/>
      <c r="D241" s="29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9"/>
      <c r="C242" s="29"/>
      <c r="D242" s="2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9"/>
      <c r="C243" s="29"/>
      <c r="D243" s="29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9"/>
      <c r="C244" s="29"/>
      <c r="D244" s="2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9"/>
      <c r="C245" s="29"/>
      <c r="D245" s="29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9"/>
      <c r="C246" s="29"/>
      <c r="D246" s="2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9"/>
      <c r="C247" s="29"/>
      <c r="D247" s="29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9"/>
      <c r="C248" s="29"/>
      <c r="D248" s="2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9"/>
      <c r="C249" s="29"/>
      <c r="D249" s="29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9"/>
      <c r="C250" s="29"/>
      <c r="D250" s="2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9"/>
      <c r="C251" s="29"/>
      <c r="D251" s="29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9"/>
      <c r="C252" s="29"/>
      <c r="D252" s="29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9"/>
      <c r="C253" s="29"/>
      <c r="D253" s="29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9"/>
      <c r="C254" s="29"/>
      <c r="D254" s="29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9"/>
      <c r="C255" s="29"/>
      <c r="D255" s="29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9"/>
      <c r="C256" s="29"/>
      <c r="D256" s="29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9"/>
      <c r="C257" s="29"/>
      <c r="D257" s="29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9"/>
      <c r="C258" s="29"/>
      <c r="D258" s="2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9"/>
      <c r="C259" s="29"/>
      <c r="D259" s="29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9"/>
      <c r="C260" s="29"/>
      <c r="D260" s="2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9"/>
      <c r="C261" s="29"/>
      <c r="D261" s="29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9"/>
      <c r="C262" s="29"/>
      <c r="D262" s="29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9"/>
      <c r="C263" s="29"/>
      <c r="D263" s="29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9"/>
      <c r="C264" s="29"/>
      <c r="D264" s="29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9"/>
      <c r="C265" s="29"/>
      <c r="D265" s="29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9"/>
      <c r="C266" s="29"/>
      <c r="D266" s="29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9"/>
      <c r="C267" s="29"/>
      <c r="D267" s="29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9"/>
      <c r="C268" s="29"/>
      <c r="D268" s="29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9"/>
      <c r="C269" s="29"/>
      <c r="D269" s="29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9"/>
      <c r="C270" s="29"/>
      <c r="D270" s="2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9"/>
      <c r="C271" s="29"/>
      <c r="D271" s="29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9"/>
      <c r="C272" s="29"/>
      <c r="D272" s="29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9"/>
      <c r="C273" s="29"/>
      <c r="D273" s="29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9"/>
      <c r="C274" s="29"/>
      <c r="D274" s="29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9"/>
      <c r="C275" s="29"/>
      <c r="D275" s="29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9"/>
      <c r="C276" s="29"/>
      <c r="D276" s="29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9"/>
      <c r="C277" s="29"/>
      <c r="D277" s="29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9"/>
      <c r="C278" s="29"/>
      <c r="D278" s="29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9"/>
      <c r="C279" s="29"/>
      <c r="D279" s="29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9"/>
      <c r="C280" s="29"/>
      <c r="D280" s="29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9"/>
      <c r="C281" s="29"/>
      <c r="D281" s="29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9"/>
      <c r="C282" s="29"/>
      <c r="D282" s="29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9"/>
      <c r="C283" s="29"/>
      <c r="D283" s="29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9"/>
      <c r="C284" s="29"/>
      <c r="D284" s="29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9"/>
      <c r="C285" s="29"/>
      <c r="D285" s="29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9"/>
      <c r="C286" s="29"/>
      <c r="D286" s="29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9"/>
      <c r="C287" s="29"/>
      <c r="D287" s="2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9"/>
      <c r="C288" s="29"/>
      <c r="D288" s="29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9"/>
      <c r="C289" s="29"/>
      <c r="D289" s="2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9"/>
      <c r="C290" s="29"/>
      <c r="D290" s="29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9"/>
      <c r="C291" s="29"/>
      <c r="D291" s="29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9"/>
      <c r="C292" s="29"/>
      <c r="D292" s="29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9"/>
      <c r="C293" s="29"/>
      <c r="D293" s="2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9"/>
      <c r="C294" s="29"/>
      <c r="D294" s="2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9"/>
      <c r="C295" s="29"/>
      <c r="D295" s="2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9"/>
      <c r="C296" s="29"/>
      <c r="D296" s="2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9"/>
      <c r="C297" s="29"/>
      <c r="D297" s="2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9"/>
      <c r="C298" s="29"/>
      <c r="D298" s="2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9"/>
      <c r="C299" s="29"/>
      <c r="D299" s="2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9"/>
      <c r="C300" s="29"/>
      <c r="D300" s="2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9"/>
      <c r="C301" s="29"/>
      <c r="D301" s="2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9"/>
      <c r="C302" s="29"/>
      <c r="D302" s="2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9"/>
      <c r="C303" s="29"/>
      <c r="D303" s="2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9"/>
      <c r="C304" s="29"/>
      <c r="D304" s="2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9"/>
      <c r="C305" s="29"/>
      <c r="D305" s="2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9"/>
      <c r="C306" s="29"/>
      <c r="D306" s="2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9"/>
      <c r="C307" s="29"/>
      <c r="D307" s="2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9"/>
      <c r="C308" s="29"/>
      <c r="D308" s="2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9"/>
      <c r="C309" s="29"/>
      <c r="D309" s="2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9"/>
      <c r="C310" s="29"/>
      <c r="D310" s="2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9"/>
      <c r="C311" s="29"/>
      <c r="D311" s="2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9"/>
      <c r="C312" s="29"/>
      <c r="D312" s="2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9"/>
      <c r="C313" s="29"/>
      <c r="D313" s="2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9"/>
      <c r="C314" s="29"/>
      <c r="D314" s="2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9"/>
      <c r="C315" s="29"/>
      <c r="D315" s="2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9"/>
      <c r="C316" s="29"/>
      <c r="D316" s="2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9"/>
      <c r="C317" s="29"/>
      <c r="D317" s="2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9"/>
      <c r="C318" s="29"/>
      <c r="D318" s="2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9"/>
      <c r="C319" s="29"/>
      <c r="D319" s="2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9"/>
      <c r="C320" s="29"/>
      <c r="D320" s="2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9"/>
      <c r="C321" s="29"/>
      <c r="D321" s="2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9"/>
      <c r="C322" s="29"/>
      <c r="D322" s="2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9"/>
      <c r="C323" s="29"/>
      <c r="D323" s="2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9"/>
      <c r="C324" s="29"/>
      <c r="D324" s="29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9"/>
      <c r="C325" s="29"/>
      <c r="D325" s="2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9"/>
      <c r="C326" s="29"/>
      <c r="D326" s="29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9"/>
      <c r="C327" s="29"/>
      <c r="D327" s="2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9"/>
      <c r="C328" s="29"/>
      <c r="D328" s="2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9"/>
      <c r="C329" s="29"/>
      <c r="D329" s="2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9"/>
      <c r="C330" s="29"/>
      <c r="D330" s="2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9"/>
      <c r="C331" s="29"/>
      <c r="D331" s="2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9"/>
      <c r="C332" s="29"/>
      <c r="D332" s="2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9"/>
      <c r="C333" s="29"/>
      <c r="D333" s="2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9"/>
      <c r="C334" s="29"/>
      <c r="D334" s="29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9"/>
      <c r="C335" s="29"/>
      <c r="D335" s="29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9"/>
      <c r="C336" s="29"/>
      <c r="D336" s="29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9"/>
      <c r="C337" s="29"/>
      <c r="D337" s="29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9"/>
      <c r="C338" s="29"/>
      <c r="D338" s="29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9"/>
      <c r="C339" s="29"/>
      <c r="D339" s="29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9"/>
      <c r="C340" s="29"/>
      <c r="D340" s="29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56">
    <mergeCell ref="A1:D4"/>
    <mergeCell ref="A5:B6"/>
    <mergeCell ref="C5:C6"/>
    <mergeCell ref="D5:D6"/>
    <mergeCell ref="E5:E6"/>
    <mergeCell ref="A7:B7"/>
    <mergeCell ref="A8:B8"/>
    <mergeCell ref="B10:B12"/>
    <mergeCell ref="B13:B16"/>
    <mergeCell ref="B17:B20"/>
    <mergeCell ref="B21:B23"/>
    <mergeCell ref="B24:B27"/>
    <mergeCell ref="A28:B29"/>
    <mergeCell ref="A33:B33"/>
    <mergeCell ref="A36:D39"/>
    <mergeCell ref="A40:B41"/>
    <mergeCell ref="C40:C41"/>
    <mergeCell ref="D40:D41"/>
    <mergeCell ref="E40:E41"/>
    <mergeCell ref="A42:B42"/>
    <mergeCell ref="A43:B43"/>
    <mergeCell ref="B45:B47"/>
    <mergeCell ref="B48:B51"/>
    <mergeCell ref="B52:B55"/>
    <mergeCell ref="B56:B58"/>
    <mergeCell ref="B59:B62"/>
    <mergeCell ref="A63:B64"/>
    <mergeCell ref="A68:B68"/>
    <mergeCell ref="A72:D75"/>
    <mergeCell ref="A76:B77"/>
    <mergeCell ref="C76:C77"/>
    <mergeCell ref="D76:D77"/>
    <mergeCell ref="E76:E77"/>
    <mergeCell ref="A78:B78"/>
    <mergeCell ref="A79:B79"/>
    <mergeCell ref="B81:B83"/>
    <mergeCell ref="B84:B87"/>
    <mergeCell ref="B88:B91"/>
    <mergeCell ref="B92:B94"/>
    <mergeCell ref="B95:B98"/>
    <mergeCell ref="A99:B100"/>
    <mergeCell ref="A104:B104"/>
    <mergeCell ref="A108:D111"/>
    <mergeCell ref="A112:B113"/>
    <mergeCell ref="C112:C113"/>
    <mergeCell ref="D112:D113"/>
    <mergeCell ref="B117:B119"/>
    <mergeCell ref="E112:E113"/>
    <mergeCell ref="A114:B114"/>
    <mergeCell ref="A115:B115"/>
    <mergeCell ref="A135:B136"/>
    <mergeCell ref="A140:B140"/>
    <mergeCell ref="B120:B123"/>
    <mergeCell ref="B124:B127"/>
    <mergeCell ref="B128:B130"/>
    <mergeCell ref="B131:B134"/>
  </mergeCells>
  <conditionalFormatting sqref="D28">
    <cfRule type="colorScale" priority="1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10:D27">
    <cfRule type="colorScale" priority="2">
      <colorScale>
        <cfvo type="formula" val="0"/>
        <cfvo type="formula" val="1"/>
        <color rgb="FFFF0000"/>
        <color rgb="FF00B050"/>
      </colorScale>
    </cfRule>
  </conditionalFormatting>
  <conditionalFormatting sqref="D63">
    <cfRule type="colorScale" priority="3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45:D62">
    <cfRule type="colorScale" priority="4">
      <colorScale>
        <cfvo type="formula" val="0"/>
        <cfvo type="formula" val="1"/>
        <color rgb="FFFF0000"/>
        <color rgb="FF00B050"/>
      </colorScale>
    </cfRule>
  </conditionalFormatting>
  <conditionalFormatting sqref="D99">
    <cfRule type="colorScale" priority="5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81:D98">
    <cfRule type="colorScale" priority="6">
      <colorScale>
        <cfvo type="formula" val="0"/>
        <cfvo type="formula" val="1"/>
        <color rgb="FFFF0000"/>
        <color rgb="FF00B050"/>
      </colorScale>
    </cfRule>
  </conditionalFormatting>
  <conditionalFormatting sqref="D135">
    <cfRule type="colorScale" priority="7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117:D134">
    <cfRule type="colorScale" priority="8">
      <colorScale>
        <cfvo type="formula" val="0"/>
        <cfvo type="formula" val="1"/>
        <color rgb="FFFF0000"/>
        <color rgb="FF00B050"/>
      </colorScale>
    </cfRule>
  </conditionalFormatting>
  <pageMargins left="0.3" right="0.2" top="0.7" bottom="0" header="0" footer="0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topLeftCell="A136" workbookViewId="0">
      <selection activeCell="D92" sqref="D92"/>
    </sheetView>
  </sheetViews>
  <sheetFormatPr defaultColWidth="14.42578125" defaultRowHeight="15" customHeight="1"/>
  <cols>
    <col min="1" max="1" width="25.85546875" customWidth="1"/>
    <col min="2" max="2" width="29.140625" customWidth="1"/>
    <col min="3" max="3" width="85.5703125" customWidth="1"/>
    <col min="4" max="4" width="27.5703125" customWidth="1"/>
    <col min="5" max="5" width="36.5703125" customWidth="1"/>
    <col min="6" max="25" width="9.140625" customWidth="1"/>
  </cols>
  <sheetData>
    <row r="1" spans="1:26">
      <c r="A1" s="43" t="s">
        <v>0</v>
      </c>
      <c r="B1" s="44"/>
      <c r="C1" s="44"/>
      <c r="D1" s="45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1"/>
      <c r="B2" s="46"/>
      <c r="C2" s="46"/>
      <c r="D2" s="42"/>
      <c r="E2" s="3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1"/>
      <c r="B3" s="46"/>
      <c r="C3" s="46"/>
      <c r="D3" s="42"/>
      <c r="E3" s="3" t="s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7"/>
      <c r="B4" s="48"/>
      <c r="C4" s="48"/>
      <c r="D4" s="49"/>
      <c r="E4" s="3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0" t="s">
        <v>5</v>
      </c>
      <c r="B5" s="40"/>
      <c r="C5" s="51" t="s">
        <v>6</v>
      </c>
      <c r="D5" s="51" t="s">
        <v>7</v>
      </c>
      <c r="E5" s="33">
        <f>COUNTIF(D10:D27,1)</f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7"/>
      <c r="B6" s="49"/>
      <c r="C6" s="52"/>
      <c r="D6" s="52"/>
      <c r="E6" s="3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>
      <c r="A7" s="35" t="s">
        <v>8</v>
      </c>
      <c r="B7" s="36"/>
      <c r="C7" s="4" t="s">
        <v>9</v>
      </c>
      <c r="D7" s="4" t="s">
        <v>10</v>
      </c>
      <c r="E7" s="5">
        <f>COUNTIF(D10:D27,0)</f>
        <v>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>
      <c r="A8" s="37" t="s">
        <v>11</v>
      </c>
      <c r="B8" s="38"/>
      <c r="C8" s="6" t="s">
        <v>94</v>
      </c>
      <c r="D8" s="4" t="s">
        <v>13</v>
      </c>
      <c r="E8" s="7" t="s">
        <v>14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6">
      <c r="A9" s="8" t="s">
        <v>15</v>
      </c>
      <c r="B9" s="9" t="s">
        <v>16</v>
      </c>
      <c r="C9" s="10" t="s">
        <v>17</v>
      </c>
      <c r="D9" s="10" t="s">
        <v>18</v>
      </c>
      <c r="E9" s="11" t="s">
        <v>19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0.5">
      <c r="A10" s="12">
        <v>1.1000000000000001</v>
      </c>
      <c r="B10" s="13" t="s">
        <v>20</v>
      </c>
      <c r="C10" s="14" t="s">
        <v>21</v>
      </c>
      <c r="D10" s="15">
        <v>0</v>
      </c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0.25">
      <c r="A11" s="12">
        <v>1.2</v>
      </c>
      <c r="B11" s="13"/>
      <c r="C11" s="14" t="s">
        <v>22</v>
      </c>
      <c r="D11" s="15">
        <v>1</v>
      </c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.25">
      <c r="A12" s="12">
        <v>1.3</v>
      </c>
      <c r="B12" s="13"/>
      <c r="C12" s="14" t="s">
        <v>23</v>
      </c>
      <c r="D12" s="15">
        <v>0</v>
      </c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0.5">
      <c r="A13" s="12">
        <v>2.1</v>
      </c>
      <c r="B13" s="13" t="s">
        <v>24</v>
      </c>
      <c r="C13" s="14" t="s">
        <v>25</v>
      </c>
      <c r="D13" s="15">
        <v>1</v>
      </c>
      <c r="E13" s="1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.25">
      <c r="A14" s="12">
        <v>2.2000000000000002</v>
      </c>
      <c r="B14" s="13"/>
      <c r="C14" s="14" t="s">
        <v>26</v>
      </c>
      <c r="D14" s="15">
        <v>1</v>
      </c>
      <c r="E14" s="1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0.5">
      <c r="A15" s="12">
        <v>2.2999999999999998</v>
      </c>
      <c r="B15" s="13"/>
      <c r="C15" s="14" t="s">
        <v>27</v>
      </c>
      <c r="D15" s="17">
        <v>1</v>
      </c>
      <c r="E15" s="1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60.75">
      <c r="A16" s="12">
        <v>2.4</v>
      </c>
      <c r="B16" s="13"/>
      <c r="C16" s="14" t="s">
        <v>28</v>
      </c>
      <c r="D16" s="17">
        <v>1</v>
      </c>
      <c r="E16" s="1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0.5">
      <c r="A17" s="12">
        <v>3.1</v>
      </c>
      <c r="B17" s="13" t="s">
        <v>29</v>
      </c>
      <c r="C17" s="14" t="s">
        <v>30</v>
      </c>
      <c r="D17" s="15">
        <v>1</v>
      </c>
      <c r="E17" s="1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.25">
      <c r="A18" s="12">
        <v>3.2</v>
      </c>
      <c r="B18" s="13"/>
      <c r="C18" s="14" t="s">
        <v>31</v>
      </c>
      <c r="D18" s="15">
        <v>1</v>
      </c>
      <c r="E18" s="1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0.5">
      <c r="A19" s="12">
        <v>3.3</v>
      </c>
      <c r="B19" s="13"/>
      <c r="C19" s="14" t="s">
        <v>32</v>
      </c>
      <c r="D19" s="15">
        <v>1</v>
      </c>
      <c r="E19" s="1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60.75">
      <c r="A20" s="12">
        <v>3.4</v>
      </c>
      <c r="B20" s="13"/>
      <c r="C20" s="14" t="s">
        <v>33</v>
      </c>
      <c r="D20" s="15">
        <v>1</v>
      </c>
      <c r="E20" s="1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40.5">
      <c r="A21" s="12">
        <v>4.0999999999999996</v>
      </c>
      <c r="B21" s="13" t="s">
        <v>34</v>
      </c>
      <c r="C21" s="14" t="s">
        <v>95</v>
      </c>
      <c r="D21" s="15">
        <v>1</v>
      </c>
      <c r="E21" s="1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40.5">
      <c r="A22" s="12">
        <v>4.2</v>
      </c>
      <c r="B22" s="13"/>
      <c r="C22" s="14" t="s">
        <v>36</v>
      </c>
      <c r="D22" s="15">
        <v>1</v>
      </c>
      <c r="E22" s="1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40.5">
      <c r="A23" s="12">
        <v>4.3</v>
      </c>
      <c r="B23" s="13"/>
      <c r="C23" s="14" t="s">
        <v>37</v>
      </c>
      <c r="D23" s="15">
        <v>1</v>
      </c>
      <c r="E23" s="1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40.5">
      <c r="A24" s="12">
        <v>5.0999999999999996</v>
      </c>
      <c r="B24" s="13" t="s">
        <v>38</v>
      </c>
      <c r="C24" s="14" t="s">
        <v>39</v>
      </c>
      <c r="D24" s="15">
        <v>1</v>
      </c>
      <c r="E24" s="1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40.5">
      <c r="A25" s="12">
        <v>5.2</v>
      </c>
      <c r="B25" s="13"/>
      <c r="C25" s="14" t="s">
        <v>40</v>
      </c>
      <c r="D25" s="15">
        <v>1</v>
      </c>
      <c r="E25" s="1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.25">
      <c r="A26" s="12">
        <v>5.3</v>
      </c>
      <c r="B26" s="13"/>
      <c r="C26" s="14" t="s">
        <v>41</v>
      </c>
      <c r="D26" s="15">
        <v>1</v>
      </c>
      <c r="E26" s="1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40.5">
      <c r="A27" s="12">
        <v>5.4</v>
      </c>
      <c r="B27" s="13"/>
      <c r="C27" s="14" t="s">
        <v>42</v>
      </c>
      <c r="D27" s="15">
        <v>1</v>
      </c>
      <c r="E27" s="1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.75" customHeight="1">
      <c r="A28" s="39" t="s">
        <v>43</v>
      </c>
      <c r="B28" s="40"/>
      <c r="C28" s="18" t="s">
        <v>44</v>
      </c>
      <c r="D28" s="19">
        <f>SUM(D10:D27)</f>
        <v>16</v>
      </c>
      <c r="E28" s="1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>
      <c r="A29" s="41"/>
      <c r="B29" s="42"/>
      <c r="C29" s="20" t="s">
        <v>45</v>
      </c>
      <c r="D29" s="21">
        <f>D28/18</f>
        <v>0.88888888888888884</v>
      </c>
      <c r="E29" s="2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3" t="s">
        <v>46</v>
      </c>
      <c r="B30" s="24" t="s">
        <v>47</v>
      </c>
      <c r="C30" s="20"/>
      <c r="D30" s="21"/>
      <c r="E30" s="2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3" t="s">
        <v>48</v>
      </c>
      <c r="B31" s="24" t="s">
        <v>49</v>
      </c>
      <c r="C31" s="25"/>
      <c r="D31" s="25"/>
      <c r="E31" s="1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3" t="s">
        <v>50</v>
      </c>
      <c r="B32" s="24" t="s">
        <v>51</v>
      </c>
      <c r="C32" s="26"/>
      <c r="D32" s="26"/>
      <c r="E32" s="2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>
      <c r="A33" s="37" t="s">
        <v>52</v>
      </c>
      <c r="B33" s="38"/>
      <c r="C33" s="27"/>
      <c r="D33" s="27" t="s">
        <v>53</v>
      </c>
      <c r="E33" s="28" t="s">
        <v>96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9"/>
      <c r="C34" s="29"/>
      <c r="D34" s="29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9"/>
      <c r="C35" s="29"/>
      <c r="D35" s="29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43" t="s">
        <v>0</v>
      </c>
      <c r="B36" s="44"/>
      <c r="C36" s="44"/>
      <c r="D36" s="45"/>
      <c r="E36" s="1" t="s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41"/>
      <c r="B37" s="46"/>
      <c r="C37" s="46"/>
      <c r="D37" s="42"/>
      <c r="E37" s="3" t="s">
        <v>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41"/>
      <c r="B38" s="46"/>
      <c r="C38" s="46"/>
      <c r="D38" s="42"/>
      <c r="E38" s="3" t="s">
        <v>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47"/>
      <c r="B39" s="48"/>
      <c r="C39" s="48"/>
      <c r="D39" s="49"/>
      <c r="E39" s="3" t="s">
        <v>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50" t="s">
        <v>5</v>
      </c>
      <c r="B40" s="40"/>
      <c r="C40" s="51" t="s">
        <v>6</v>
      </c>
      <c r="D40" s="51" t="s">
        <v>7</v>
      </c>
      <c r="E40" s="33">
        <f>COUNTIF(D45:D62,1)</f>
        <v>16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47"/>
      <c r="B41" s="49"/>
      <c r="C41" s="52"/>
      <c r="D41" s="52"/>
      <c r="E41" s="3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5" customHeight="1">
      <c r="A42" s="35" t="s">
        <v>8</v>
      </c>
      <c r="B42" s="36"/>
      <c r="C42" s="4" t="s">
        <v>9</v>
      </c>
      <c r="D42" s="4" t="s">
        <v>10</v>
      </c>
      <c r="E42" s="5">
        <f>COUNTIF(D45:D62,0)</f>
        <v>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8.5" customHeight="1">
      <c r="A43" s="37" t="s">
        <v>11</v>
      </c>
      <c r="B43" s="38"/>
      <c r="C43" s="6" t="s">
        <v>97</v>
      </c>
      <c r="D43" s="4" t="s">
        <v>13</v>
      </c>
      <c r="E43" s="7" t="s">
        <v>14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>
      <c r="A44" s="8" t="s">
        <v>15</v>
      </c>
      <c r="B44" s="9" t="s">
        <v>16</v>
      </c>
      <c r="C44" s="10" t="s">
        <v>17</v>
      </c>
      <c r="D44" s="10" t="s">
        <v>18</v>
      </c>
      <c r="E44" s="11" t="s">
        <v>19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0.25" customHeight="1">
      <c r="A45" s="12">
        <v>1.1000000000000001</v>
      </c>
      <c r="B45" s="13" t="s">
        <v>20</v>
      </c>
      <c r="C45" s="14" t="s">
        <v>21</v>
      </c>
      <c r="D45" s="15">
        <v>0</v>
      </c>
      <c r="E45" s="1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0.25" customHeight="1">
      <c r="A46" s="12">
        <v>1.2</v>
      </c>
      <c r="B46" s="13"/>
      <c r="C46" s="14" t="s">
        <v>22</v>
      </c>
      <c r="D46" s="15">
        <v>1</v>
      </c>
      <c r="E46" s="1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0.25" customHeight="1">
      <c r="A47" s="12">
        <v>1.3</v>
      </c>
      <c r="B47" s="13"/>
      <c r="C47" s="14" t="s">
        <v>23</v>
      </c>
      <c r="D47" s="15">
        <v>1</v>
      </c>
      <c r="E47" s="1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0.25" customHeight="1">
      <c r="A48" s="12">
        <v>2.1</v>
      </c>
      <c r="B48" s="13" t="s">
        <v>24</v>
      </c>
      <c r="C48" s="14" t="s">
        <v>25</v>
      </c>
      <c r="D48" s="15">
        <v>0</v>
      </c>
      <c r="E48" s="1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0.25" customHeight="1">
      <c r="A49" s="12">
        <v>2.2000000000000002</v>
      </c>
      <c r="B49" s="13"/>
      <c r="C49" s="14" t="s">
        <v>26</v>
      </c>
      <c r="D49" s="15">
        <v>1</v>
      </c>
      <c r="E49" s="1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0.25" customHeight="1">
      <c r="A50" s="12">
        <v>2.2999999999999998</v>
      </c>
      <c r="B50" s="13"/>
      <c r="C50" s="14" t="s">
        <v>27</v>
      </c>
      <c r="D50" s="17">
        <v>1</v>
      </c>
      <c r="E50" s="1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0.25" customHeight="1">
      <c r="A51" s="12">
        <v>2.4</v>
      </c>
      <c r="B51" s="13"/>
      <c r="C51" s="14" t="s">
        <v>28</v>
      </c>
      <c r="D51" s="15">
        <v>1</v>
      </c>
      <c r="E51" s="1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0.25" customHeight="1">
      <c r="A52" s="12">
        <v>3.1</v>
      </c>
      <c r="B52" s="13" t="s">
        <v>29</v>
      </c>
      <c r="C52" s="14" t="s">
        <v>30</v>
      </c>
      <c r="D52" s="17">
        <v>1</v>
      </c>
      <c r="E52" s="1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0.25" customHeight="1">
      <c r="A53" s="12">
        <v>3.2</v>
      </c>
      <c r="B53" s="13"/>
      <c r="C53" s="14" t="s">
        <v>31</v>
      </c>
      <c r="D53" s="15">
        <v>1</v>
      </c>
      <c r="E53" s="1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0.25" customHeight="1">
      <c r="A54" s="12">
        <v>3.3</v>
      </c>
      <c r="B54" s="13"/>
      <c r="C54" s="14" t="s">
        <v>32</v>
      </c>
      <c r="D54" s="15">
        <v>1</v>
      </c>
      <c r="E54" s="1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0.25" customHeight="1">
      <c r="A55" s="12">
        <v>3.4</v>
      </c>
      <c r="B55" s="13"/>
      <c r="C55" s="14" t="s">
        <v>33</v>
      </c>
      <c r="D55" s="15">
        <v>1</v>
      </c>
      <c r="E55" s="1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0.25" customHeight="1">
      <c r="A56" s="12">
        <v>4.0999999999999996</v>
      </c>
      <c r="B56" s="13" t="s">
        <v>34</v>
      </c>
      <c r="C56" s="14" t="s">
        <v>98</v>
      </c>
      <c r="D56" s="15">
        <v>1</v>
      </c>
      <c r="E56" s="1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0.25" customHeight="1">
      <c r="A57" s="12">
        <v>4.2</v>
      </c>
      <c r="B57" s="13"/>
      <c r="C57" s="14" t="s">
        <v>36</v>
      </c>
      <c r="D57" s="15">
        <v>1</v>
      </c>
      <c r="E57" s="1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0.25" customHeight="1">
      <c r="A58" s="12">
        <v>4.3</v>
      </c>
      <c r="B58" s="13"/>
      <c r="C58" s="14" t="s">
        <v>37</v>
      </c>
      <c r="D58" s="15">
        <v>1</v>
      </c>
      <c r="E58" s="1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0.25" customHeight="1">
      <c r="A59" s="12">
        <v>5.0999999999999996</v>
      </c>
      <c r="B59" s="13" t="s">
        <v>38</v>
      </c>
      <c r="C59" s="14" t="s">
        <v>39</v>
      </c>
      <c r="D59" s="15">
        <v>1</v>
      </c>
      <c r="E59" s="1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0.25" customHeight="1">
      <c r="A60" s="12">
        <v>5.2</v>
      </c>
      <c r="B60" s="13"/>
      <c r="C60" s="14" t="s">
        <v>40</v>
      </c>
      <c r="D60" s="15">
        <v>1</v>
      </c>
      <c r="E60" s="1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0.25" customHeight="1">
      <c r="A61" s="12">
        <v>5.3</v>
      </c>
      <c r="B61" s="13"/>
      <c r="C61" s="14" t="s">
        <v>41</v>
      </c>
      <c r="D61" s="15">
        <v>1</v>
      </c>
      <c r="E61" s="1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0.25" customHeight="1">
      <c r="A62" s="12">
        <v>5.4</v>
      </c>
      <c r="B62" s="13"/>
      <c r="C62" s="14" t="s">
        <v>42</v>
      </c>
      <c r="D62" s="15">
        <v>1</v>
      </c>
      <c r="E62" s="1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>
      <c r="A63" s="39" t="s">
        <v>43</v>
      </c>
      <c r="B63" s="40"/>
      <c r="C63" s="18" t="s">
        <v>44</v>
      </c>
      <c r="D63" s="19">
        <f>SUM(D45:D62)</f>
        <v>16</v>
      </c>
      <c r="E63" s="1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1" customHeight="1">
      <c r="A64" s="41"/>
      <c r="B64" s="42"/>
      <c r="C64" s="20" t="s">
        <v>45</v>
      </c>
      <c r="D64" s="21">
        <f>D63/18</f>
        <v>0.88888888888888884</v>
      </c>
      <c r="E64" s="2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1" customHeight="1">
      <c r="A65" s="23" t="s">
        <v>46</v>
      </c>
      <c r="B65" s="24" t="s">
        <v>47</v>
      </c>
      <c r="C65" s="20"/>
      <c r="D65" s="21"/>
      <c r="E65" s="2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3.25" customHeight="1">
      <c r="A66" s="23" t="s">
        <v>48</v>
      </c>
      <c r="B66" s="24" t="s">
        <v>49</v>
      </c>
      <c r="C66" s="25"/>
      <c r="D66" s="25"/>
      <c r="E66" s="1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1" customHeight="1">
      <c r="A67" s="23" t="s">
        <v>50</v>
      </c>
      <c r="B67" s="24" t="s">
        <v>51</v>
      </c>
      <c r="C67" s="26"/>
      <c r="D67" s="26"/>
      <c r="E67" s="2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3.25" customHeight="1">
      <c r="A68" s="37" t="s">
        <v>52</v>
      </c>
      <c r="B68" s="38"/>
      <c r="C68" s="27"/>
      <c r="D68" s="27" t="s">
        <v>53</v>
      </c>
      <c r="E68" s="28" t="s">
        <v>99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9"/>
      <c r="C69" s="29"/>
      <c r="D69" s="2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9"/>
      <c r="C70" s="29"/>
      <c r="D70" s="2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9"/>
      <c r="C71" s="29"/>
      <c r="D71" s="29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43" t="s">
        <v>0</v>
      </c>
      <c r="B72" s="44"/>
      <c r="C72" s="44"/>
      <c r="D72" s="45"/>
      <c r="E72" s="1" t="s">
        <v>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41"/>
      <c r="B73" s="46"/>
      <c r="C73" s="46"/>
      <c r="D73" s="42"/>
      <c r="E73" s="3" t="s">
        <v>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41"/>
      <c r="B74" s="46"/>
      <c r="C74" s="46"/>
      <c r="D74" s="42"/>
      <c r="E74" s="3" t="s">
        <v>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47"/>
      <c r="B75" s="48"/>
      <c r="C75" s="48"/>
      <c r="D75" s="49"/>
      <c r="E75" s="3" t="s">
        <v>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50" t="s">
        <v>5</v>
      </c>
      <c r="B76" s="40"/>
      <c r="C76" s="51" t="s">
        <v>6</v>
      </c>
      <c r="D76" s="51" t="s">
        <v>7</v>
      </c>
      <c r="E76" s="33">
        <f>COUNTIF(D81:D98,1)</f>
        <v>16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47"/>
      <c r="B77" s="49"/>
      <c r="C77" s="52"/>
      <c r="D77" s="52"/>
      <c r="E77" s="3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2.5" customHeight="1">
      <c r="A78" s="35" t="s">
        <v>8</v>
      </c>
      <c r="B78" s="36"/>
      <c r="C78" s="4" t="s">
        <v>9</v>
      </c>
      <c r="D78" s="4" t="s">
        <v>10</v>
      </c>
      <c r="E78" s="5">
        <f>COUNTIF(D81:D98,0)</f>
        <v>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.5" customHeight="1">
      <c r="A79" s="37" t="s">
        <v>11</v>
      </c>
      <c r="B79" s="38"/>
      <c r="C79" s="6" t="s">
        <v>100</v>
      </c>
      <c r="D79" s="4" t="s">
        <v>13</v>
      </c>
      <c r="E79" s="7" t="s">
        <v>14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7.75" customHeight="1">
      <c r="A80" s="8" t="s">
        <v>15</v>
      </c>
      <c r="B80" s="9" t="s">
        <v>16</v>
      </c>
      <c r="C80" s="10" t="s">
        <v>101</v>
      </c>
      <c r="D80" s="10" t="s">
        <v>18</v>
      </c>
      <c r="E80" s="11" t="s">
        <v>19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0.25" customHeight="1">
      <c r="A81" s="12">
        <v>1.1000000000000001</v>
      </c>
      <c r="B81" s="13" t="s">
        <v>20</v>
      </c>
      <c r="C81" s="14" t="s">
        <v>21</v>
      </c>
      <c r="D81" s="15">
        <v>0</v>
      </c>
      <c r="E81" s="1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0.25" customHeight="1">
      <c r="A82" s="12">
        <v>1.2</v>
      </c>
      <c r="B82" s="13"/>
      <c r="C82" s="14" t="s">
        <v>22</v>
      </c>
      <c r="D82" s="15">
        <v>1</v>
      </c>
      <c r="E82" s="1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0.25" customHeight="1">
      <c r="A83" s="12">
        <v>1.3</v>
      </c>
      <c r="B83" s="13"/>
      <c r="C83" s="14" t="s">
        <v>23</v>
      </c>
      <c r="D83" s="15">
        <v>0</v>
      </c>
      <c r="E83" s="1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0.25" customHeight="1">
      <c r="A84" s="12">
        <v>2.1</v>
      </c>
      <c r="B84" s="13" t="s">
        <v>24</v>
      </c>
      <c r="C84" s="14" t="s">
        <v>25</v>
      </c>
      <c r="D84" s="15">
        <v>1</v>
      </c>
      <c r="E84" s="1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0.25" customHeight="1">
      <c r="A85" s="12">
        <v>2.2000000000000002</v>
      </c>
      <c r="B85" s="13"/>
      <c r="C85" s="14" t="s">
        <v>26</v>
      </c>
      <c r="D85" s="17">
        <v>1</v>
      </c>
      <c r="E85" s="1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0.25" customHeight="1">
      <c r="A86" s="12">
        <v>2.2999999999999998</v>
      </c>
      <c r="B86" s="13"/>
      <c r="C86" s="14" t="s">
        <v>27</v>
      </c>
      <c r="D86" s="15">
        <v>1</v>
      </c>
      <c r="E86" s="1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0.25" customHeight="1">
      <c r="A87" s="12">
        <v>2.4</v>
      </c>
      <c r="B87" s="13"/>
      <c r="C87" s="14" t="s">
        <v>28</v>
      </c>
      <c r="D87" s="15">
        <v>1</v>
      </c>
      <c r="E87" s="1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0.25" customHeight="1">
      <c r="A88" s="12">
        <v>3.1</v>
      </c>
      <c r="B88" s="13" t="s">
        <v>29</v>
      </c>
      <c r="C88" s="14" t="s">
        <v>30</v>
      </c>
      <c r="D88" s="15">
        <v>1</v>
      </c>
      <c r="E88" s="1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0.25" customHeight="1">
      <c r="A89" s="12">
        <v>3.2</v>
      </c>
      <c r="B89" s="13"/>
      <c r="C89" s="14" t="s">
        <v>31</v>
      </c>
      <c r="D89" s="15">
        <v>1</v>
      </c>
      <c r="E89" s="1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0.25" customHeight="1">
      <c r="A90" s="12">
        <v>3.3</v>
      </c>
      <c r="B90" s="13"/>
      <c r="C90" s="14" t="s">
        <v>32</v>
      </c>
      <c r="D90" s="15">
        <v>1</v>
      </c>
      <c r="E90" s="1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0.25" customHeight="1">
      <c r="A91" s="12">
        <v>3.4</v>
      </c>
      <c r="B91" s="13"/>
      <c r="C91" s="14" t="s">
        <v>33</v>
      </c>
      <c r="D91" s="15">
        <v>1</v>
      </c>
      <c r="E91" s="1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0.25" customHeight="1">
      <c r="A92" s="12">
        <v>4.0999999999999996</v>
      </c>
      <c r="B92" s="13" t="s">
        <v>34</v>
      </c>
      <c r="C92" s="14" t="s">
        <v>102</v>
      </c>
      <c r="D92" s="17">
        <v>1</v>
      </c>
      <c r="E92" s="1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0.25" customHeight="1">
      <c r="A93" s="12">
        <v>4.2</v>
      </c>
      <c r="B93" s="13"/>
      <c r="C93" s="14" t="s">
        <v>36</v>
      </c>
      <c r="D93" s="17">
        <v>1</v>
      </c>
      <c r="E93" s="1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0.25" customHeight="1">
      <c r="A94" s="12">
        <v>4.3</v>
      </c>
      <c r="B94" s="13"/>
      <c r="C94" s="14" t="s">
        <v>37</v>
      </c>
      <c r="D94" s="15">
        <v>1</v>
      </c>
      <c r="E94" s="1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0.25" customHeight="1">
      <c r="A95" s="12">
        <v>5.0999999999999996</v>
      </c>
      <c r="B95" s="13" t="s">
        <v>38</v>
      </c>
      <c r="C95" s="14" t="s">
        <v>39</v>
      </c>
      <c r="D95" s="15">
        <v>1</v>
      </c>
      <c r="E95" s="1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0.25" customHeight="1">
      <c r="A96" s="12">
        <v>5.2</v>
      </c>
      <c r="B96" s="13"/>
      <c r="C96" s="14" t="s">
        <v>40</v>
      </c>
      <c r="D96" s="15">
        <v>1</v>
      </c>
      <c r="E96" s="1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0.25" customHeight="1">
      <c r="A97" s="12">
        <v>5.3</v>
      </c>
      <c r="B97" s="13"/>
      <c r="C97" s="14" t="s">
        <v>41</v>
      </c>
      <c r="D97" s="15">
        <v>1</v>
      </c>
      <c r="E97" s="1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0.25" customHeight="1">
      <c r="A98" s="12">
        <v>5.4</v>
      </c>
      <c r="B98" s="13"/>
      <c r="C98" s="14" t="s">
        <v>42</v>
      </c>
      <c r="D98" s="15">
        <v>1</v>
      </c>
      <c r="E98" s="1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2.5" customHeight="1">
      <c r="A99" s="39" t="s">
        <v>43</v>
      </c>
      <c r="B99" s="40"/>
      <c r="C99" s="18" t="s">
        <v>44</v>
      </c>
      <c r="D99" s="19">
        <f>SUM(D81:D98)</f>
        <v>16</v>
      </c>
      <c r="E99" s="1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.75" customHeight="1">
      <c r="A100" s="41"/>
      <c r="B100" s="42"/>
      <c r="C100" s="20" t="s">
        <v>45</v>
      </c>
      <c r="D100" s="21">
        <f>D99/18</f>
        <v>0.88888888888888884</v>
      </c>
      <c r="E100" s="2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2.5" customHeight="1">
      <c r="A101" s="23" t="s">
        <v>46</v>
      </c>
      <c r="B101" s="24" t="s">
        <v>47</v>
      </c>
      <c r="C101" s="20"/>
      <c r="D101" s="21"/>
      <c r="E101" s="2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3" t="s">
        <v>48</v>
      </c>
      <c r="B102" s="24" t="s">
        <v>49</v>
      </c>
      <c r="C102" s="25"/>
      <c r="D102" s="25"/>
      <c r="E102" s="1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3" t="s">
        <v>50</v>
      </c>
      <c r="B103" s="24" t="s">
        <v>51</v>
      </c>
      <c r="C103" s="26"/>
      <c r="D103" s="26"/>
      <c r="E103" s="2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3.25" customHeight="1">
      <c r="A104" s="37" t="s">
        <v>103</v>
      </c>
      <c r="B104" s="38"/>
      <c r="C104" s="27"/>
      <c r="D104" s="27" t="s">
        <v>53</v>
      </c>
      <c r="E104" s="28" t="s">
        <v>104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9"/>
      <c r="C105" s="29"/>
      <c r="D105" s="2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9"/>
      <c r="C106" s="29"/>
      <c r="D106" s="2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9"/>
      <c r="C107" s="29"/>
      <c r="D107" s="2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43" t="s">
        <v>0</v>
      </c>
      <c r="B108" s="44"/>
      <c r="C108" s="44"/>
      <c r="D108" s="45"/>
      <c r="E108" s="1" t="s">
        <v>1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41"/>
      <c r="B109" s="46"/>
      <c r="C109" s="46"/>
      <c r="D109" s="42"/>
      <c r="E109" s="3" t="s">
        <v>2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41"/>
      <c r="B110" s="46"/>
      <c r="C110" s="46"/>
      <c r="D110" s="42"/>
      <c r="E110" s="3" t="s">
        <v>3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47"/>
      <c r="B111" s="48"/>
      <c r="C111" s="48"/>
      <c r="D111" s="49"/>
      <c r="E111" s="3" t="s">
        <v>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50" t="s">
        <v>5</v>
      </c>
      <c r="B112" s="40"/>
      <c r="C112" s="51" t="s">
        <v>6</v>
      </c>
      <c r="D112" s="51" t="s">
        <v>7</v>
      </c>
      <c r="E112" s="33">
        <f>COUNTIF(D117:D134,1)</f>
        <v>16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47"/>
      <c r="B113" s="49"/>
      <c r="C113" s="52"/>
      <c r="D113" s="52"/>
      <c r="E113" s="3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6.25" customHeight="1">
      <c r="A114" s="35" t="s">
        <v>8</v>
      </c>
      <c r="B114" s="36"/>
      <c r="C114" s="4" t="s">
        <v>9</v>
      </c>
      <c r="D114" s="4" t="s">
        <v>10</v>
      </c>
      <c r="E114" s="5">
        <f>COUNTIF(D117:D134,0)</f>
        <v>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1.75" customHeight="1">
      <c r="A115" s="37" t="s">
        <v>11</v>
      </c>
      <c r="B115" s="38"/>
      <c r="C115" s="6" t="s">
        <v>105</v>
      </c>
      <c r="D115" s="4" t="s">
        <v>13</v>
      </c>
      <c r="E115" s="7" t="s">
        <v>14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35.25" customHeight="1">
      <c r="A116" s="8" t="s">
        <v>15</v>
      </c>
      <c r="B116" s="9" t="s">
        <v>16</v>
      </c>
      <c r="C116" s="10" t="s">
        <v>17</v>
      </c>
      <c r="D116" s="10" t="s">
        <v>18</v>
      </c>
      <c r="E116" s="11" t="s">
        <v>19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" customHeight="1">
      <c r="A117" s="12">
        <v>1.1000000000000001</v>
      </c>
      <c r="B117" s="13" t="s">
        <v>20</v>
      </c>
      <c r="C117" s="14" t="s">
        <v>21</v>
      </c>
      <c r="D117" s="15">
        <v>0</v>
      </c>
      <c r="E117" s="1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" customHeight="1">
      <c r="A118" s="12">
        <v>1.2</v>
      </c>
      <c r="B118" s="13"/>
      <c r="C118" s="14" t="s">
        <v>22</v>
      </c>
      <c r="D118" s="15">
        <v>1</v>
      </c>
      <c r="E118" s="1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" customHeight="1">
      <c r="A119" s="12">
        <v>1.3</v>
      </c>
      <c r="B119" s="13"/>
      <c r="C119" s="14" t="s">
        <v>23</v>
      </c>
      <c r="D119" s="17">
        <v>1</v>
      </c>
      <c r="E119" s="1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" customHeight="1">
      <c r="A120" s="12">
        <v>2.1</v>
      </c>
      <c r="B120" s="13" t="s">
        <v>24</v>
      </c>
      <c r="C120" s="14" t="s">
        <v>25</v>
      </c>
      <c r="D120" s="17">
        <v>1</v>
      </c>
      <c r="E120" s="1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" customHeight="1">
      <c r="A121" s="12">
        <v>2.2000000000000002</v>
      </c>
      <c r="B121" s="13"/>
      <c r="C121" s="14" t="s">
        <v>26</v>
      </c>
      <c r="D121" s="15">
        <v>1</v>
      </c>
      <c r="E121" s="1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" customHeight="1">
      <c r="A122" s="12">
        <v>2.2999999999999998</v>
      </c>
      <c r="B122" s="13"/>
      <c r="C122" s="14" t="s">
        <v>27</v>
      </c>
      <c r="D122" s="15">
        <v>1</v>
      </c>
      <c r="E122" s="1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" customHeight="1">
      <c r="A123" s="12">
        <v>2.4</v>
      </c>
      <c r="B123" s="13"/>
      <c r="C123" s="14" t="s">
        <v>28</v>
      </c>
      <c r="D123" s="15">
        <v>0</v>
      </c>
      <c r="E123" s="1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" customHeight="1">
      <c r="A124" s="12">
        <v>3.1</v>
      </c>
      <c r="B124" s="13" t="s">
        <v>29</v>
      </c>
      <c r="C124" s="14" t="s">
        <v>30</v>
      </c>
      <c r="D124" s="17">
        <v>1</v>
      </c>
      <c r="E124" s="1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" customHeight="1">
      <c r="A125" s="12">
        <v>3.2</v>
      </c>
      <c r="B125" s="13"/>
      <c r="C125" s="14" t="s">
        <v>31</v>
      </c>
      <c r="D125" s="17">
        <v>1</v>
      </c>
      <c r="E125" s="1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" customHeight="1">
      <c r="A126" s="12">
        <v>3.3</v>
      </c>
      <c r="B126" s="13"/>
      <c r="C126" s="14" t="s">
        <v>32</v>
      </c>
      <c r="D126" s="15">
        <v>1</v>
      </c>
      <c r="E126" s="1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" customHeight="1">
      <c r="A127" s="12">
        <v>3.4</v>
      </c>
      <c r="B127" s="13"/>
      <c r="C127" s="14" t="s">
        <v>33</v>
      </c>
      <c r="D127" s="15">
        <v>1</v>
      </c>
      <c r="E127" s="1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" customHeight="1">
      <c r="A128" s="12">
        <v>4.0999999999999996</v>
      </c>
      <c r="B128" s="13" t="s">
        <v>34</v>
      </c>
      <c r="C128" s="14" t="s">
        <v>106</v>
      </c>
      <c r="D128" s="15">
        <v>1</v>
      </c>
      <c r="E128" s="1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" customHeight="1">
      <c r="A129" s="12">
        <v>4.2</v>
      </c>
      <c r="B129" s="13"/>
      <c r="C129" s="14" t="s">
        <v>36</v>
      </c>
      <c r="D129" s="15">
        <v>1</v>
      </c>
      <c r="E129" s="1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" customHeight="1">
      <c r="A130" s="12">
        <v>4.3</v>
      </c>
      <c r="B130" s="13"/>
      <c r="C130" s="14" t="s">
        <v>37</v>
      </c>
      <c r="D130" s="15">
        <v>1</v>
      </c>
      <c r="E130" s="1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" customHeight="1">
      <c r="A131" s="12">
        <v>5.0999999999999996</v>
      </c>
      <c r="B131" s="13" t="s">
        <v>38</v>
      </c>
      <c r="C131" s="14" t="s">
        <v>39</v>
      </c>
      <c r="D131" s="15">
        <v>1</v>
      </c>
      <c r="E131" s="1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" customHeight="1">
      <c r="A132" s="12">
        <v>5.2</v>
      </c>
      <c r="B132" s="13"/>
      <c r="C132" s="14" t="s">
        <v>40</v>
      </c>
      <c r="D132" s="15">
        <v>1</v>
      </c>
      <c r="E132" s="1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" customHeight="1">
      <c r="A133" s="12">
        <v>5.3</v>
      </c>
      <c r="B133" s="13"/>
      <c r="C133" s="14" t="s">
        <v>41</v>
      </c>
      <c r="D133" s="15">
        <v>1</v>
      </c>
      <c r="E133" s="1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" customHeight="1">
      <c r="A134" s="12">
        <v>5.4</v>
      </c>
      <c r="B134" s="13"/>
      <c r="C134" s="14" t="s">
        <v>42</v>
      </c>
      <c r="D134" s="15">
        <v>1</v>
      </c>
      <c r="E134" s="1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1" customHeight="1">
      <c r="A135" s="39" t="s">
        <v>43</v>
      </c>
      <c r="B135" s="40"/>
      <c r="C135" s="18" t="s">
        <v>44</v>
      </c>
      <c r="D135" s="19">
        <f>SUM(D117:D134)</f>
        <v>16</v>
      </c>
      <c r="E135" s="1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1.75" customHeight="1">
      <c r="A136" s="41"/>
      <c r="B136" s="42"/>
      <c r="C136" s="20" t="s">
        <v>45</v>
      </c>
      <c r="D136" s="21">
        <f>D135/18</f>
        <v>0.88888888888888884</v>
      </c>
      <c r="E136" s="2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0.25" customHeight="1">
      <c r="A137" s="23" t="s">
        <v>46</v>
      </c>
      <c r="B137" s="24" t="s">
        <v>47</v>
      </c>
      <c r="C137" s="20"/>
      <c r="D137" s="21"/>
      <c r="E137" s="2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.75" customHeight="1">
      <c r="A138" s="23" t="s">
        <v>48</v>
      </c>
      <c r="B138" s="24" t="s">
        <v>49</v>
      </c>
      <c r="C138" s="25"/>
      <c r="D138" s="25"/>
      <c r="E138" s="1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6.25" customHeight="1">
      <c r="A139" s="23" t="s">
        <v>50</v>
      </c>
      <c r="B139" s="24" t="s">
        <v>51</v>
      </c>
      <c r="C139" s="26"/>
      <c r="D139" s="26"/>
      <c r="E139" s="2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.75" customHeight="1">
      <c r="A140" s="37" t="s">
        <v>52</v>
      </c>
      <c r="B140" s="38"/>
      <c r="C140" s="27"/>
      <c r="D140" s="27" t="s">
        <v>53</v>
      </c>
      <c r="E140" s="28" t="s">
        <v>107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9"/>
      <c r="C141" s="29"/>
      <c r="D141" s="2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9"/>
      <c r="C142" s="29"/>
      <c r="D142" s="2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9"/>
      <c r="C143" s="29"/>
      <c r="D143" s="2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9"/>
      <c r="C144" s="29"/>
      <c r="D144" s="29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9"/>
      <c r="C145" s="29"/>
      <c r="D145" s="29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9"/>
      <c r="C146" s="29"/>
      <c r="D146" s="29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9"/>
      <c r="C147" s="29"/>
      <c r="D147" s="2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9"/>
      <c r="C148" s="29"/>
      <c r="D148" s="29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9"/>
      <c r="C149" s="29"/>
      <c r="D149" s="29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9"/>
      <c r="C150" s="29"/>
      <c r="D150" s="29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9"/>
      <c r="C151" s="29"/>
      <c r="D151" s="29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9"/>
      <c r="C152" s="29"/>
      <c r="D152" s="29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9"/>
      <c r="C153" s="29"/>
      <c r="D153" s="29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9"/>
      <c r="C154" s="29"/>
      <c r="D154" s="29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9"/>
      <c r="C155" s="29"/>
      <c r="D155" s="29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9"/>
      <c r="C156" s="29"/>
      <c r="D156" s="29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9"/>
      <c r="C157" s="29"/>
      <c r="D157" s="29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9"/>
      <c r="C158" s="29"/>
      <c r="D158" s="29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9"/>
      <c r="C159" s="29"/>
      <c r="D159" s="29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9"/>
      <c r="C160" s="29"/>
      <c r="D160" s="29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9"/>
      <c r="C161" s="29"/>
      <c r="D161" s="29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9"/>
      <c r="C162" s="29"/>
      <c r="D162" s="29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9"/>
      <c r="C163" s="29"/>
      <c r="D163" s="29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9"/>
      <c r="C164" s="29"/>
      <c r="D164" s="29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9"/>
      <c r="C165" s="29"/>
      <c r="D165" s="29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9"/>
      <c r="C166" s="29"/>
      <c r="D166" s="29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9"/>
      <c r="C167" s="29"/>
      <c r="D167" s="29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9"/>
      <c r="C168" s="29"/>
      <c r="D168" s="29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9"/>
      <c r="C169" s="29"/>
      <c r="D169" s="29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9"/>
      <c r="C170" s="29"/>
      <c r="D170" s="29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9"/>
      <c r="C171" s="29"/>
      <c r="D171" s="29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9"/>
      <c r="C172" s="29"/>
      <c r="D172" s="29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9"/>
      <c r="C173" s="29"/>
      <c r="D173" s="29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9"/>
      <c r="C174" s="29"/>
      <c r="D174" s="29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9"/>
      <c r="C175" s="29"/>
      <c r="D175" s="29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9"/>
      <c r="C176" s="29"/>
      <c r="D176" s="29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9"/>
      <c r="C177" s="29"/>
      <c r="D177" s="29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9"/>
      <c r="C178" s="29"/>
      <c r="D178" s="2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9"/>
      <c r="C179" s="29"/>
      <c r="D179" s="2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9"/>
      <c r="C180" s="29"/>
      <c r="D180" s="2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9"/>
      <c r="C181" s="29"/>
      <c r="D181" s="29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9"/>
      <c r="C182" s="29"/>
      <c r="D182" s="29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9"/>
      <c r="C183" s="29"/>
      <c r="D183" s="29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9"/>
      <c r="C184" s="29"/>
      <c r="D184" s="29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9"/>
      <c r="C185" s="29"/>
      <c r="D185" s="29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9"/>
      <c r="C186" s="29"/>
      <c r="D186" s="2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9"/>
      <c r="C187" s="29"/>
      <c r="D187" s="2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9"/>
      <c r="C188" s="29"/>
      <c r="D188" s="2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9"/>
      <c r="C189" s="29"/>
      <c r="D189" s="2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9"/>
      <c r="C190" s="29"/>
      <c r="D190" s="2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9"/>
      <c r="C191" s="29"/>
      <c r="D191" s="2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9"/>
      <c r="C192" s="29"/>
      <c r="D192" s="2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9"/>
      <c r="C193" s="29"/>
      <c r="D193" s="2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9"/>
      <c r="C194" s="29"/>
      <c r="D194" s="2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9"/>
      <c r="C195" s="29"/>
      <c r="D195" s="2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9"/>
      <c r="C196" s="29"/>
      <c r="D196" s="2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9"/>
      <c r="C197" s="29"/>
      <c r="D197" s="2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9"/>
      <c r="C198" s="29"/>
      <c r="D198" s="2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9"/>
      <c r="C199" s="29"/>
      <c r="D199" s="2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9"/>
      <c r="C200" s="29"/>
      <c r="D200" s="29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9"/>
      <c r="C201" s="29"/>
      <c r="D201" s="29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9"/>
      <c r="C202" s="29"/>
      <c r="D202" s="29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9"/>
      <c r="C203" s="29"/>
      <c r="D203" s="2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9"/>
      <c r="C204" s="29"/>
      <c r="D204" s="29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9"/>
      <c r="C205" s="29"/>
      <c r="D205" s="2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9"/>
      <c r="C206" s="29"/>
      <c r="D206" s="2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9"/>
      <c r="C207" s="29"/>
      <c r="D207" s="29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9"/>
      <c r="C208" s="29"/>
      <c r="D208" s="29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9"/>
      <c r="C209" s="29"/>
      <c r="D209" s="29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9"/>
      <c r="C210" s="29"/>
      <c r="D210" s="29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9"/>
      <c r="C211" s="29"/>
      <c r="D211" s="29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9"/>
      <c r="C212" s="29"/>
      <c r="D212" s="29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9"/>
      <c r="C213" s="29"/>
      <c r="D213" s="29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9"/>
      <c r="C214" s="29"/>
      <c r="D214" s="2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9"/>
      <c r="C215" s="29"/>
      <c r="D215" s="2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9"/>
      <c r="C216" s="29"/>
      <c r="D216" s="2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9"/>
      <c r="C217" s="29"/>
      <c r="D217" s="2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9"/>
      <c r="C218" s="29"/>
      <c r="D218" s="29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9"/>
      <c r="C219" s="29"/>
      <c r="D219" s="29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9"/>
      <c r="C220" s="29"/>
      <c r="D220" s="29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9"/>
      <c r="C221" s="29"/>
      <c r="D221" s="29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9"/>
      <c r="C222" s="29"/>
      <c r="D222" s="29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9"/>
      <c r="C223" s="29"/>
      <c r="D223" s="29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9"/>
      <c r="C224" s="29"/>
      <c r="D224" s="29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9"/>
      <c r="C225" s="29"/>
      <c r="D225" s="29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9"/>
      <c r="C226" s="29"/>
      <c r="D226" s="29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9"/>
      <c r="C227" s="29"/>
      <c r="D227" s="29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9"/>
      <c r="C228" s="29"/>
      <c r="D228" s="29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9"/>
      <c r="C229" s="29"/>
      <c r="D229" s="29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9"/>
      <c r="C230" s="29"/>
      <c r="D230" s="29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9"/>
      <c r="C231" s="29"/>
      <c r="D231" s="29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9"/>
      <c r="C232" s="29"/>
      <c r="D232" s="29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9"/>
      <c r="C233" s="29"/>
      <c r="D233" s="29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9"/>
      <c r="C234" s="29"/>
      <c r="D234" s="29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9"/>
      <c r="C235" s="29"/>
      <c r="D235" s="29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9"/>
      <c r="C236" s="29"/>
      <c r="D236" s="29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9"/>
      <c r="C237" s="29"/>
      <c r="D237" s="29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9"/>
      <c r="C238" s="29"/>
      <c r="D238" s="29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9"/>
      <c r="C239" s="29"/>
      <c r="D239" s="29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9"/>
      <c r="C240" s="29"/>
      <c r="D240" s="29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9"/>
      <c r="C241" s="29"/>
      <c r="D241" s="29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9"/>
      <c r="C242" s="29"/>
      <c r="D242" s="2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9"/>
      <c r="C243" s="29"/>
      <c r="D243" s="29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9"/>
      <c r="C244" s="29"/>
      <c r="D244" s="2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9"/>
      <c r="C245" s="29"/>
      <c r="D245" s="29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9"/>
      <c r="C246" s="29"/>
      <c r="D246" s="2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9"/>
      <c r="C247" s="29"/>
      <c r="D247" s="29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9"/>
      <c r="C248" s="29"/>
      <c r="D248" s="2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9"/>
      <c r="C249" s="29"/>
      <c r="D249" s="29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9"/>
      <c r="C250" s="29"/>
      <c r="D250" s="2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9"/>
      <c r="C251" s="29"/>
      <c r="D251" s="29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9"/>
      <c r="C252" s="29"/>
      <c r="D252" s="29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9"/>
      <c r="C253" s="29"/>
      <c r="D253" s="29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9"/>
      <c r="C254" s="29"/>
      <c r="D254" s="29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9"/>
      <c r="C255" s="29"/>
      <c r="D255" s="29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9"/>
      <c r="C256" s="29"/>
      <c r="D256" s="29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9"/>
      <c r="C257" s="29"/>
      <c r="D257" s="29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9"/>
      <c r="C258" s="29"/>
      <c r="D258" s="2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9"/>
      <c r="C259" s="29"/>
      <c r="D259" s="29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9"/>
      <c r="C260" s="29"/>
      <c r="D260" s="2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9"/>
      <c r="C261" s="29"/>
      <c r="D261" s="29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9"/>
      <c r="C262" s="29"/>
      <c r="D262" s="29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9"/>
      <c r="C263" s="29"/>
      <c r="D263" s="29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9"/>
      <c r="C264" s="29"/>
      <c r="D264" s="29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9"/>
      <c r="C265" s="29"/>
      <c r="D265" s="29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9"/>
      <c r="C266" s="29"/>
      <c r="D266" s="29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9"/>
      <c r="C267" s="29"/>
      <c r="D267" s="29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9"/>
      <c r="C268" s="29"/>
      <c r="D268" s="29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9"/>
      <c r="C269" s="29"/>
      <c r="D269" s="29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9"/>
      <c r="C270" s="29"/>
      <c r="D270" s="2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9"/>
      <c r="C271" s="29"/>
      <c r="D271" s="29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9"/>
      <c r="C272" s="29"/>
      <c r="D272" s="29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9"/>
      <c r="C273" s="29"/>
      <c r="D273" s="29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9"/>
      <c r="C274" s="29"/>
      <c r="D274" s="29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9"/>
      <c r="C275" s="29"/>
      <c r="D275" s="29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9"/>
      <c r="C276" s="29"/>
      <c r="D276" s="29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9"/>
      <c r="C277" s="29"/>
      <c r="D277" s="29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9"/>
      <c r="C278" s="29"/>
      <c r="D278" s="29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9"/>
      <c r="C279" s="29"/>
      <c r="D279" s="29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9"/>
      <c r="C280" s="29"/>
      <c r="D280" s="29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9"/>
      <c r="C281" s="29"/>
      <c r="D281" s="29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9"/>
      <c r="C282" s="29"/>
      <c r="D282" s="29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9"/>
      <c r="C283" s="29"/>
      <c r="D283" s="29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9"/>
      <c r="C284" s="29"/>
      <c r="D284" s="29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9"/>
      <c r="C285" s="29"/>
      <c r="D285" s="29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9"/>
      <c r="C286" s="29"/>
      <c r="D286" s="29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9"/>
      <c r="C287" s="29"/>
      <c r="D287" s="2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9"/>
      <c r="C288" s="29"/>
      <c r="D288" s="29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9"/>
      <c r="C289" s="29"/>
      <c r="D289" s="2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9"/>
      <c r="C290" s="29"/>
      <c r="D290" s="29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9"/>
      <c r="C291" s="29"/>
      <c r="D291" s="29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9"/>
      <c r="C292" s="29"/>
      <c r="D292" s="29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9"/>
      <c r="C293" s="29"/>
      <c r="D293" s="2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9"/>
      <c r="C294" s="29"/>
      <c r="D294" s="2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9"/>
      <c r="C295" s="29"/>
      <c r="D295" s="2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9"/>
      <c r="C296" s="29"/>
      <c r="D296" s="2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9"/>
      <c r="C297" s="29"/>
      <c r="D297" s="2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9"/>
      <c r="C298" s="29"/>
      <c r="D298" s="2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9"/>
      <c r="C299" s="29"/>
      <c r="D299" s="2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9"/>
      <c r="C300" s="29"/>
      <c r="D300" s="2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9"/>
      <c r="C301" s="29"/>
      <c r="D301" s="2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9"/>
      <c r="C302" s="29"/>
      <c r="D302" s="2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9"/>
      <c r="C303" s="29"/>
      <c r="D303" s="2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9"/>
      <c r="C304" s="29"/>
      <c r="D304" s="2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9"/>
      <c r="C305" s="29"/>
      <c r="D305" s="2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9"/>
      <c r="C306" s="29"/>
      <c r="D306" s="2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9"/>
      <c r="C307" s="29"/>
      <c r="D307" s="2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9"/>
      <c r="C308" s="29"/>
      <c r="D308" s="2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9"/>
      <c r="C309" s="29"/>
      <c r="D309" s="2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9"/>
      <c r="C310" s="29"/>
      <c r="D310" s="2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9"/>
      <c r="C311" s="29"/>
      <c r="D311" s="2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9"/>
      <c r="C312" s="29"/>
      <c r="D312" s="2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9"/>
      <c r="C313" s="29"/>
      <c r="D313" s="2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9"/>
      <c r="C314" s="29"/>
      <c r="D314" s="2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9"/>
      <c r="C315" s="29"/>
      <c r="D315" s="2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9"/>
      <c r="C316" s="29"/>
      <c r="D316" s="2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9"/>
      <c r="C317" s="29"/>
      <c r="D317" s="2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9"/>
      <c r="C318" s="29"/>
      <c r="D318" s="2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9"/>
      <c r="C319" s="29"/>
      <c r="D319" s="2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9"/>
      <c r="C320" s="29"/>
      <c r="D320" s="2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9"/>
      <c r="C321" s="29"/>
      <c r="D321" s="2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9"/>
      <c r="C322" s="29"/>
      <c r="D322" s="2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9"/>
      <c r="C323" s="29"/>
      <c r="D323" s="2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9"/>
      <c r="C324" s="29"/>
      <c r="D324" s="29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9"/>
      <c r="C325" s="29"/>
      <c r="D325" s="2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9"/>
      <c r="C326" s="29"/>
      <c r="D326" s="29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9"/>
      <c r="C327" s="29"/>
      <c r="D327" s="2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9"/>
      <c r="C328" s="29"/>
      <c r="D328" s="2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9"/>
      <c r="C329" s="29"/>
      <c r="D329" s="2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9"/>
      <c r="C330" s="29"/>
      <c r="D330" s="2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9"/>
      <c r="C331" s="29"/>
      <c r="D331" s="2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9"/>
      <c r="C332" s="29"/>
      <c r="D332" s="2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9"/>
      <c r="C333" s="29"/>
      <c r="D333" s="2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9"/>
      <c r="C334" s="29"/>
      <c r="D334" s="29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9"/>
      <c r="C335" s="29"/>
      <c r="D335" s="29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9"/>
      <c r="C336" s="29"/>
      <c r="D336" s="29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9"/>
      <c r="C337" s="29"/>
      <c r="D337" s="29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9"/>
      <c r="C338" s="29"/>
      <c r="D338" s="29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9"/>
      <c r="C339" s="29"/>
      <c r="D339" s="29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9"/>
      <c r="C340" s="29"/>
      <c r="D340" s="29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36">
    <mergeCell ref="A1:D4"/>
    <mergeCell ref="A5:B6"/>
    <mergeCell ref="C5:C6"/>
    <mergeCell ref="D5:D6"/>
    <mergeCell ref="E5:E6"/>
    <mergeCell ref="C76:C77"/>
    <mergeCell ref="A7:B7"/>
    <mergeCell ref="A8:B8"/>
    <mergeCell ref="A28:B29"/>
    <mergeCell ref="A33:B33"/>
    <mergeCell ref="A36:D39"/>
    <mergeCell ref="E112:E113"/>
    <mergeCell ref="A114:B114"/>
    <mergeCell ref="A115:B115"/>
    <mergeCell ref="A135:B136"/>
    <mergeCell ref="A40:B41"/>
    <mergeCell ref="C40:C41"/>
    <mergeCell ref="D40:D41"/>
    <mergeCell ref="E40:E41"/>
    <mergeCell ref="D76:D77"/>
    <mergeCell ref="E76:E77"/>
    <mergeCell ref="A42:B42"/>
    <mergeCell ref="A43:B43"/>
    <mergeCell ref="A63:B64"/>
    <mergeCell ref="A68:B68"/>
    <mergeCell ref="A72:D75"/>
    <mergeCell ref="A76:B77"/>
    <mergeCell ref="A140:B140"/>
    <mergeCell ref="A78:B78"/>
    <mergeCell ref="A79:B79"/>
    <mergeCell ref="A99:B100"/>
    <mergeCell ref="A104:B104"/>
    <mergeCell ref="A108:D111"/>
    <mergeCell ref="A112:B113"/>
    <mergeCell ref="C112:C113"/>
    <mergeCell ref="D112:D113"/>
  </mergeCells>
  <conditionalFormatting sqref="D28">
    <cfRule type="colorScale" priority="8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10:D14 D17:D27">
    <cfRule type="colorScale" priority="9">
      <colorScale>
        <cfvo type="formula" val="0"/>
        <cfvo type="formula" val="1"/>
        <color rgb="FFFF0000"/>
        <color rgb="FF00B050"/>
      </colorScale>
    </cfRule>
  </conditionalFormatting>
  <conditionalFormatting sqref="D63">
    <cfRule type="colorScale" priority="10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45:D49 D81:D84 D94:D98 D53:D62 D51 D86:D91">
    <cfRule type="colorScale" priority="11">
      <colorScale>
        <cfvo type="formula" val="0"/>
        <cfvo type="formula" val="1"/>
        <color rgb="FFFF0000"/>
        <color rgb="FF00B050"/>
      </colorScale>
    </cfRule>
  </conditionalFormatting>
  <conditionalFormatting sqref="D99">
    <cfRule type="colorScale" priority="12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81:D84 D94:D98 D86:D91">
    <cfRule type="colorScale" priority="13">
      <colorScale>
        <cfvo type="formula" val="0"/>
        <cfvo type="formula" val="1"/>
        <color rgb="FFFF0000"/>
        <color rgb="FF00B050"/>
      </colorScale>
    </cfRule>
  </conditionalFormatting>
  <conditionalFormatting sqref="D135">
    <cfRule type="colorScale" priority="14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117:D134">
    <cfRule type="colorScale" priority="15">
      <colorScale>
        <cfvo type="formula" val="0"/>
        <cfvo type="formula" val="1"/>
        <color rgb="FFFF0000"/>
        <color rgb="FF00B050"/>
      </colorScale>
    </cfRule>
  </conditionalFormatting>
  <conditionalFormatting sqref="D93">
    <cfRule type="colorScale" priority="7">
      <colorScale>
        <cfvo type="formula" val="0"/>
        <cfvo type="formula" val="1"/>
        <color rgb="FFFF0000"/>
        <color rgb="FF00B050"/>
      </colorScale>
    </cfRule>
  </conditionalFormatting>
  <conditionalFormatting sqref="D52">
    <cfRule type="colorScale" priority="6">
      <colorScale>
        <cfvo type="formula" val="0"/>
        <cfvo type="formula" val="1"/>
        <color rgb="FFFF0000"/>
        <color rgb="FF00B050"/>
      </colorScale>
    </cfRule>
  </conditionalFormatting>
  <conditionalFormatting sqref="D50">
    <cfRule type="colorScale" priority="5">
      <colorScale>
        <cfvo type="formula" val="0"/>
        <cfvo type="formula" val="1"/>
        <color rgb="FFFF0000"/>
        <color rgb="FF00B050"/>
      </colorScale>
    </cfRule>
  </conditionalFormatting>
  <conditionalFormatting sqref="D16">
    <cfRule type="colorScale" priority="4">
      <colorScale>
        <cfvo type="formula" val="0"/>
        <cfvo type="formula" val="1"/>
        <color rgb="FFFF0000"/>
        <color rgb="FF00B050"/>
      </colorScale>
    </cfRule>
  </conditionalFormatting>
  <conditionalFormatting sqref="D15">
    <cfRule type="colorScale" priority="3">
      <colorScale>
        <cfvo type="formula" val="0"/>
        <cfvo type="formula" val="1"/>
        <color rgb="FFFF0000"/>
        <color rgb="FF00B050"/>
      </colorScale>
    </cfRule>
  </conditionalFormatting>
  <conditionalFormatting sqref="D85">
    <cfRule type="colorScale" priority="2">
      <colorScale>
        <cfvo type="formula" val="0"/>
        <cfvo type="formula" val="1"/>
        <color rgb="FFFF0000"/>
        <color rgb="FF00B050"/>
      </colorScale>
    </cfRule>
  </conditionalFormatting>
  <conditionalFormatting sqref="D92">
    <cfRule type="colorScale" priority="1">
      <colorScale>
        <cfvo type="formula" val="0"/>
        <cfvo type="formula" val="1"/>
        <color rgb="FFFF0000"/>
        <color rgb="FF00B050"/>
      </colorScale>
    </cfRule>
  </conditionalFormatting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tabSelected="1" topLeftCell="A38" zoomScale="75" zoomScaleNormal="75" workbookViewId="0">
      <selection activeCell="E204" sqref="E204"/>
    </sheetView>
  </sheetViews>
  <sheetFormatPr defaultColWidth="14.42578125" defaultRowHeight="15" customHeight="1"/>
  <cols>
    <col min="1" max="1" width="25.85546875" customWidth="1"/>
    <col min="2" max="2" width="29.140625" customWidth="1"/>
    <col min="3" max="3" width="85.5703125" customWidth="1"/>
    <col min="4" max="4" width="27.5703125" customWidth="1"/>
    <col min="5" max="5" width="36.5703125" customWidth="1"/>
    <col min="6" max="25" width="9.140625" customWidth="1"/>
  </cols>
  <sheetData>
    <row r="1" spans="1:26">
      <c r="A1" s="43" t="s">
        <v>0</v>
      </c>
      <c r="B1" s="44"/>
      <c r="C1" s="44"/>
      <c r="D1" s="45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1"/>
      <c r="B2" s="46"/>
      <c r="C2" s="46"/>
      <c r="D2" s="42"/>
      <c r="E2" s="3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1"/>
      <c r="B3" s="46"/>
      <c r="C3" s="46"/>
      <c r="D3" s="42"/>
      <c r="E3" s="3" t="s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7"/>
      <c r="B4" s="48"/>
      <c r="C4" s="48"/>
      <c r="D4" s="49"/>
      <c r="E4" s="3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0" t="s">
        <v>5</v>
      </c>
      <c r="B5" s="40"/>
      <c r="C5" s="51" t="s">
        <v>6</v>
      </c>
      <c r="D5" s="51" t="s">
        <v>7</v>
      </c>
      <c r="E5" s="33">
        <f>COUNTIF(D10:D27,1)</f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7"/>
      <c r="B6" s="49"/>
      <c r="C6" s="52"/>
      <c r="D6" s="52"/>
      <c r="E6" s="3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>
      <c r="A7" s="35" t="s">
        <v>8</v>
      </c>
      <c r="B7" s="36"/>
      <c r="C7" s="4" t="s">
        <v>9</v>
      </c>
      <c r="D7" s="4" t="s">
        <v>10</v>
      </c>
      <c r="E7" s="5">
        <f>COUNTIF(D10:D27,0)</f>
        <v>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>
      <c r="A8" s="37" t="s">
        <v>11</v>
      </c>
      <c r="B8" s="38"/>
      <c r="C8" s="6" t="s">
        <v>108</v>
      </c>
      <c r="D8" s="4" t="s">
        <v>13</v>
      </c>
      <c r="E8" s="7" t="s">
        <v>14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6">
      <c r="A9" s="8" t="s">
        <v>15</v>
      </c>
      <c r="B9" s="9" t="s">
        <v>16</v>
      </c>
      <c r="C9" s="10" t="s">
        <v>17</v>
      </c>
      <c r="D9" s="10" t="s">
        <v>18</v>
      </c>
      <c r="E9" s="11" t="s">
        <v>19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0.5">
      <c r="A10" s="12">
        <v>1.1000000000000001</v>
      </c>
      <c r="B10" s="13" t="s">
        <v>20</v>
      </c>
      <c r="C10" s="14" t="s">
        <v>21</v>
      </c>
      <c r="D10" s="15">
        <v>0</v>
      </c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0.25">
      <c r="A11" s="12">
        <v>1.2</v>
      </c>
      <c r="B11" s="13"/>
      <c r="C11" s="14" t="s">
        <v>22</v>
      </c>
      <c r="D11" s="17">
        <v>1</v>
      </c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.25">
      <c r="A12" s="12">
        <v>1.3</v>
      </c>
      <c r="B12" s="13"/>
      <c r="C12" s="14" t="s">
        <v>23</v>
      </c>
      <c r="D12" s="15">
        <v>1</v>
      </c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0.5">
      <c r="A13" s="12">
        <v>2.1</v>
      </c>
      <c r="B13" s="13" t="s">
        <v>24</v>
      </c>
      <c r="C13" s="14" t="s">
        <v>25</v>
      </c>
      <c r="D13" s="15">
        <v>1</v>
      </c>
      <c r="E13" s="1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.25">
      <c r="A14" s="12">
        <v>2.2000000000000002</v>
      </c>
      <c r="B14" s="13"/>
      <c r="C14" s="14" t="s">
        <v>26</v>
      </c>
      <c r="D14" s="15">
        <v>1</v>
      </c>
      <c r="E14" s="1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0.5">
      <c r="A15" s="12">
        <v>2.2999999999999998</v>
      </c>
      <c r="B15" s="13"/>
      <c r="C15" s="14" t="s">
        <v>27</v>
      </c>
      <c r="D15" s="15">
        <v>0</v>
      </c>
      <c r="E15" s="1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60.75">
      <c r="A16" s="12">
        <v>2.4</v>
      </c>
      <c r="B16" s="13"/>
      <c r="C16" s="14" t="s">
        <v>28</v>
      </c>
      <c r="D16" s="17">
        <v>1</v>
      </c>
      <c r="E16" s="1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0.5">
      <c r="A17" s="12">
        <v>3.1</v>
      </c>
      <c r="B17" s="13" t="s">
        <v>29</v>
      </c>
      <c r="C17" s="14" t="s">
        <v>30</v>
      </c>
      <c r="D17" s="15">
        <v>1</v>
      </c>
      <c r="E17" s="1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.25">
      <c r="A18" s="12">
        <v>3.2</v>
      </c>
      <c r="B18" s="13"/>
      <c r="C18" s="14" t="s">
        <v>31</v>
      </c>
      <c r="D18" s="15">
        <v>1</v>
      </c>
      <c r="E18" s="1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0.5">
      <c r="A19" s="12">
        <v>3.3</v>
      </c>
      <c r="B19" s="13"/>
      <c r="C19" s="14" t="s">
        <v>32</v>
      </c>
      <c r="D19" s="15">
        <v>1</v>
      </c>
      <c r="E19" s="1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60.75">
      <c r="A20" s="12">
        <v>3.4</v>
      </c>
      <c r="B20" s="13"/>
      <c r="C20" s="14" t="s">
        <v>33</v>
      </c>
      <c r="D20" s="15">
        <v>1</v>
      </c>
      <c r="E20" s="1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40.5">
      <c r="A21" s="12">
        <v>4.0999999999999996</v>
      </c>
      <c r="B21" s="13" t="s">
        <v>34</v>
      </c>
      <c r="C21" s="14" t="s">
        <v>109</v>
      </c>
      <c r="D21" s="15">
        <v>1</v>
      </c>
      <c r="E21" s="1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40.5">
      <c r="A22" s="12">
        <v>4.2</v>
      </c>
      <c r="B22" s="13"/>
      <c r="C22" s="14" t="s">
        <v>36</v>
      </c>
      <c r="D22" s="15">
        <v>1</v>
      </c>
      <c r="E22" s="1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40.5">
      <c r="A23" s="12">
        <v>4.3</v>
      </c>
      <c r="B23" s="13"/>
      <c r="C23" s="14" t="s">
        <v>37</v>
      </c>
      <c r="D23" s="15">
        <v>1</v>
      </c>
      <c r="E23" s="1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40.5">
      <c r="A24" s="12">
        <v>5.0999999999999996</v>
      </c>
      <c r="B24" s="13" t="s">
        <v>38</v>
      </c>
      <c r="C24" s="14" t="s">
        <v>39</v>
      </c>
      <c r="D24" s="15">
        <v>1</v>
      </c>
      <c r="E24" s="1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40.5">
      <c r="A25" s="12">
        <v>5.2</v>
      </c>
      <c r="B25" s="13"/>
      <c r="C25" s="14" t="s">
        <v>40</v>
      </c>
      <c r="D25" s="15">
        <v>1</v>
      </c>
      <c r="E25" s="1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.25">
      <c r="A26" s="12">
        <v>5.3</v>
      </c>
      <c r="B26" s="13"/>
      <c r="C26" s="14" t="s">
        <v>41</v>
      </c>
      <c r="D26" s="15">
        <v>1</v>
      </c>
      <c r="E26" s="1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40.5">
      <c r="A27" s="12">
        <v>5.4</v>
      </c>
      <c r="B27" s="13"/>
      <c r="C27" s="14" t="s">
        <v>42</v>
      </c>
      <c r="D27" s="15">
        <v>1</v>
      </c>
      <c r="E27" s="1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.75" customHeight="1">
      <c r="A28" s="39" t="s">
        <v>43</v>
      </c>
      <c r="B28" s="40"/>
      <c r="C28" s="18" t="s">
        <v>44</v>
      </c>
      <c r="D28" s="19">
        <f>SUM(D10:D27)</f>
        <v>16</v>
      </c>
      <c r="E28" s="1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>
      <c r="A29" s="41"/>
      <c r="B29" s="42"/>
      <c r="C29" s="20" t="s">
        <v>45</v>
      </c>
      <c r="D29" s="21">
        <f>D28/18</f>
        <v>0.88888888888888884</v>
      </c>
      <c r="E29" s="2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3" t="s">
        <v>46</v>
      </c>
      <c r="B30" s="24" t="s">
        <v>47</v>
      </c>
      <c r="C30" s="20"/>
      <c r="D30" s="21"/>
      <c r="E30" s="2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3" t="s">
        <v>48</v>
      </c>
      <c r="B31" s="24" t="s">
        <v>49</v>
      </c>
      <c r="C31" s="25"/>
      <c r="D31" s="25"/>
      <c r="E31" s="1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3" t="s">
        <v>50</v>
      </c>
      <c r="B32" s="24" t="s">
        <v>51</v>
      </c>
      <c r="C32" s="26"/>
      <c r="D32" s="26"/>
      <c r="E32" s="2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>
      <c r="A33" s="37" t="s">
        <v>103</v>
      </c>
      <c r="B33" s="38"/>
      <c r="C33" s="27"/>
      <c r="D33" s="27" t="s">
        <v>53</v>
      </c>
      <c r="E33" s="28" t="s">
        <v>110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9"/>
      <c r="C34" s="29"/>
      <c r="D34" s="29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9"/>
      <c r="C35" s="29"/>
      <c r="D35" s="29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43" t="s">
        <v>0</v>
      </c>
      <c r="B36" s="44"/>
      <c r="C36" s="44"/>
      <c r="D36" s="45"/>
      <c r="E36" s="1" t="s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41"/>
      <c r="B37" s="46"/>
      <c r="C37" s="46"/>
      <c r="D37" s="42"/>
      <c r="E37" s="3" t="s">
        <v>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41"/>
      <c r="B38" s="46"/>
      <c r="C38" s="46"/>
      <c r="D38" s="42"/>
      <c r="E38" s="3" t="s">
        <v>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47"/>
      <c r="B39" s="48"/>
      <c r="C39" s="48"/>
      <c r="D39" s="49"/>
      <c r="E39" s="3" t="s">
        <v>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50" t="s">
        <v>5</v>
      </c>
      <c r="B40" s="40"/>
      <c r="C40" s="51" t="s">
        <v>6</v>
      </c>
      <c r="D40" s="51" t="s">
        <v>7</v>
      </c>
      <c r="E40" s="33">
        <f>COUNTIF(D45:D62,1)</f>
        <v>16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47"/>
      <c r="B41" s="49"/>
      <c r="C41" s="52"/>
      <c r="D41" s="52"/>
      <c r="E41" s="3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5" customHeight="1">
      <c r="A42" s="35" t="s">
        <v>8</v>
      </c>
      <c r="B42" s="36"/>
      <c r="C42" s="4" t="s">
        <v>9</v>
      </c>
      <c r="D42" s="4" t="s">
        <v>10</v>
      </c>
      <c r="E42" s="5">
        <f>COUNTIF(D45:D62,0)</f>
        <v>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8.5" customHeight="1">
      <c r="A43" s="37" t="s">
        <v>11</v>
      </c>
      <c r="B43" s="38"/>
      <c r="C43" s="6" t="s">
        <v>111</v>
      </c>
      <c r="D43" s="4" t="s">
        <v>13</v>
      </c>
      <c r="E43" s="7" t="s">
        <v>14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>
      <c r="A44" s="8" t="s">
        <v>15</v>
      </c>
      <c r="B44" s="9" t="s">
        <v>16</v>
      </c>
      <c r="C44" s="10" t="s">
        <v>17</v>
      </c>
      <c r="D44" s="10" t="s">
        <v>18</v>
      </c>
      <c r="E44" s="11" t="s">
        <v>19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0.25" customHeight="1">
      <c r="A45" s="12">
        <v>1.1000000000000001</v>
      </c>
      <c r="B45" s="13" t="s">
        <v>20</v>
      </c>
      <c r="C45" s="14" t="s">
        <v>21</v>
      </c>
      <c r="D45" s="15">
        <v>0</v>
      </c>
      <c r="E45" s="1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0.25" customHeight="1">
      <c r="A46" s="12">
        <v>1.2</v>
      </c>
      <c r="B46" s="13"/>
      <c r="C46" s="14" t="s">
        <v>22</v>
      </c>
      <c r="D46" s="15">
        <v>1</v>
      </c>
      <c r="E46" s="1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0.25" customHeight="1">
      <c r="A47" s="12">
        <v>1.3</v>
      </c>
      <c r="B47" s="13"/>
      <c r="C47" s="14" t="s">
        <v>23</v>
      </c>
      <c r="D47" s="17">
        <v>1</v>
      </c>
      <c r="E47" s="1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0.25" customHeight="1">
      <c r="A48" s="12">
        <v>2.1</v>
      </c>
      <c r="B48" s="13" t="s">
        <v>24</v>
      </c>
      <c r="C48" s="14" t="s">
        <v>25</v>
      </c>
      <c r="D48" s="15">
        <v>0</v>
      </c>
      <c r="E48" s="1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0.25" customHeight="1">
      <c r="A49" s="12">
        <v>2.2000000000000002</v>
      </c>
      <c r="B49" s="13"/>
      <c r="C49" s="14" t="s">
        <v>26</v>
      </c>
      <c r="D49" s="15">
        <v>1</v>
      </c>
      <c r="E49" s="1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0.25" customHeight="1">
      <c r="A50" s="12">
        <v>2.2999999999999998</v>
      </c>
      <c r="B50" s="13"/>
      <c r="C50" s="14" t="s">
        <v>27</v>
      </c>
      <c r="D50" s="17">
        <v>1</v>
      </c>
      <c r="E50" s="1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0.25" customHeight="1">
      <c r="A51" s="12">
        <v>2.4</v>
      </c>
      <c r="B51" s="13"/>
      <c r="C51" s="14" t="s">
        <v>28</v>
      </c>
      <c r="D51" s="15">
        <v>1</v>
      </c>
      <c r="E51" s="1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0.25" customHeight="1">
      <c r="A52" s="12">
        <v>3.1</v>
      </c>
      <c r="B52" s="13" t="s">
        <v>29</v>
      </c>
      <c r="C52" s="14" t="s">
        <v>30</v>
      </c>
      <c r="D52" s="17">
        <v>1</v>
      </c>
      <c r="E52" s="1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0.25" customHeight="1">
      <c r="A53" s="12">
        <v>3.2</v>
      </c>
      <c r="B53" s="13"/>
      <c r="C53" s="14" t="s">
        <v>31</v>
      </c>
      <c r="D53" s="15">
        <v>1</v>
      </c>
      <c r="E53" s="1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0.25" customHeight="1">
      <c r="A54" s="12">
        <v>3.3</v>
      </c>
      <c r="B54" s="13"/>
      <c r="C54" s="14" t="s">
        <v>32</v>
      </c>
      <c r="D54" s="15">
        <v>1</v>
      </c>
      <c r="E54" s="1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0.25" customHeight="1">
      <c r="A55" s="12">
        <v>3.4</v>
      </c>
      <c r="B55" s="13"/>
      <c r="C55" s="14" t="s">
        <v>33</v>
      </c>
      <c r="D55" s="15">
        <v>1</v>
      </c>
      <c r="E55" s="1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0.25" customHeight="1">
      <c r="A56" s="12">
        <v>4.0999999999999996</v>
      </c>
      <c r="B56" s="13" t="s">
        <v>34</v>
      </c>
      <c r="C56" s="14" t="s">
        <v>112</v>
      </c>
      <c r="D56" s="15">
        <v>1</v>
      </c>
      <c r="E56" s="1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0.25" customHeight="1">
      <c r="A57" s="12">
        <v>4.2</v>
      </c>
      <c r="B57" s="13"/>
      <c r="C57" s="14" t="s">
        <v>36</v>
      </c>
      <c r="D57" s="15">
        <v>1</v>
      </c>
      <c r="E57" s="1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0.25" customHeight="1">
      <c r="A58" s="12">
        <v>4.3</v>
      </c>
      <c r="B58" s="13"/>
      <c r="C58" s="14" t="s">
        <v>37</v>
      </c>
      <c r="D58" s="15">
        <v>1</v>
      </c>
      <c r="E58" s="1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0.25" customHeight="1">
      <c r="A59" s="12">
        <v>5.0999999999999996</v>
      </c>
      <c r="B59" s="13" t="s">
        <v>38</v>
      </c>
      <c r="C59" s="14" t="s">
        <v>39</v>
      </c>
      <c r="D59" s="15">
        <v>1</v>
      </c>
      <c r="E59" s="1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0.25" customHeight="1">
      <c r="A60" s="12">
        <v>5.2</v>
      </c>
      <c r="B60" s="13"/>
      <c r="C60" s="14" t="s">
        <v>40</v>
      </c>
      <c r="D60" s="15">
        <v>1</v>
      </c>
      <c r="E60" s="1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0.25" customHeight="1">
      <c r="A61" s="12">
        <v>5.3</v>
      </c>
      <c r="B61" s="13"/>
      <c r="C61" s="14" t="s">
        <v>41</v>
      </c>
      <c r="D61" s="15">
        <v>1</v>
      </c>
      <c r="E61" s="1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0.25" customHeight="1">
      <c r="A62" s="12">
        <v>5.4</v>
      </c>
      <c r="B62" s="13"/>
      <c r="C62" s="14" t="s">
        <v>42</v>
      </c>
      <c r="D62" s="15">
        <v>1</v>
      </c>
      <c r="E62" s="1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>
      <c r="A63" s="39" t="s">
        <v>43</v>
      </c>
      <c r="B63" s="40"/>
      <c r="C63" s="18" t="s">
        <v>44</v>
      </c>
      <c r="D63" s="19">
        <f>SUM(D45:D62)</f>
        <v>16</v>
      </c>
      <c r="E63" s="1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1" customHeight="1">
      <c r="A64" s="41"/>
      <c r="B64" s="42"/>
      <c r="C64" s="20" t="s">
        <v>45</v>
      </c>
      <c r="D64" s="21">
        <f>D63/18</f>
        <v>0.88888888888888884</v>
      </c>
      <c r="E64" s="2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1" customHeight="1">
      <c r="A65" s="23" t="s">
        <v>46</v>
      </c>
      <c r="B65" s="24" t="s">
        <v>47</v>
      </c>
      <c r="C65" s="20"/>
      <c r="D65" s="21"/>
      <c r="E65" s="2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3.25" customHeight="1">
      <c r="A66" s="23" t="s">
        <v>48</v>
      </c>
      <c r="B66" s="24" t="s">
        <v>49</v>
      </c>
      <c r="C66" s="25"/>
      <c r="D66" s="25"/>
      <c r="E66" s="1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1" customHeight="1">
      <c r="A67" s="23" t="s">
        <v>50</v>
      </c>
      <c r="B67" s="24" t="s">
        <v>51</v>
      </c>
      <c r="C67" s="26"/>
      <c r="D67" s="26"/>
      <c r="E67" s="2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3.25" customHeight="1">
      <c r="A68" s="37" t="s">
        <v>52</v>
      </c>
      <c r="B68" s="38"/>
      <c r="C68" s="27"/>
      <c r="D68" s="27" t="s">
        <v>53</v>
      </c>
      <c r="E68" s="28" t="s">
        <v>113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9"/>
      <c r="C69" s="29"/>
      <c r="D69" s="2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9"/>
      <c r="C70" s="29"/>
      <c r="D70" s="2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9"/>
      <c r="C71" s="29"/>
      <c r="D71" s="29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43" t="s">
        <v>0</v>
      </c>
      <c r="B72" s="44"/>
      <c r="C72" s="44"/>
      <c r="D72" s="45"/>
      <c r="E72" s="1" t="s">
        <v>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41"/>
      <c r="B73" s="46"/>
      <c r="C73" s="46"/>
      <c r="D73" s="42"/>
      <c r="E73" s="3" t="s">
        <v>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41"/>
      <c r="B74" s="46"/>
      <c r="C74" s="46"/>
      <c r="D74" s="42"/>
      <c r="E74" s="3" t="s">
        <v>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47"/>
      <c r="B75" s="48"/>
      <c r="C75" s="48"/>
      <c r="D75" s="49"/>
      <c r="E75" s="3" t="s">
        <v>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50" t="s">
        <v>5</v>
      </c>
      <c r="B76" s="40"/>
      <c r="C76" s="51" t="s">
        <v>6</v>
      </c>
      <c r="D76" s="51" t="s">
        <v>7</v>
      </c>
      <c r="E76" s="33">
        <f>COUNTIF(D81:D98,1)</f>
        <v>16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47"/>
      <c r="B77" s="49"/>
      <c r="C77" s="52"/>
      <c r="D77" s="52"/>
      <c r="E77" s="3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2.5" customHeight="1">
      <c r="A78" s="35" t="s">
        <v>8</v>
      </c>
      <c r="B78" s="36"/>
      <c r="C78" s="4" t="s">
        <v>9</v>
      </c>
      <c r="D78" s="4" t="s">
        <v>10</v>
      </c>
      <c r="E78" s="5">
        <f>COUNTIF(D81:D98,0)</f>
        <v>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.5" customHeight="1">
      <c r="A79" s="37" t="s">
        <v>11</v>
      </c>
      <c r="B79" s="38"/>
      <c r="C79" s="6" t="s">
        <v>114</v>
      </c>
      <c r="D79" s="4" t="s">
        <v>13</v>
      </c>
      <c r="E79" s="7" t="s">
        <v>14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7.75" customHeight="1">
      <c r="A80" s="8" t="s">
        <v>15</v>
      </c>
      <c r="B80" s="9" t="s">
        <v>16</v>
      </c>
      <c r="C80" s="10" t="s">
        <v>101</v>
      </c>
      <c r="D80" s="10" t="s">
        <v>18</v>
      </c>
      <c r="E80" s="11" t="s">
        <v>19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0.25" customHeight="1">
      <c r="A81" s="12">
        <v>1.1000000000000001</v>
      </c>
      <c r="B81" s="13" t="s">
        <v>20</v>
      </c>
      <c r="C81" s="14" t="s">
        <v>21</v>
      </c>
      <c r="D81" s="15">
        <v>0</v>
      </c>
      <c r="E81" s="1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0.25" customHeight="1">
      <c r="A82" s="12">
        <v>1.2</v>
      </c>
      <c r="B82" s="13"/>
      <c r="C82" s="14" t="s">
        <v>22</v>
      </c>
      <c r="D82" s="15">
        <v>1</v>
      </c>
      <c r="E82" s="1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0.25" customHeight="1">
      <c r="A83" s="12">
        <v>1.3</v>
      </c>
      <c r="B83" s="13"/>
      <c r="C83" s="14" t="s">
        <v>23</v>
      </c>
      <c r="D83" s="15">
        <v>0</v>
      </c>
      <c r="E83" s="1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0.25" customHeight="1">
      <c r="A84" s="12">
        <v>2.1</v>
      </c>
      <c r="B84" s="13" t="s">
        <v>24</v>
      </c>
      <c r="C84" s="14" t="s">
        <v>25</v>
      </c>
      <c r="D84" s="15">
        <v>1</v>
      </c>
      <c r="E84" s="1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0.25" customHeight="1">
      <c r="A85" s="12">
        <v>2.2000000000000002</v>
      </c>
      <c r="B85" s="13"/>
      <c r="C85" s="14" t="s">
        <v>26</v>
      </c>
      <c r="D85" s="17">
        <v>1</v>
      </c>
      <c r="E85" s="1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0.25" customHeight="1">
      <c r="A86" s="12">
        <v>2.2999999999999998</v>
      </c>
      <c r="B86" s="13"/>
      <c r="C86" s="14" t="s">
        <v>27</v>
      </c>
      <c r="D86" s="15">
        <v>1</v>
      </c>
      <c r="E86" s="1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0.25" customHeight="1">
      <c r="A87" s="12">
        <v>2.4</v>
      </c>
      <c r="B87" s="13"/>
      <c r="C87" s="14" t="s">
        <v>28</v>
      </c>
      <c r="D87" s="15">
        <v>1</v>
      </c>
      <c r="E87" s="1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0.25" customHeight="1">
      <c r="A88" s="12">
        <v>3.1</v>
      </c>
      <c r="B88" s="13" t="s">
        <v>29</v>
      </c>
      <c r="C88" s="14" t="s">
        <v>30</v>
      </c>
      <c r="D88" s="17">
        <v>1</v>
      </c>
      <c r="E88" s="1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0.25" customHeight="1">
      <c r="A89" s="12">
        <v>3.2</v>
      </c>
      <c r="B89" s="13"/>
      <c r="C89" s="14" t="s">
        <v>31</v>
      </c>
      <c r="D89" s="15">
        <v>1</v>
      </c>
      <c r="E89" s="1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0.25" customHeight="1">
      <c r="A90" s="12">
        <v>3.3</v>
      </c>
      <c r="B90" s="13"/>
      <c r="C90" s="14" t="s">
        <v>32</v>
      </c>
      <c r="D90" s="15">
        <v>1</v>
      </c>
      <c r="E90" s="1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0.25" customHeight="1">
      <c r="A91" s="12">
        <v>3.4</v>
      </c>
      <c r="B91" s="13"/>
      <c r="C91" s="14" t="s">
        <v>33</v>
      </c>
      <c r="D91" s="15">
        <v>1</v>
      </c>
      <c r="E91" s="1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0.25" customHeight="1">
      <c r="A92" s="12">
        <v>4.0999999999999996</v>
      </c>
      <c r="B92" s="13" t="s">
        <v>34</v>
      </c>
      <c r="C92" s="14" t="s">
        <v>115</v>
      </c>
      <c r="D92" s="17">
        <v>1</v>
      </c>
      <c r="E92" s="1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0.25" customHeight="1">
      <c r="A93" s="12">
        <v>4.2</v>
      </c>
      <c r="B93" s="13"/>
      <c r="C93" s="14" t="s">
        <v>36</v>
      </c>
      <c r="D93" s="17">
        <v>1</v>
      </c>
      <c r="E93" s="1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0.25" customHeight="1">
      <c r="A94" s="12">
        <v>4.3</v>
      </c>
      <c r="B94" s="13"/>
      <c r="C94" s="14" t="s">
        <v>37</v>
      </c>
      <c r="D94" s="15">
        <v>1</v>
      </c>
      <c r="E94" s="1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0.25" customHeight="1">
      <c r="A95" s="12">
        <v>5.0999999999999996</v>
      </c>
      <c r="B95" s="13" t="s">
        <v>38</v>
      </c>
      <c r="C95" s="14" t="s">
        <v>39</v>
      </c>
      <c r="D95" s="15">
        <v>1</v>
      </c>
      <c r="E95" s="1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0.25" customHeight="1">
      <c r="A96" s="12">
        <v>5.2</v>
      </c>
      <c r="B96" s="13"/>
      <c r="C96" s="14" t="s">
        <v>40</v>
      </c>
      <c r="D96" s="15">
        <v>1</v>
      </c>
      <c r="E96" s="1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0.25" customHeight="1">
      <c r="A97" s="12">
        <v>5.3</v>
      </c>
      <c r="B97" s="13"/>
      <c r="C97" s="14" t="s">
        <v>41</v>
      </c>
      <c r="D97" s="15">
        <v>1</v>
      </c>
      <c r="E97" s="1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0.25" customHeight="1">
      <c r="A98" s="12">
        <v>5.4</v>
      </c>
      <c r="B98" s="13"/>
      <c r="C98" s="14" t="s">
        <v>42</v>
      </c>
      <c r="D98" s="15">
        <v>1</v>
      </c>
      <c r="E98" s="1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2.5" customHeight="1">
      <c r="A99" s="39" t="s">
        <v>43</v>
      </c>
      <c r="B99" s="40"/>
      <c r="C99" s="18" t="s">
        <v>44</v>
      </c>
      <c r="D99" s="19">
        <f>SUM(D81:D98)</f>
        <v>16</v>
      </c>
      <c r="E99" s="1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.75" customHeight="1">
      <c r="A100" s="41"/>
      <c r="B100" s="42"/>
      <c r="C100" s="20" t="s">
        <v>45</v>
      </c>
      <c r="D100" s="21">
        <f>D99/18</f>
        <v>0.88888888888888884</v>
      </c>
      <c r="E100" s="2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2.5" customHeight="1">
      <c r="A101" s="23" t="s">
        <v>46</v>
      </c>
      <c r="B101" s="24" t="s">
        <v>47</v>
      </c>
      <c r="C101" s="20"/>
      <c r="D101" s="21"/>
      <c r="E101" s="2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3" t="s">
        <v>48</v>
      </c>
      <c r="B102" s="24" t="s">
        <v>49</v>
      </c>
      <c r="C102" s="25"/>
      <c r="D102" s="25"/>
      <c r="E102" s="1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3" t="s">
        <v>50</v>
      </c>
      <c r="B103" s="24" t="s">
        <v>51</v>
      </c>
      <c r="C103" s="26"/>
      <c r="D103" s="26"/>
      <c r="E103" s="2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3.25" customHeight="1">
      <c r="A104" s="37" t="s">
        <v>52</v>
      </c>
      <c r="B104" s="38"/>
      <c r="C104" s="27"/>
      <c r="D104" s="27" t="s">
        <v>53</v>
      </c>
      <c r="E104" s="28" t="s">
        <v>116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9"/>
      <c r="C105" s="29"/>
      <c r="D105" s="2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9"/>
      <c r="C106" s="29"/>
      <c r="D106" s="2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9"/>
      <c r="C107" s="29"/>
      <c r="D107" s="2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43" t="s">
        <v>0</v>
      </c>
      <c r="B108" s="44"/>
      <c r="C108" s="44"/>
      <c r="D108" s="45"/>
      <c r="E108" s="1" t="s">
        <v>1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41"/>
      <c r="B109" s="46"/>
      <c r="C109" s="46"/>
      <c r="D109" s="42"/>
      <c r="E109" s="3" t="s">
        <v>2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41"/>
      <c r="B110" s="46"/>
      <c r="C110" s="46"/>
      <c r="D110" s="42"/>
      <c r="E110" s="3" t="s">
        <v>3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47"/>
      <c r="B111" s="48"/>
      <c r="C111" s="48"/>
      <c r="D111" s="49"/>
      <c r="E111" s="3" t="s">
        <v>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50" t="s">
        <v>5</v>
      </c>
      <c r="B112" s="40"/>
      <c r="C112" s="51" t="s">
        <v>6</v>
      </c>
      <c r="D112" s="51" t="s">
        <v>7</v>
      </c>
      <c r="E112" s="33">
        <f>COUNTIF(D117:D134,1)</f>
        <v>15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47"/>
      <c r="B113" s="49"/>
      <c r="C113" s="52"/>
      <c r="D113" s="52"/>
      <c r="E113" s="3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6.25" customHeight="1">
      <c r="A114" s="35" t="s">
        <v>8</v>
      </c>
      <c r="B114" s="36"/>
      <c r="C114" s="4" t="s">
        <v>9</v>
      </c>
      <c r="D114" s="4" t="s">
        <v>10</v>
      </c>
      <c r="E114" s="5">
        <f>COUNTIF(D117:D134,0)</f>
        <v>3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1.75" customHeight="1">
      <c r="A115" s="37" t="s">
        <v>11</v>
      </c>
      <c r="B115" s="38"/>
      <c r="C115" s="6" t="s">
        <v>117</v>
      </c>
      <c r="D115" s="4" t="s">
        <v>13</v>
      </c>
      <c r="E115" s="7" t="s">
        <v>14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35.25" customHeight="1">
      <c r="A116" s="8" t="s">
        <v>15</v>
      </c>
      <c r="B116" s="9" t="s">
        <v>16</v>
      </c>
      <c r="C116" s="10" t="s">
        <v>17</v>
      </c>
      <c r="D116" s="10" t="s">
        <v>18</v>
      </c>
      <c r="E116" s="11" t="s">
        <v>19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" customHeight="1">
      <c r="A117" s="12">
        <v>1.1000000000000001</v>
      </c>
      <c r="B117" s="13" t="s">
        <v>20</v>
      </c>
      <c r="C117" s="14" t="s">
        <v>21</v>
      </c>
      <c r="D117" s="15">
        <v>0</v>
      </c>
      <c r="E117" s="1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" customHeight="1">
      <c r="A118" s="12">
        <v>1.2</v>
      </c>
      <c r="B118" s="13"/>
      <c r="C118" s="14" t="s">
        <v>22</v>
      </c>
      <c r="D118" s="15">
        <v>1</v>
      </c>
      <c r="E118" s="1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" customHeight="1">
      <c r="A119" s="12">
        <v>1.3</v>
      </c>
      <c r="B119" s="13"/>
      <c r="C119" s="14" t="s">
        <v>23</v>
      </c>
      <c r="D119" s="15">
        <v>1</v>
      </c>
      <c r="E119" s="1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" customHeight="1">
      <c r="A120" s="12">
        <v>2.1</v>
      </c>
      <c r="B120" s="13" t="s">
        <v>24</v>
      </c>
      <c r="C120" s="14" t="s">
        <v>25</v>
      </c>
      <c r="D120" s="15">
        <v>0</v>
      </c>
      <c r="E120" s="3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" customHeight="1">
      <c r="A121" s="12">
        <v>2.2000000000000002</v>
      </c>
      <c r="B121" s="13"/>
      <c r="C121" s="14" t="s">
        <v>26</v>
      </c>
      <c r="D121" s="15">
        <v>1</v>
      </c>
      <c r="E121" s="1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" customHeight="1">
      <c r="A122" s="12">
        <v>2.2999999999999998</v>
      </c>
      <c r="B122" s="13"/>
      <c r="C122" s="14" t="s">
        <v>27</v>
      </c>
      <c r="D122" s="15">
        <v>1</v>
      </c>
      <c r="E122" s="1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" customHeight="1">
      <c r="A123" s="12">
        <v>2.4</v>
      </c>
      <c r="B123" s="13"/>
      <c r="C123" s="14" t="s">
        <v>28</v>
      </c>
      <c r="D123" s="15">
        <v>1</v>
      </c>
      <c r="E123" s="1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" customHeight="1">
      <c r="A124" s="12">
        <v>3.1</v>
      </c>
      <c r="B124" s="13" t="s">
        <v>29</v>
      </c>
      <c r="C124" s="14" t="s">
        <v>30</v>
      </c>
      <c r="D124" s="15">
        <v>0</v>
      </c>
      <c r="E124" s="1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" customHeight="1">
      <c r="A125" s="12">
        <v>3.2</v>
      </c>
      <c r="B125" s="13"/>
      <c r="C125" s="14" t="s">
        <v>31</v>
      </c>
      <c r="D125" s="15">
        <v>1</v>
      </c>
      <c r="E125" s="1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" customHeight="1">
      <c r="A126" s="12">
        <v>3.3</v>
      </c>
      <c r="B126" s="13"/>
      <c r="C126" s="14" t="s">
        <v>32</v>
      </c>
      <c r="D126" s="15">
        <v>1</v>
      </c>
      <c r="E126" s="1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" customHeight="1">
      <c r="A127" s="12">
        <v>3.4</v>
      </c>
      <c r="B127" s="13"/>
      <c r="C127" s="14" t="s">
        <v>33</v>
      </c>
      <c r="D127" s="15">
        <v>1</v>
      </c>
      <c r="E127" s="1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" customHeight="1">
      <c r="A128" s="12">
        <v>4.0999999999999996</v>
      </c>
      <c r="B128" s="13" t="s">
        <v>34</v>
      </c>
      <c r="C128" s="14" t="s">
        <v>118</v>
      </c>
      <c r="D128" s="15">
        <v>1</v>
      </c>
      <c r="E128" s="1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" customHeight="1">
      <c r="A129" s="12">
        <v>4.2</v>
      </c>
      <c r="B129" s="13"/>
      <c r="C129" s="14" t="s">
        <v>36</v>
      </c>
      <c r="D129" s="15">
        <v>1</v>
      </c>
      <c r="E129" s="1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" customHeight="1">
      <c r="A130" s="12">
        <v>4.3</v>
      </c>
      <c r="B130" s="13"/>
      <c r="C130" s="14" t="s">
        <v>37</v>
      </c>
      <c r="D130" s="15">
        <v>1</v>
      </c>
      <c r="E130" s="1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" customHeight="1">
      <c r="A131" s="12">
        <v>5.0999999999999996</v>
      </c>
      <c r="B131" s="13" t="s">
        <v>38</v>
      </c>
      <c r="C131" s="14" t="s">
        <v>39</v>
      </c>
      <c r="D131" s="15">
        <v>1</v>
      </c>
      <c r="E131" s="1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" customHeight="1">
      <c r="A132" s="12">
        <v>5.2</v>
      </c>
      <c r="B132" s="13"/>
      <c r="C132" s="14" t="s">
        <v>40</v>
      </c>
      <c r="D132" s="15">
        <v>1</v>
      </c>
      <c r="E132" s="1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" customHeight="1">
      <c r="A133" s="12">
        <v>5.3</v>
      </c>
      <c r="B133" s="13"/>
      <c r="C133" s="14" t="s">
        <v>41</v>
      </c>
      <c r="D133" s="15">
        <v>1</v>
      </c>
      <c r="E133" s="1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" customHeight="1">
      <c r="A134" s="12">
        <v>5.4</v>
      </c>
      <c r="B134" s="13"/>
      <c r="C134" s="14" t="s">
        <v>42</v>
      </c>
      <c r="D134" s="15">
        <v>1</v>
      </c>
      <c r="E134" s="1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1" customHeight="1">
      <c r="A135" s="39" t="s">
        <v>43</v>
      </c>
      <c r="B135" s="40"/>
      <c r="C135" s="18" t="s">
        <v>44</v>
      </c>
      <c r="D135" s="19">
        <f>SUM(D117:D134)</f>
        <v>15</v>
      </c>
      <c r="E135" s="1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1.75" customHeight="1">
      <c r="A136" s="41"/>
      <c r="B136" s="42"/>
      <c r="C136" s="20" t="s">
        <v>45</v>
      </c>
      <c r="D136" s="21">
        <f>D135/18</f>
        <v>0.83333333333333337</v>
      </c>
      <c r="E136" s="2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0.25" customHeight="1">
      <c r="A137" s="23" t="s">
        <v>46</v>
      </c>
      <c r="B137" s="24" t="s">
        <v>47</v>
      </c>
      <c r="C137" s="20"/>
      <c r="D137" s="21"/>
      <c r="E137" s="2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.75" customHeight="1">
      <c r="A138" s="23" t="s">
        <v>48</v>
      </c>
      <c r="B138" s="24" t="s">
        <v>49</v>
      </c>
      <c r="C138" s="25"/>
      <c r="D138" s="25"/>
      <c r="E138" s="1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6.25" customHeight="1">
      <c r="A139" s="23" t="s">
        <v>50</v>
      </c>
      <c r="B139" s="24" t="s">
        <v>51</v>
      </c>
      <c r="C139" s="26"/>
      <c r="D139" s="26"/>
      <c r="E139" s="2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.75" customHeight="1">
      <c r="A140" s="37" t="s">
        <v>103</v>
      </c>
      <c r="B140" s="38"/>
      <c r="C140" s="27"/>
      <c r="D140" s="27" t="s">
        <v>53</v>
      </c>
      <c r="E140" s="28" t="s">
        <v>119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9"/>
      <c r="C141" s="29"/>
      <c r="D141" s="2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9"/>
      <c r="C142" s="29"/>
      <c r="D142" s="2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9"/>
      <c r="C143" s="29"/>
      <c r="D143" s="2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9"/>
      <c r="C144" s="29"/>
      <c r="D144" s="29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43" t="s">
        <v>0</v>
      </c>
      <c r="B145" s="44"/>
      <c r="C145" s="44"/>
      <c r="D145" s="45"/>
      <c r="E145" s="1" t="s">
        <v>1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41"/>
      <c r="B146" s="46"/>
      <c r="C146" s="46"/>
      <c r="D146" s="42"/>
      <c r="E146" s="3" t="s">
        <v>2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41"/>
      <c r="B147" s="46"/>
      <c r="C147" s="46"/>
      <c r="D147" s="42"/>
      <c r="E147" s="3" t="s">
        <v>3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47"/>
      <c r="B148" s="48"/>
      <c r="C148" s="48"/>
      <c r="D148" s="49"/>
      <c r="E148" s="3" t="s">
        <v>4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50" t="s">
        <v>5</v>
      </c>
      <c r="B149" s="40"/>
      <c r="C149" s="51" t="s">
        <v>6</v>
      </c>
      <c r="D149" s="51" t="s">
        <v>7</v>
      </c>
      <c r="E149" s="33">
        <f>COUNTIF(D154:D171,1)</f>
        <v>15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47"/>
      <c r="B150" s="49"/>
      <c r="C150" s="52"/>
      <c r="D150" s="52"/>
      <c r="E150" s="3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35" t="s">
        <v>8</v>
      </c>
      <c r="B151" s="36"/>
      <c r="C151" s="4" t="s">
        <v>9</v>
      </c>
      <c r="D151" s="4" t="s">
        <v>10</v>
      </c>
      <c r="E151" s="5">
        <f>COUNTIF(D154:D171,0)</f>
        <v>3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5.5" customHeight="1">
      <c r="A152" s="37" t="s">
        <v>11</v>
      </c>
      <c r="B152" s="38"/>
      <c r="C152" s="6" t="s">
        <v>120</v>
      </c>
      <c r="D152" s="4" t="s">
        <v>13</v>
      </c>
      <c r="E152" s="7" t="s">
        <v>14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0.25" customHeight="1">
      <c r="A153" s="8" t="s">
        <v>15</v>
      </c>
      <c r="B153" s="9" t="s">
        <v>16</v>
      </c>
      <c r="C153" s="10" t="s">
        <v>17</v>
      </c>
      <c r="D153" s="10" t="s">
        <v>18</v>
      </c>
      <c r="E153" s="11" t="s">
        <v>19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48.75" customHeight="1">
      <c r="A154" s="12">
        <v>1.1000000000000001</v>
      </c>
      <c r="B154" s="13" t="s">
        <v>20</v>
      </c>
      <c r="C154" s="14" t="s">
        <v>21</v>
      </c>
      <c r="D154" s="15">
        <v>0</v>
      </c>
      <c r="E154" s="1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37.5" customHeight="1">
      <c r="A155" s="12">
        <v>1.2</v>
      </c>
      <c r="B155" s="13"/>
      <c r="C155" s="14" t="s">
        <v>22</v>
      </c>
      <c r="D155" s="15">
        <v>1</v>
      </c>
      <c r="E155" s="1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37.5" customHeight="1">
      <c r="A156" s="12">
        <v>1.3</v>
      </c>
      <c r="B156" s="13"/>
      <c r="C156" s="14" t="s">
        <v>23</v>
      </c>
      <c r="D156" s="15">
        <v>0</v>
      </c>
      <c r="E156" s="1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37.5" customHeight="1">
      <c r="A157" s="12">
        <v>2.1</v>
      </c>
      <c r="B157" s="13" t="s">
        <v>24</v>
      </c>
      <c r="C157" s="14" t="s">
        <v>25</v>
      </c>
      <c r="D157" s="15">
        <v>1</v>
      </c>
      <c r="E157" s="1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37.5" customHeight="1">
      <c r="A158" s="12">
        <v>2.2000000000000002</v>
      </c>
      <c r="B158" s="13"/>
      <c r="C158" s="14" t="s">
        <v>26</v>
      </c>
      <c r="D158" s="15">
        <v>1</v>
      </c>
      <c r="E158" s="1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37.5" customHeight="1">
      <c r="A159" s="12">
        <v>2.2999999999999998</v>
      </c>
      <c r="B159" s="13"/>
      <c r="C159" s="14" t="s">
        <v>27</v>
      </c>
      <c r="D159" s="15">
        <v>1</v>
      </c>
      <c r="E159" s="3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37.5" customHeight="1">
      <c r="A160" s="12">
        <v>2.4</v>
      </c>
      <c r="B160" s="13"/>
      <c r="C160" s="14" t="s">
        <v>28</v>
      </c>
      <c r="D160" s="15">
        <v>1</v>
      </c>
      <c r="E160" s="1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37.5" customHeight="1">
      <c r="A161" s="12">
        <v>3.1</v>
      </c>
      <c r="B161" s="13" t="s">
        <v>29</v>
      </c>
      <c r="C161" s="14" t="s">
        <v>30</v>
      </c>
      <c r="D161" s="15">
        <v>1</v>
      </c>
      <c r="E161" s="1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37.5" customHeight="1">
      <c r="A162" s="12">
        <v>3.2</v>
      </c>
      <c r="B162" s="13"/>
      <c r="C162" s="14" t="s">
        <v>31</v>
      </c>
      <c r="D162" s="15">
        <v>1</v>
      </c>
      <c r="E162" s="1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37.5" customHeight="1">
      <c r="A163" s="12">
        <v>3.3</v>
      </c>
      <c r="B163" s="13"/>
      <c r="C163" s="14" t="s">
        <v>32</v>
      </c>
      <c r="D163" s="15">
        <v>1</v>
      </c>
      <c r="E163" s="1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37.5" customHeight="1">
      <c r="A164" s="12">
        <v>3.4</v>
      </c>
      <c r="B164" s="13"/>
      <c r="C164" s="14" t="s">
        <v>33</v>
      </c>
      <c r="D164" s="15">
        <v>1</v>
      </c>
      <c r="E164" s="1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37.5" customHeight="1">
      <c r="A165" s="12">
        <v>4.0999999999999996</v>
      </c>
      <c r="B165" s="13" t="s">
        <v>34</v>
      </c>
      <c r="C165" s="14" t="s">
        <v>121</v>
      </c>
      <c r="D165" s="15">
        <v>1</v>
      </c>
      <c r="E165" s="1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37.5" customHeight="1">
      <c r="A166" s="12">
        <v>4.2</v>
      </c>
      <c r="B166" s="13"/>
      <c r="C166" s="14" t="s">
        <v>36</v>
      </c>
      <c r="D166" s="15">
        <v>1</v>
      </c>
      <c r="E166" s="1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37.5" customHeight="1">
      <c r="A167" s="12">
        <v>4.3</v>
      </c>
      <c r="B167" s="13"/>
      <c r="C167" s="14" t="s">
        <v>37</v>
      </c>
      <c r="D167" s="15">
        <v>1</v>
      </c>
      <c r="E167" s="1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37.5" customHeight="1">
      <c r="A168" s="12">
        <v>5.0999999999999996</v>
      </c>
      <c r="B168" s="13" t="s">
        <v>38</v>
      </c>
      <c r="C168" s="14" t="s">
        <v>39</v>
      </c>
      <c r="D168" s="15">
        <v>1</v>
      </c>
      <c r="E168" s="1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37.5" customHeight="1">
      <c r="A169" s="12">
        <v>5.2</v>
      </c>
      <c r="B169" s="13"/>
      <c r="C169" s="14" t="s">
        <v>40</v>
      </c>
      <c r="D169" s="15">
        <v>1</v>
      </c>
      <c r="E169" s="1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37.5" customHeight="1">
      <c r="A170" s="12">
        <v>5.3</v>
      </c>
      <c r="B170" s="13"/>
      <c r="C170" s="14" t="s">
        <v>41</v>
      </c>
      <c r="D170" s="15">
        <v>1</v>
      </c>
      <c r="E170" s="1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37.5" customHeight="1">
      <c r="A171" s="12">
        <v>5.4</v>
      </c>
      <c r="B171" s="13"/>
      <c r="C171" s="14" t="s">
        <v>42</v>
      </c>
      <c r="D171" s="15">
        <v>0</v>
      </c>
      <c r="E171" s="1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37.5" customHeight="1">
      <c r="A172" s="39" t="s">
        <v>43</v>
      </c>
      <c r="B172" s="40"/>
      <c r="C172" s="18" t="s">
        <v>44</v>
      </c>
      <c r="D172" s="19">
        <f>SUM(D154:D171)</f>
        <v>15</v>
      </c>
      <c r="E172" s="1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37.5" customHeight="1">
      <c r="A173" s="41"/>
      <c r="B173" s="42"/>
      <c r="C173" s="20" t="s">
        <v>45</v>
      </c>
      <c r="D173" s="21">
        <f>D172/18</f>
        <v>0.83333333333333337</v>
      </c>
      <c r="E173" s="2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37.5" customHeight="1">
      <c r="A174" s="23" t="s">
        <v>46</v>
      </c>
      <c r="B174" s="24" t="s">
        <v>47</v>
      </c>
      <c r="C174" s="20"/>
      <c r="D174" s="21"/>
      <c r="E174" s="2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37.5" customHeight="1">
      <c r="A175" s="23" t="s">
        <v>48</v>
      </c>
      <c r="B175" s="24" t="s">
        <v>49</v>
      </c>
      <c r="C175" s="25"/>
      <c r="D175" s="25"/>
      <c r="E175" s="1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37.5" customHeight="1">
      <c r="A176" s="23" t="s">
        <v>50</v>
      </c>
      <c r="B176" s="24" t="s">
        <v>51</v>
      </c>
      <c r="C176" s="26"/>
      <c r="D176" s="26"/>
      <c r="E176" s="2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37.5" customHeight="1">
      <c r="A177" s="37" t="s">
        <v>122</v>
      </c>
      <c r="B177" s="38"/>
      <c r="C177" s="27"/>
      <c r="D177" s="27" t="s">
        <v>53</v>
      </c>
      <c r="E177" s="28" t="s">
        <v>123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9"/>
      <c r="C178" s="29"/>
      <c r="D178" s="2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9"/>
      <c r="C179" s="29"/>
      <c r="D179" s="2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9"/>
      <c r="C180" s="29"/>
      <c r="D180" s="2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43" t="s">
        <v>0</v>
      </c>
      <c r="B181" s="44"/>
      <c r="C181" s="44"/>
      <c r="D181" s="45"/>
      <c r="E181" s="1" t="s">
        <v>1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41"/>
      <c r="B182" s="46"/>
      <c r="C182" s="46"/>
      <c r="D182" s="42"/>
      <c r="E182" s="3" t="s">
        <v>2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41"/>
      <c r="B183" s="46"/>
      <c r="C183" s="46"/>
      <c r="D183" s="42"/>
      <c r="E183" s="3" t="s">
        <v>3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47"/>
      <c r="B184" s="48"/>
      <c r="C184" s="48"/>
      <c r="D184" s="49"/>
      <c r="E184" s="3" t="s">
        <v>4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50" t="s">
        <v>5</v>
      </c>
      <c r="B185" s="40"/>
      <c r="C185" s="51" t="s">
        <v>6</v>
      </c>
      <c r="D185" s="51" t="s">
        <v>7</v>
      </c>
      <c r="E185" s="33">
        <f>COUNTIF(D190:D207,1)</f>
        <v>16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47"/>
      <c r="B186" s="49"/>
      <c r="C186" s="52"/>
      <c r="D186" s="52"/>
      <c r="E186" s="3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3.25" customHeight="1">
      <c r="A187" s="35" t="s">
        <v>8</v>
      </c>
      <c r="B187" s="36"/>
      <c r="C187" s="4" t="s">
        <v>9</v>
      </c>
      <c r="D187" s="4" t="s">
        <v>10</v>
      </c>
      <c r="E187" s="5">
        <f>COUNTIF(D190:D207,0)</f>
        <v>2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9.25" customHeight="1">
      <c r="A188" s="37" t="s">
        <v>11</v>
      </c>
      <c r="B188" s="38"/>
      <c r="C188" s="6" t="s">
        <v>124</v>
      </c>
      <c r="D188" s="4" t="s">
        <v>13</v>
      </c>
      <c r="E188" s="7" t="s">
        <v>14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7.75" customHeight="1">
      <c r="A189" s="8" t="s">
        <v>15</v>
      </c>
      <c r="B189" s="9" t="s">
        <v>16</v>
      </c>
      <c r="C189" s="10" t="s">
        <v>17</v>
      </c>
      <c r="D189" s="10" t="s">
        <v>18</v>
      </c>
      <c r="E189" s="11" t="s">
        <v>19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32.25" customHeight="1">
      <c r="A190" s="12">
        <v>1.1000000000000001</v>
      </c>
      <c r="B190" s="13" t="s">
        <v>20</v>
      </c>
      <c r="C190" s="14" t="s">
        <v>21</v>
      </c>
      <c r="D190" s="15">
        <v>0</v>
      </c>
      <c r="E190" s="1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33" customHeight="1">
      <c r="A191" s="12">
        <v>1.2</v>
      </c>
      <c r="B191" s="13"/>
      <c r="C191" s="14" t="s">
        <v>22</v>
      </c>
      <c r="D191" s="15">
        <v>1</v>
      </c>
      <c r="E191" s="1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31.5" customHeight="1">
      <c r="A192" s="12">
        <v>1.3</v>
      </c>
      <c r="B192" s="13"/>
      <c r="C192" s="14" t="s">
        <v>23</v>
      </c>
      <c r="D192" s="17">
        <v>1</v>
      </c>
      <c r="E192" s="1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40.5" customHeight="1">
      <c r="A193" s="12">
        <v>2.1</v>
      </c>
      <c r="B193" s="13" t="s">
        <v>24</v>
      </c>
      <c r="C193" s="14" t="s">
        <v>25</v>
      </c>
      <c r="D193" s="15">
        <v>1</v>
      </c>
      <c r="E193" s="1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8.5" customHeight="1">
      <c r="A194" s="12">
        <v>2.2000000000000002</v>
      </c>
      <c r="B194" s="13"/>
      <c r="C194" s="14" t="s">
        <v>26</v>
      </c>
      <c r="D194" s="15">
        <v>1</v>
      </c>
      <c r="E194" s="1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4.75" customHeight="1">
      <c r="A195" s="12">
        <v>2.2999999999999998</v>
      </c>
      <c r="B195" s="13"/>
      <c r="C195" s="14" t="s">
        <v>27</v>
      </c>
      <c r="D195" s="15">
        <v>1</v>
      </c>
      <c r="E195" s="3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45" customHeight="1">
      <c r="A196" s="12">
        <v>2.4</v>
      </c>
      <c r="B196" s="13"/>
      <c r="C196" s="14" t="s">
        <v>28</v>
      </c>
      <c r="D196" s="15">
        <v>1</v>
      </c>
      <c r="E196" s="1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41.25" customHeight="1">
      <c r="A197" s="12">
        <v>3.1</v>
      </c>
      <c r="B197" s="13" t="s">
        <v>29</v>
      </c>
      <c r="C197" s="14" t="s">
        <v>30</v>
      </c>
      <c r="D197" s="17">
        <v>1</v>
      </c>
      <c r="E197" s="1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7" customHeight="1">
      <c r="A198" s="12">
        <v>3.2</v>
      </c>
      <c r="B198" s="13"/>
      <c r="C198" s="14" t="s">
        <v>31</v>
      </c>
      <c r="D198" s="15">
        <v>1</v>
      </c>
      <c r="E198" s="1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7.75" customHeight="1">
      <c r="A199" s="12">
        <v>3.3</v>
      </c>
      <c r="B199" s="13"/>
      <c r="C199" s="14" t="s">
        <v>32</v>
      </c>
      <c r="D199" s="15">
        <v>1</v>
      </c>
      <c r="E199" s="1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42.75" customHeight="1">
      <c r="A200" s="12">
        <v>3.4</v>
      </c>
      <c r="B200" s="13"/>
      <c r="C200" s="14" t="s">
        <v>33</v>
      </c>
      <c r="D200" s="15">
        <v>1</v>
      </c>
      <c r="E200" s="1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36.75" customHeight="1">
      <c r="A201" s="12">
        <v>4.0999999999999996</v>
      </c>
      <c r="B201" s="13" t="s">
        <v>34</v>
      </c>
      <c r="C201" s="14" t="s">
        <v>125</v>
      </c>
      <c r="D201" s="15">
        <v>1</v>
      </c>
      <c r="E201" s="1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39" customHeight="1">
      <c r="A202" s="12">
        <v>4.2</v>
      </c>
      <c r="B202" s="13"/>
      <c r="C202" s="14" t="s">
        <v>36</v>
      </c>
      <c r="D202" s="15">
        <v>1</v>
      </c>
      <c r="E202" s="1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4" customHeight="1">
      <c r="A203" s="12">
        <v>4.3</v>
      </c>
      <c r="B203" s="13"/>
      <c r="C203" s="14" t="s">
        <v>37</v>
      </c>
      <c r="D203" s="15">
        <v>1</v>
      </c>
      <c r="E203" s="1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43.5" customHeight="1">
      <c r="A204" s="12">
        <v>5.0999999999999996</v>
      </c>
      <c r="B204" s="13" t="s">
        <v>38</v>
      </c>
      <c r="C204" s="14" t="s">
        <v>39</v>
      </c>
      <c r="D204" s="15">
        <v>1</v>
      </c>
      <c r="E204" s="1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39.75" customHeight="1">
      <c r="A205" s="12">
        <v>5.2</v>
      </c>
      <c r="B205" s="13"/>
      <c r="C205" s="14" t="s">
        <v>40</v>
      </c>
      <c r="D205" s="15">
        <v>1</v>
      </c>
      <c r="E205" s="1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33.75" customHeight="1">
      <c r="A206" s="12">
        <v>5.3</v>
      </c>
      <c r="B206" s="13"/>
      <c r="C206" s="14" t="s">
        <v>41</v>
      </c>
      <c r="D206" s="15">
        <v>1</v>
      </c>
      <c r="E206" s="1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34.5" customHeight="1">
      <c r="A207" s="12">
        <v>5.4</v>
      </c>
      <c r="B207" s="13"/>
      <c r="C207" s="14" t="s">
        <v>42</v>
      </c>
      <c r="D207" s="15">
        <v>0</v>
      </c>
      <c r="E207" s="1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7.75" customHeight="1">
      <c r="A208" s="39" t="s">
        <v>43</v>
      </c>
      <c r="B208" s="40"/>
      <c r="C208" s="18" t="s">
        <v>44</v>
      </c>
      <c r="D208" s="19">
        <f>SUM(D190:D207)</f>
        <v>16</v>
      </c>
      <c r="E208" s="1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35.25" customHeight="1">
      <c r="A209" s="41"/>
      <c r="B209" s="42"/>
      <c r="C209" s="20" t="s">
        <v>45</v>
      </c>
      <c r="D209" s="21">
        <f>D208/18</f>
        <v>0.88888888888888884</v>
      </c>
      <c r="E209" s="2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9.25" customHeight="1">
      <c r="A210" s="23" t="s">
        <v>46</v>
      </c>
      <c r="B210" s="24" t="s">
        <v>47</v>
      </c>
      <c r="C210" s="20"/>
      <c r="D210" s="21"/>
      <c r="E210" s="2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4" customHeight="1">
      <c r="A211" s="23" t="s">
        <v>48</v>
      </c>
      <c r="B211" s="24" t="s">
        <v>49</v>
      </c>
      <c r="C211" s="25"/>
      <c r="D211" s="25"/>
      <c r="E211" s="1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6.25" customHeight="1">
      <c r="A212" s="23" t="s">
        <v>50</v>
      </c>
      <c r="B212" s="24" t="s">
        <v>51</v>
      </c>
      <c r="C212" s="26"/>
      <c r="D212" s="26"/>
      <c r="E212" s="2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30.75" customHeight="1">
      <c r="A213" s="37" t="s">
        <v>122</v>
      </c>
      <c r="B213" s="38"/>
      <c r="C213" s="27"/>
      <c r="D213" s="27" t="s">
        <v>53</v>
      </c>
      <c r="E213" s="28" t="s">
        <v>126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9"/>
      <c r="C214" s="29"/>
      <c r="D214" s="2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9"/>
      <c r="C215" s="29"/>
      <c r="D215" s="2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9"/>
      <c r="C216" s="29"/>
      <c r="D216" s="2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9"/>
      <c r="C217" s="29"/>
      <c r="D217" s="2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9"/>
      <c r="C218" s="29"/>
      <c r="D218" s="29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9"/>
      <c r="C219" s="29"/>
      <c r="D219" s="29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9"/>
      <c r="C220" s="29"/>
      <c r="D220" s="29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9"/>
      <c r="C221" s="29"/>
      <c r="D221" s="29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43" t="s">
        <v>0</v>
      </c>
      <c r="B222" s="44"/>
      <c r="C222" s="44"/>
      <c r="D222" s="45"/>
      <c r="E222" s="1" t="s">
        <v>1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41"/>
      <c r="B223" s="46"/>
      <c r="C223" s="46"/>
      <c r="D223" s="42"/>
      <c r="E223" s="3" t="s">
        <v>2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41"/>
      <c r="B224" s="46"/>
      <c r="C224" s="46"/>
      <c r="D224" s="42"/>
      <c r="E224" s="3" t="s">
        <v>3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47"/>
      <c r="B225" s="48"/>
      <c r="C225" s="48"/>
      <c r="D225" s="49"/>
      <c r="E225" s="3" t="s">
        <v>4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50" t="s">
        <v>5</v>
      </c>
      <c r="B226" s="40"/>
      <c r="C226" s="51" t="s">
        <v>6</v>
      </c>
      <c r="D226" s="51" t="s">
        <v>7</v>
      </c>
      <c r="E226" s="33">
        <f>COUNTIF(D231:D248,1)</f>
        <v>16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34.5" customHeight="1">
      <c r="A227" s="47"/>
      <c r="B227" s="49"/>
      <c r="C227" s="52"/>
      <c r="D227" s="52"/>
      <c r="E227" s="3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32.25" customHeight="1">
      <c r="A228" s="35" t="s">
        <v>8</v>
      </c>
      <c r="B228" s="36"/>
      <c r="C228" s="4" t="s">
        <v>9</v>
      </c>
      <c r="D228" s="4" t="s">
        <v>10</v>
      </c>
      <c r="E228" s="5">
        <f>COUNTIF(D231:D248,0)</f>
        <v>2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36" customHeight="1">
      <c r="A229" s="37" t="s">
        <v>11</v>
      </c>
      <c r="B229" s="38"/>
      <c r="C229" s="6" t="s">
        <v>127</v>
      </c>
      <c r="D229" s="4" t="s">
        <v>13</v>
      </c>
      <c r="E229" s="7" t="s">
        <v>14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30" customHeight="1">
      <c r="A230" s="8" t="s">
        <v>15</v>
      </c>
      <c r="B230" s="9" t="s">
        <v>16</v>
      </c>
      <c r="C230" s="10" t="s">
        <v>17</v>
      </c>
      <c r="D230" s="10" t="s">
        <v>18</v>
      </c>
      <c r="E230" s="11" t="s">
        <v>19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46.5" customHeight="1">
      <c r="A231" s="12">
        <v>1.1000000000000001</v>
      </c>
      <c r="B231" s="13" t="s">
        <v>20</v>
      </c>
      <c r="C231" s="14" t="s">
        <v>21</v>
      </c>
      <c r="D231" s="15">
        <v>0</v>
      </c>
      <c r="E231" s="1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46.5" customHeight="1">
      <c r="A232" s="12">
        <v>1.2</v>
      </c>
      <c r="B232" s="13"/>
      <c r="C232" s="14" t="s">
        <v>22</v>
      </c>
      <c r="D232" s="17">
        <v>1</v>
      </c>
      <c r="E232" s="1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46.5" customHeight="1">
      <c r="A233" s="12">
        <v>1.3</v>
      </c>
      <c r="B233" s="13"/>
      <c r="C233" s="14" t="s">
        <v>23</v>
      </c>
      <c r="D233" s="15">
        <v>1</v>
      </c>
      <c r="E233" s="1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46.5" customHeight="1">
      <c r="A234" s="12">
        <v>2.1</v>
      </c>
      <c r="B234" s="13" t="s">
        <v>24</v>
      </c>
      <c r="C234" s="14" t="s">
        <v>25</v>
      </c>
      <c r="D234" s="15">
        <v>1</v>
      </c>
      <c r="E234" s="1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46.5" customHeight="1">
      <c r="A235" s="12">
        <v>2.2000000000000002</v>
      </c>
      <c r="B235" s="13"/>
      <c r="C235" s="14" t="s">
        <v>26</v>
      </c>
      <c r="D235" s="15">
        <v>1</v>
      </c>
      <c r="E235" s="1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46.5" customHeight="1">
      <c r="A236" s="12">
        <v>2.2999999999999998</v>
      </c>
      <c r="B236" s="13"/>
      <c r="C236" s="14" t="s">
        <v>27</v>
      </c>
      <c r="D236" s="15">
        <v>1</v>
      </c>
      <c r="E236" s="3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46.5" customHeight="1">
      <c r="A237" s="12">
        <v>2.4</v>
      </c>
      <c r="B237" s="13"/>
      <c r="C237" s="14" t="s">
        <v>28</v>
      </c>
      <c r="D237" s="15">
        <v>1</v>
      </c>
      <c r="E237" s="1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46.5" customHeight="1">
      <c r="A238" s="12">
        <v>3.1</v>
      </c>
      <c r="B238" s="13" t="s">
        <v>29</v>
      </c>
      <c r="C238" s="14" t="s">
        <v>30</v>
      </c>
      <c r="D238" s="15">
        <v>0</v>
      </c>
      <c r="E238" s="1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46.5" customHeight="1">
      <c r="A239" s="12">
        <v>3.2</v>
      </c>
      <c r="B239" s="13"/>
      <c r="C239" s="14" t="s">
        <v>31</v>
      </c>
      <c r="D239" s="17">
        <v>1</v>
      </c>
      <c r="E239" s="1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46.5" customHeight="1">
      <c r="A240" s="12">
        <v>3.3</v>
      </c>
      <c r="B240" s="13"/>
      <c r="C240" s="14" t="s">
        <v>32</v>
      </c>
      <c r="D240" s="15">
        <v>1</v>
      </c>
      <c r="E240" s="1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46.5" customHeight="1">
      <c r="A241" s="12">
        <v>3.4</v>
      </c>
      <c r="B241" s="13"/>
      <c r="C241" s="14" t="s">
        <v>33</v>
      </c>
      <c r="D241" s="15">
        <v>1</v>
      </c>
      <c r="E241" s="1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46.5" customHeight="1">
      <c r="A242" s="12">
        <v>4.0999999999999996</v>
      </c>
      <c r="B242" s="13" t="s">
        <v>34</v>
      </c>
      <c r="C242" s="14" t="s">
        <v>128</v>
      </c>
      <c r="D242" s="15">
        <v>1</v>
      </c>
      <c r="E242" s="1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46.5" customHeight="1">
      <c r="A243" s="12">
        <v>4.2</v>
      </c>
      <c r="B243" s="13"/>
      <c r="C243" s="14" t="s">
        <v>36</v>
      </c>
      <c r="D243" s="15">
        <v>1</v>
      </c>
      <c r="E243" s="1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46.5" customHeight="1">
      <c r="A244" s="12">
        <v>4.3</v>
      </c>
      <c r="B244" s="13"/>
      <c r="C244" s="14" t="s">
        <v>37</v>
      </c>
      <c r="D244" s="15">
        <v>1</v>
      </c>
      <c r="E244" s="1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46.5" customHeight="1">
      <c r="A245" s="12">
        <v>5.0999999999999996</v>
      </c>
      <c r="B245" s="13" t="s">
        <v>38</v>
      </c>
      <c r="C245" s="14" t="s">
        <v>39</v>
      </c>
      <c r="D245" s="15">
        <v>1</v>
      </c>
      <c r="E245" s="1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46.5" customHeight="1">
      <c r="A246" s="12">
        <v>5.2</v>
      </c>
      <c r="B246" s="13"/>
      <c r="C246" s="14" t="s">
        <v>40</v>
      </c>
      <c r="D246" s="15">
        <v>1</v>
      </c>
      <c r="E246" s="1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46.5" customHeight="1">
      <c r="A247" s="12">
        <v>5.3</v>
      </c>
      <c r="B247" s="13"/>
      <c r="C247" s="14" t="s">
        <v>41</v>
      </c>
      <c r="D247" s="15">
        <v>1</v>
      </c>
      <c r="E247" s="1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46.5" customHeight="1">
      <c r="A248" s="12">
        <v>5.4</v>
      </c>
      <c r="B248" s="13"/>
      <c r="C248" s="14" t="s">
        <v>42</v>
      </c>
      <c r="D248" s="17">
        <v>1</v>
      </c>
      <c r="E248" s="1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46.5" customHeight="1">
      <c r="A249" s="39" t="s">
        <v>43</v>
      </c>
      <c r="B249" s="40"/>
      <c r="C249" s="18" t="s">
        <v>44</v>
      </c>
      <c r="D249" s="19">
        <f>SUM(D231:D248)</f>
        <v>16</v>
      </c>
      <c r="E249" s="1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7" customHeight="1">
      <c r="A250" s="41"/>
      <c r="B250" s="42"/>
      <c r="C250" s="20" t="s">
        <v>45</v>
      </c>
      <c r="D250" s="21">
        <f>D249/18</f>
        <v>0.88888888888888884</v>
      </c>
      <c r="E250" s="2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3.25" customHeight="1">
      <c r="A251" s="23" t="s">
        <v>46</v>
      </c>
      <c r="B251" s="24" t="s">
        <v>47</v>
      </c>
      <c r="C251" s="20"/>
      <c r="D251" s="21"/>
      <c r="E251" s="2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7" customHeight="1">
      <c r="A252" s="23" t="s">
        <v>48</v>
      </c>
      <c r="B252" s="24" t="s">
        <v>49</v>
      </c>
      <c r="C252" s="25"/>
      <c r="D252" s="25"/>
      <c r="E252" s="1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8.5" customHeight="1">
      <c r="A253" s="23" t="s">
        <v>50</v>
      </c>
      <c r="B253" s="24" t="s">
        <v>51</v>
      </c>
      <c r="C253" s="26"/>
      <c r="D253" s="26"/>
      <c r="E253" s="2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6.25" customHeight="1">
      <c r="A254" s="37" t="s">
        <v>122</v>
      </c>
      <c r="B254" s="38"/>
      <c r="C254" s="27"/>
      <c r="D254" s="27" t="s">
        <v>53</v>
      </c>
      <c r="E254" s="28" t="s">
        <v>129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9"/>
      <c r="C255" s="29"/>
      <c r="D255" s="29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9"/>
      <c r="C256" s="29"/>
      <c r="D256" s="29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9"/>
      <c r="C257" s="29"/>
      <c r="D257" s="29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9"/>
      <c r="C258" s="29"/>
      <c r="D258" s="2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9"/>
      <c r="C259" s="29"/>
      <c r="D259" s="29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9"/>
      <c r="C260" s="29"/>
      <c r="D260" s="2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43" t="s">
        <v>0</v>
      </c>
      <c r="B261" s="44"/>
      <c r="C261" s="44"/>
      <c r="D261" s="45"/>
      <c r="E261" s="1" t="s">
        <v>1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41"/>
      <c r="B262" s="46"/>
      <c r="C262" s="46"/>
      <c r="D262" s="42"/>
      <c r="E262" s="3" t="s">
        <v>2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41"/>
      <c r="B263" s="46"/>
      <c r="C263" s="46"/>
      <c r="D263" s="42"/>
      <c r="E263" s="3" t="s">
        <v>3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47"/>
      <c r="B264" s="48"/>
      <c r="C264" s="48"/>
      <c r="D264" s="49"/>
      <c r="E264" s="3" t="s">
        <v>4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50" t="s">
        <v>5</v>
      </c>
      <c r="B265" s="40"/>
      <c r="C265" s="51" t="s">
        <v>6</v>
      </c>
      <c r="D265" s="51" t="s">
        <v>7</v>
      </c>
      <c r="E265" s="33">
        <f>COUNTIF(D270:D287,1)</f>
        <v>16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47"/>
      <c r="B266" s="49"/>
      <c r="C266" s="52"/>
      <c r="D266" s="52"/>
      <c r="E266" s="3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7.75" customHeight="1">
      <c r="A267" s="35" t="s">
        <v>8</v>
      </c>
      <c r="B267" s="36"/>
      <c r="C267" s="4" t="s">
        <v>9</v>
      </c>
      <c r="D267" s="4" t="s">
        <v>10</v>
      </c>
      <c r="E267" s="5">
        <f>COUNTIF(D270:D287,0)</f>
        <v>2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32.25" customHeight="1">
      <c r="A268" s="37" t="s">
        <v>11</v>
      </c>
      <c r="B268" s="38"/>
      <c r="C268" s="6" t="s">
        <v>130</v>
      </c>
      <c r="D268" s="4" t="s">
        <v>13</v>
      </c>
      <c r="E268" s="7" t="s">
        <v>14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31.5" customHeight="1">
      <c r="A269" s="8" t="s">
        <v>15</v>
      </c>
      <c r="B269" s="9" t="s">
        <v>16</v>
      </c>
      <c r="C269" s="10" t="s">
        <v>17</v>
      </c>
      <c r="D269" s="10" t="s">
        <v>18</v>
      </c>
      <c r="E269" s="11" t="s">
        <v>19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43.5" customHeight="1">
      <c r="A270" s="12">
        <v>1.1000000000000001</v>
      </c>
      <c r="B270" s="13" t="s">
        <v>20</v>
      </c>
      <c r="C270" s="14" t="s">
        <v>21</v>
      </c>
      <c r="D270" s="15">
        <v>0</v>
      </c>
      <c r="E270" s="1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43.5" customHeight="1">
      <c r="A271" s="12">
        <v>1.2</v>
      </c>
      <c r="B271" s="13"/>
      <c r="C271" s="14" t="s">
        <v>22</v>
      </c>
      <c r="D271" s="15">
        <v>1</v>
      </c>
      <c r="E271" s="1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43.5" customHeight="1">
      <c r="A272" s="12">
        <v>1.3</v>
      </c>
      <c r="B272" s="13"/>
      <c r="C272" s="14" t="s">
        <v>23</v>
      </c>
      <c r="D272" s="15">
        <v>1</v>
      </c>
      <c r="E272" s="1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43.5" customHeight="1">
      <c r="A273" s="12">
        <v>2.1</v>
      </c>
      <c r="B273" s="13" t="s">
        <v>24</v>
      </c>
      <c r="C273" s="14" t="s">
        <v>25</v>
      </c>
      <c r="D273" s="15">
        <v>1</v>
      </c>
      <c r="E273" s="1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43.5" customHeight="1">
      <c r="A274" s="12">
        <v>2.2000000000000002</v>
      </c>
      <c r="B274" s="13"/>
      <c r="C274" s="14" t="s">
        <v>26</v>
      </c>
      <c r="D274" s="15">
        <v>1</v>
      </c>
      <c r="E274" s="1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43.5" customHeight="1">
      <c r="A275" s="12">
        <v>2.2999999999999998</v>
      </c>
      <c r="B275" s="13"/>
      <c r="C275" s="14" t="s">
        <v>27</v>
      </c>
      <c r="D275" s="15">
        <v>1</v>
      </c>
      <c r="E275" s="3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43.5" customHeight="1">
      <c r="A276" s="12">
        <v>2.4</v>
      </c>
      <c r="B276" s="13"/>
      <c r="C276" s="14" t="s">
        <v>28</v>
      </c>
      <c r="D276" s="15">
        <v>1</v>
      </c>
      <c r="E276" s="1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43.5" customHeight="1">
      <c r="A277" s="12">
        <v>3.1</v>
      </c>
      <c r="B277" s="13" t="s">
        <v>29</v>
      </c>
      <c r="C277" s="14" t="s">
        <v>30</v>
      </c>
      <c r="D277" s="15">
        <v>0</v>
      </c>
      <c r="E277" s="1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43.5" customHeight="1">
      <c r="A278" s="12">
        <v>3.2</v>
      </c>
      <c r="B278" s="13"/>
      <c r="C278" s="14" t="s">
        <v>31</v>
      </c>
      <c r="D278" s="15">
        <v>1</v>
      </c>
      <c r="E278" s="1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43.5" customHeight="1">
      <c r="A279" s="12">
        <v>3.3</v>
      </c>
      <c r="B279" s="13"/>
      <c r="C279" s="14" t="s">
        <v>32</v>
      </c>
      <c r="D279" s="15">
        <v>1</v>
      </c>
      <c r="E279" s="1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43.5" customHeight="1">
      <c r="A280" s="12">
        <v>3.4</v>
      </c>
      <c r="B280" s="13"/>
      <c r="C280" s="14" t="s">
        <v>33</v>
      </c>
      <c r="D280" s="15">
        <v>1</v>
      </c>
      <c r="E280" s="1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43.5" customHeight="1">
      <c r="A281" s="12">
        <v>4.0999999999999996</v>
      </c>
      <c r="B281" s="13" t="s">
        <v>34</v>
      </c>
      <c r="C281" s="14" t="s">
        <v>131</v>
      </c>
      <c r="D281" s="15">
        <v>1</v>
      </c>
      <c r="E281" s="1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43.5" customHeight="1">
      <c r="A282" s="12">
        <v>4.2</v>
      </c>
      <c r="B282" s="13"/>
      <c r="C282" s="14" t="s">
        <v>36</v>
      </c>
      <c r="D282" s="15">
        <v>1</v>
      </c>
      <c r="E282" s="1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43.5" customHeight="1">
      <c r="A283" s="12">
        <v>4.3</v>
      </c>
      <c r="B283" s="13"/>
      <c r="C283" s="14" t="s">
        <v>37</v>
      </c>
      <c r="D283" s="15">
        <v>1</v>
      </c>
      <c r="E283" s="1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43.5" customHeight="1">
      <c r="A284" s="12">
        <v>5.0999999999999996</v>
      </c>
      <c r="B284" s="13" t="s">
        <v>38</v>
      </c>
      <c r="C284" s="14" t="s">
        <v>39</v>
      </c>
      <c r="D284" s="15">
        <v>1</v>
      </c>
      <c r="E284" s="1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43.5" customHeight="1">
      <c r="A285" s="12">
        <v>5.2</v>
      </c>
      <c r="B285" s="13"/>
      <c r="C285" s="14" t="s">
        <v>40</v>
      </c>
      <c r="D285" s="15">
        <v>1</v>
      </c>
      <c r="E285" s="1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43.5" customHeight="1">
      <c r="A286" s="12">
        <v>5.3</v>
      </c>
      <c r="B286" s="13"/>
      <c r="C286" s="14" t="s">
        <v>41</v>
      </c>
      <c r="D286" s="15">
        <v>1</v>
      </c>
      <c r="E286" s="1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43.5" customHeight="1">
      <c r="A287" s="12">
        <v>5.4</v>
      </c>
      <c r="B287" s="13"/>
      <c r="C287" s="14" t="s">
        <v>42</v>
      </c>
      <c r="D287" s="17">
        <v>1</v>
      </c>
      <c r="E287" s="1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4.75" customHeight="1">
      <c r="A288" s="39" t="s">
        <v>43</v>
      </c>
      <c r="B288" s="40"/>
      <c r="C288" s="18" t="s">
        <v>44</v>
      </c>
      <c r="D288" s="19">
        <f>SUM(D270:D287)</f>
        <v>16</v>
      </c>
      <c r="E288" s="1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4.75" customHeight="1">
      <c r="A289" s="41"/>
      <c r="B289" s="42"/>
      <c r="C289" s="20" t="s">
        <v>45</v>
      </c>
      <c r="D289" s="21">
        <f>D288/18</f>
        <v>0.88888888888888884</v>
      </c>
      <c r="E289" s="2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4" customHeight="1">
      <c r="A290" s="23" t="s">
        <v>46</v>
      </c>
      <c r="B290" s="24" t="s">
        <v>47</v>
      </c>
      <c r="C290" s="20"/>
      <c r="D290" s="21"/>
      <c r="E290" s="2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2.5" customHeight="1">
      <c r="A291" s="23" t="s">
        <v>48</v>
      </c>
      <c r="B291" s="24" t="s">
        <v>49</v>
      </c>
      <c r="C291" s="25"/>
      <c r="D291" s="25"/>
      <c r="E291" s="1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1.75" customHeight="1">
      <c r="A292" s="23" t="s">
        <v>50</v>
      </c>
      <c r="B292" s="24" t="s">
        <v>51</v>
      </c>
      <c r="C292" s="26"/>
      <c r="D292" s="26"/>
      <c r="E292" s="2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30.75" customHeight="1">
      <c r="A293" s="37" t="s">
        <v>132</v>
      </c>
      <c r="B293" s="38"/>
      <c r="C293" s="27"/>
      <c r="D293" s="27" t="s">
        <v>53</v>
      </c>
      <c r="E293" s="28" t="s">
        <v>133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9"/>
      <c r="C294" s="29"/>
      <c r="D294" s="2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9"/>
      <c r="C295" s="29"/>
      <c r="D295" s="2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9"/>
      <c r="C296" s="29"/>
      <c r="D296" s="2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9"/>
      <c r="C297" s="29"/>
      <c r="D297" s="2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9"/>
      <c r="C298" s="29"/>
      <c r="D298" s="2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9"/>
      <c r="C299" s="29"/>
      <c r="D299" s="2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9"/>
      <c r="C300" s="29"/>
      <c r="D300" s="2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9"/>
      <c r="C301" s="29"/>
      <c r="D301" s="2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9"/>
      <c r="C302" s="29"/>
      <c r="D302" s="2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9"/>
      <c r="C303" s="29"/>
      <c r="D303" s="2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9"/>
      <c r="C304" s="29"/>
      <c r="D304" s="2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9"/>
      <c r="C305" s="29"/>
      <c r="D305" s="2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9"/>
      <c r="C306" s="29"/>
      <c r="D306" s="2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9"/>
      <c r="C307" s="29"/>
      <c r="D307" s="2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9"/>
      <c r="C308" s="29"/>
      <c r="D308" s="2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9"/>
      <c r="C309" s="29"/>
      <c r="D309" s="2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9"/>
      <c r="C310" s="29"/>
      <c r="D310" s="2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9"/>
      <c r="C311" s="29"/>
      <c r="D311" s="2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9"/>
      <c r="C312" s="29"/>
      <c r="D312" s="2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9"/>
      <c r="C313" s="29"/>
      <c r="D313" s="2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9"/>
      <c r="C314" s="29"/>
      <c r="D314" s="2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9"/>
      <c r="C315" s="29"/>
      <c r="D315" s="2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9"/>
      <c r="C316" s="29"/>
      <c r="D316" s="2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9"/>
      <c r="C317" s="29"/>
      <c r="D317" s="2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9"/>
      <c r="C318" s="29"/>
      <c r="D318" s="2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9"/>
      <c r="C319" s="29"/>
      <c r="D319" s="2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9"/>
      <c r="C320" s="29"/>
      <c r="D320" s="2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9"/>
      <c r="C321" s="29"/>
      <c r="D321" s="2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9"/>
      <c r="C322" s="29"/>
      <c r="D322" s="2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9"/>
      <c r="C323" s="29"/>
      <c r="D323" s="2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9"/>
      <c r="C324" s="29"/>
      <c r="D324" s="29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9"/>
      <c r="C325" s="29"/>
      <c r="D325" s="2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9"/>
      <c r="C326" s="29"/>
      <c r="D326" s="29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9"/>
      <c r="C327" s="29"/>
      <c r="D327" s="2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9"/>
      <c r="C328" s="29"/>
      <c r="D328" s="2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9"/>
      <c r="C329" s="29"/>
      <c r="D329" s="2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9"/>
      <c r="C330" s="29"/>
      <c r="D330" s="2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9"/>
      <c r="C331" s="29"/>
      <c r="D331" s="2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9"/>
      <c r="C332" s="29"/>
      <c r="D332" s="2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9"/>
      <c r="C333" s="29"/>
      <c r="D333" s="2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9"/>
      <c r="C334" s="29"/>
      <c r="D334" s="29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9"/>
      <c r="C335" s="29"/>
      <c r="D335" s="29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9"/>
      <c r="C336" s="29"/>
      <c r="D336" s="29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9"/>
      <c r="C337" s="29"/>
      <c r="D337" s="29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9"/>
      <c r="C338" s="29"/>
      <c r="D338" s="29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9"/>
      <c r="C339" s="29"/>
      <c r="D339" s="29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9"/>
      <c r="C340" s="29"/>
      <c r="D340" s="29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72">
    <mergeCell ref="A78:B78"/>
    <mergeCell ref="A79:B79"/>
    <mergeCell ref="A99:B100"/>
    <mergeCell ref="A104:B104"/>
    <mergeCell ref="A108:D111"/>
    <mergeCell ref="A172:B173"/>
    <mergeCell ref="A152:B152"/>
    <mergeCell ref="A112:B113"/>
    <mergeCell ref="C112:C113"/>
    <mergeCell ref="A114:B114"/>
    <mergeCell ref="A115:B115"/>
    <mergeCell ref="A135:B136"/>
    <mergeCell ref="A177:B177"/>
    <mergeCell ref="A181:D184"/>
    <mergeCell ref="A185:B186"/>
    <mergeCell ref="C185:C186"/>
    <mergeCell ref="D185:D186"/>
    <mergeCell ref="E265:E266"/>
    <mergeCell ref="A267:B267"/>
    <mergeCell ref="A268:B268"/>
    <mergeCell ref="A288:B289"/>
    <mergeCell ref="E185:E186"/>
    <mergeCell ref="D226:D227"/>
    <mergeCell ref="E226:E227"/>
    <mergeCell ref="A187:B187"/>
    <mergeCell ref="A188:B188"/>
    <mergeCell ref="A208:B209"/>
    <mergeCell ref="A213:B213"/>
    <mergeCell ref="A222:D225"/>
    <mergeCell ref="A226:B227"/>
    <mergeCell ref="C226:C227"/>
    <mergeCell ref="A293:B293"/>
    <mergeCell ref="A228:B228"/>
    <mergeCell ref="A229:B229"/>
    <mergeCell ref="A249:B250"/>
    <mergeCell ref="A254:B254"/>
    <mergeCell ref="A261:D264"/>
    <mergeCell ref="A265:B266"/>
    <mergeCell ref="C265:C266"/>
    <mergeCell ref="D265:D266"/>
    <mergeCell ref="A1:D4"/>
    <mergeCell ref="A5:B6"/>
    <mergeCell ref="C5:C6"/>
    <mergeCell ref="D5:D6"/>
    <mergeCell ref="E5:E6"/>
    <mergeCell ref="A7:B7"/>
    <mergeCell ref="A8:B8"/>
    <mergeCell ref="A28:B29"/>
    <mergeCell ref="A33:B33"/>
    <mergeCell ref="A36:D39"/>
    <mergeCell ref="A40:B41"/>
    <mergeCell ref="C40:C41"/>
    <mergeCell ref="D40:D41"/>
    <mergeCell ref="E40:E41"/>
    <mergeCell ref="D76:D77"/>
    <mergeCell ref="E76:E77"/>
    <mergeCell ref="A42:B42"/>
    <mergeCell ref="A43:B43"/>
    <mergeCell ref="A63:B64"/>
    <mergeCell ref="A68:B68"/>
    <mergeCell ref="A72:D75"/>
    <mergeCell ref="A76:B77"/>
    <mergeCell ref="C76:C77"/>
    <mergeCell ref="D112:D113"/>
    <mergeCell ref="E112:E113"/>
    <mergeCell ref="D149:D150"/>
    <mergeCell ref="E149:E150"/>
    <mergeCell ref="A151:B151"/>
    <mergeCell ref="A140:B140"/>
    <mergeCell ref="A145:D148"/>
    <mergeCell ref="A149:B150"/>
    <mergeCell ref="C149:C150"/>
  </mergeCells>
  <conditionalFormatting sqref="D28">
    <cfRule type="colorScale" priority="5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10:D27">
    <cfRule type="colorScale" priority="6">
      <colorScale>
        <cfvo type="formula" val="0"/>
        <cfvo type="formula" val="1"/>
        <color rgb="FFFF0000"/>
        <color rgb="FF00B050"/>
      </colorScale>
    </cfRule>
  </conditionalFormatting>
  <conditionalFormatting sqref="D63">
    <cfRule type="colorScale" priority="7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45:D62 D81:D98">
    <cfRule type="colorScale" priority="8">
      <colorScale>
        <cfvo type="formula" val="0"/>
        <cfvo type="formula" val="1"/>
        <color rgb="FFFF0000"/>
        <color rgb="FF00B050"/>
      </colorScale>
    </cfRule>
  </conditionalFormatting>
  <conditionalFormatting sqref="D99">
    <cfRule type="colorScale" priority="9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81:D98">
    <cfRule type="colorScale" priority="10">
      <colorScale>
        <cfvo type="formula" val="0"/>
        <cfvo type="formula" val="1"/>
        <color rgb="FFFF0000"/>
        <color rgb="FF00B050"/>
      </colorScale>
    </cfRule>
  </conditionalFormatting>
  <conditionalFormatting sqref="D135 D172 D208 D249 D288">
    <cfRule type="colorScale" priority="11">
      <colorScale>
        <cfvo type="formula" val="0"/>
        <cfvo type="formula" val="1"/>
        <cfvo type="max"/>
        <color rgb="FFFF0000"/>
        <color rgb="FF00B050"/>
        <color rgb="FF63BE7B"/>
      </colorScale>
    </cfRule>
  </conditionalFormatting>
  <conditionalFormatting sqref="D117:D134 D154:D171 D190:D191 D270:D287 D231:D248 D198:D207 D193:D196">
    <cfRule type="colorScale" priority="12">
      <colorScale>
        <cfvo type="formula" val="0"/>
        <cfvo type="formula" val="1"/>
        <color rgb="FFFF0000"/>
        <color rgb="FF00B050"/>
      </colorScale>
    </cfRule>
  </conditionalFormatting>
  <conditionalFormatting sqref="D197">
    <cfRule type="colorScale" priority="3">
      <colorScale>
        <cfvo type="formula" val="0"/>
        <cfvo type="formula" val="1"/>
        <color rgb="FFFF0000"/>
        <color rgb="FF00B050"/>
      </colorScale>
    </cfRule>
  </conditionalFormatting>
  <conditionalFormatting sqref="D197">
    <cfRule type="colorScale" priority="4">
      <colorScale>
        <cfvo type="formula" val="0"/>
        <cfvo type="formula" val="1"/>
        <color rgb="FFFF0000"/>
        <color rgb="FF00B050"/>
      </colorScale>
    </cfRule>
  </conditionalFormatting>
  <conditionalFormatting sqref="D192">
    <cfRule type="colorScale" priority="1">
      <colorScale>
        <cfvo type="formula" val="0"/>
        <cfvo type="formula" val="1"/>
        <color rgb="FFFF0000"/>
        <color rgb="FF00B050"/>
      </colorScale>
    </cfRule>
  </conditionalFormatting>
  <conditionalFormatting sqref="D192">
    <cfRule type="colorScale" priority="2">
      <colorScale>
        <cfvo type="formula" val="0"/>
        <cfvo type="formula" val="1"/>
        <color rgb="FFFF0000"/>
        <color rgb="FF00B050"/>
      </colorScale>
    </cfRule>
  </conditionalFormatting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5S Audit Checklist (Jan-26)</vt:lpstr>
      <vt:lpstr>5S Audit Checklist (Feb-26) </vt:lpstr>
      <vt:lpstr>5S Audit Checklist (Mar-26)</vt:lpstr>
      <vt:lpstr>5S Audit Checklist (April-26)</vt:lpstr>
      <vt:lpstr>5S Audit Checklist (May June-26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Karangale</dc:creator>
  <cp:lastModifiedBy>Vaishnavi Karangale</cp:lastModifiedBy>
  <dcterms:created xsi:type="dcterms:W3CDTF">2006-09-16T00:00:00Z</dcterms:created>
  <dcterms:modified xsi:type="dcterms:W3CDTF">2026-06-23T10:14:46Z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466721496</vt:i4>
  </property>
  <property fmtid="{D5CDD505-2E9C-101B-9397-08002B2CF9AE}" pid="3" name="_NewReviewCycle">
    <vt:lpwstr/>
  </property>
  <property fmtid="{D5CDD505-2E9C-101B-9397-08002B2CF9AE}" pid="4" name="_PreviousAdHocReviewCycleID">
    <vt:i4>-1013024774</vt:i4>
  </property>
  <property fmtid="{D5CDD505-2E9C-101B-9397-08002B2CF9AE}" pid="5" name="_ReviewingToolsShownOnce">
    <vt:lpwstr/>
  </property>
</Properties>
</file>