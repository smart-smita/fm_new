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godrej-my.sharepoint.com/personal/adityams_sp_godrej_com/Documents/Desktop/Monthly Report/May 26/"/>
    </mc:Choice>
  </mc:AlternateContent>
  <xr:revisionPtr revIDLastSave="10" documentId="8_{AD96C5BB-DF3E-444A-8569-F83B35208866}" xr6:coauthVersionLast="47" xr6:coauthVersionMax="47" xr10:uidLastSave="{92F614F0-0290-4B8D-8B32-6CCB7D98660C}"/>
  <bookViews>
    <workbookView xWindow="-120" yWindow="-120" windowWidth="24240" windowHeight="13020" xr2:uid="{00000000-000D-0000-FFFF-FFFF00000000}"/>
  </bookViews>
  <sheets>
    <sheet name="May-26" sheetId="1" r:id="rId1"/>
    <sheet name="March-23" sheetId="2" state="hidden" r:id="rId2"/>
    <sheet name="February-23" sheetId="3" state="hidden" r:id="rId3"/>
    <sheet name="January-23" sheetId="4" state="hidden" r:id="rId4"/>
    <sheet name="December-22" sheetId="5" state="hidden" r:id="rId5"/>
    <sheet name="November-22" sheetId="6" state="hidden" r:id="rId6"/>
    <sheet name="October-22" sheetId="7" state="hidden" r:id="rId7"/>
    <sheet name="September-22" sheetId="8" state="hidden" r:id="rId8"/>
    <sheet name="August-22" sheetId="9" state="hidden" r:id="rId9"/>
    <sheet name="July-22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S11" i="1" s="1"/>
  <c r="F34" i="1" s="1"/>
  <c r="Q11" i="1"/>
  <c r="O11" i="1"/>
  <c r="L21" i="1"/>
  <c r="Q20" i="1"/>
  <c r="Q19" i="1"/>
  <c r="S17" i="1"/>
  <c r="F40" i="1" s="1"/>
  <c r="F37" i="10"/>
  <c r="E37" i="10"/>
  <c r="C37" i="10"/>
  <c r="F36" i="10"/>
  <c r="E36" i="10"/>
  <c r="D36" i="10"/>
  <c r="C36" i="10"/>
  <c r="F35" i="10"/>
  <c r="E35" i="10"/>
  <c r="C35" i="10"/>
  <c r="F34" i="10"/>
  <c r="E34" i="10"/>
  <c r="C34" i="10"/>
  <c r="F33" i="10"/>
  <c r="E33" i="10"/>
  <c r="D33" i="10"/>
  <c r="C33" i="10"/>
  <c r="F32" i="10"/>
  <c r="E32" i="10"/>
  <c r="C32" i="10"/>
  <c r="F31" i="10"/>
  <c r="E31" i="10"/>
  <c r="C31" i="10"/>
  <c r="F30" i="10"/>
  <c r="E30" i="10"/>
  <c r="C30" i="10"/>
  <c r="B30" i="10"/>
  <c r="B31" i="10" s="1"/>
  <c r="B32" i="10" s="1"/>
  <c r="B33" i="10" s="1"/>
  <c r="B34" i="10" s="1"/>
  <c r="B35" i="10" s="1"/>
  <c r="B36" i="10" s="1"/>
  <c r="B37" i="10" s="1"/>
  <c r="F29" i="10"/>
  <c r="E29" i="10"/>
  <c r="C29" i="10"/>
  <c r="F28" i="10"/>
  <c r="E28" i="10"/>
  <c r="D28" i="10"/>
  <c r="C28" i="10"/>
  <c r="F27" i="10"/>
  <c r="E27" i="10"/>
  <c r="C27" i="10"/>
  <c r="F26" i="10"/>
  <c r="E26" i="10"/>
  <c r="D26" i="10"/>
  <c r="C26" i="10"/>
  <c r="F25" i="10"/>
  <c r="E25" i="10"/>
  <c r="C25" i="10"/>
  <c r="F24" i="10"/>
  <c r="E24" i="10"/>
  <c r="C24" i="10"/>
  <c r="B24" i="10"/>
  <c r="B25" i="10" s="1"/>
  <c r="B26" i="10" s="1"/>
  <c r="B27" i="10" s="1"/>
  <c r="B28" i="10" s="1"/>
  <c r="B29" i="10" s="1"/>
  <c r="F23" i="10"/>
  <c r="E23" i="10"/>
  <c r="C23" i="10"/>
  <c r="F22" i="10"/>
  <c r="E22" i="10"/>
  <c r="D22" i="10"/>
  <c r="H17" i="10"/>
  <c r="D37" i="10" s="1"/>
  <c r="L16" i="10"/>
  <c r="H16" i="10"/>
  <c r="L15" i="10"/>
  <c r="H15" i="10"/>
  <c r="D35" i="10" s="1"/>
  <c r="K14" i="10"/>
  <c r="H14" i="10"/>
  <c r="D34" i="10" s="1"/>
  <c r="K13" i="10"/>
  <c r="H13" i="10"/>
  <c r="H12" i="10"/>
  <c r="D32" i="10" s="1"/>
  <c r="K11" i="10"/>
  <c r="H11" i="10"/>
  <c r="D31" i="10" s="1"/>
  <c r="K10" i="10"/>
  <c r="H10" i="10"/>
  <c r="D30" i="10" s="1"/>
  <c r="H9" i="10"/>
  <c r="D29" i="10" s="1"/>
  <c r="K8" i="10"/>
  <c r="H8" i="10"/>
  <c r="H7" i="10"/>
  <c r="D27" i="10" s="1"/>
  <c r="K6" i="10"/>
  <c r="H6" i="10"/>
  <c r="K5" i="10"/>
  <c r="F5" i="10"/>
  <c r="H5" i="10" s="1"/>
  <c r="D25" i="10" s="1"/>
  <c r="H4" i="10"/>
  <c r="D24" i="10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H3" i="10"/>
  <c r="D23" i="10" s="1"/>
  <c r="C37" i="9"/>
  <c r="C36" i="9"/>
  <c r="C35" i="9"/>
  <c r="C34" i="9"/>
  <c r="D33" i="9"/>
  <c r="C33" i="9"/>
  <c r="G32" i="9"/>
  <c r="C32" i="9"/>
  <c r="C31" i="9"/>
  <c r="G30" i="9"/>
  <c r="C30" i="9"/>
  <c r="F29" i="9"/>
  <c r="C29" i="9"/>
  <c r="D28" i="9"/>
  <c r="C28" i="9"/>
  <c r="C27" i="9"/>
  <c r="C26" i="9"/>
  <c r="C25" i="9"/>
  <c r="C24" i="9"/>
  <c r="B24" i="9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G23" i="9"/>
  <c r="F23" i="9"/>
  <c r="C23" i="9"/>
  <c r="G22" i="9"/>
  <c r="F22" i="9"/>
  <c r="E22" i="9"/>
  <c r="D22" i="9"/>
  <c r="N18" i="9"/>
  <c r="M18" i="9"/>
  <c r="P18" i="9" s="1"/>
  <c r="J18" i="9"/>
  <c r="W18" i="9" s="1"/>
  <c r="I18" i="9"/>
  <c r="V18" i="9" s="1"/>
  <c r="H18" i="9"/>
  <c r="G18" i="9"/>
  <c r="F18" i="9"/>
  <c r="W17" i="9"/>
  <c r="V17" i="9"/>
  <c r="R17" i="9"/>
  <c r="E37" i="9" s="1"/>
  <c r="Q17" i="9"/>
  <c r="P17" i="9"/>
  <c r="T17" i="9" s="1"/>
  <c r="G37" i="9" s="1"/>
  <c r="O17" i="9"/>
  <c r="S17" i="9" s="1"/>
  <c r="F37" i="9" s="1"/>
  <c r="K17" i="9"/>
  <c r="H17" i="9"/>
  <c r="D37" i="9" s="1"/>
  <c r="W16" i="9"/>
  <c r="V16" i="9"/>
  <c r="R16" i="9"/>
  <c r="E36" i="9" s="1"/>
  <c r="Q16" i="9"/>
  <c r="P16" i="9"/>
  <c r="T16" i="9" s="1"/>
  <c r="G36" i="9" s="1"/>
  <c r="O16" i="9"/>
  <c r="S16" i="9" s="1"/>
  <c r="F36" i="9" s="1"/>
  <c r="K16" i="9"/>
  <c r="H16" i="9"/>
  <c r="D36" i="9" s="1"/>
  <c r="W15" i="9"/>
  <c r="V15" i="9"/>
  <c r="S15" i="9"/>
  <c r="F35" i="9" s="1"/>
  <c r="Q15" i="9"/>
  <c r="P15" i="9"/>
  <c r="T15" i="9" s="1"/>
  <c r="G35" i="9" s="1"/>
  <c r="O15" i="9"/>
  <c r="K15" i="9"/>
  <c r="R15" i="9" s="1"/>
  <c r="E35" i="9" s="1"/>
  <c r="H15" i="9"/>
  <c r="D35" i="9" s="1"/>
  <c r="W14" i="9"/>
  <c r="V14" i="9"/>
  <c r="Q14" i="9"/>
  <c r="P14" i="9"/>
  <c r="T14" i="9" s="1"/>
  <c r="G34" i="9" s="1"/>
  <c r="O14" i="9"/>
  <c r="S14" i="9" s="1"/>
  <c r="F34" i="9" s="1"/>
  <c r="K14" i="9"/>
  <c r="R14" i="9" s="1"/>
  <c r="E34" i="9" s="1"/>
  <c r="H14" i="9"/>
  <c r="D34" i="9" s="1"/>
  <c r="W13" i="9"/>
  <c r="V13" i="9"/>
  <c r="Q13" i="9"/>
  <c r="P13" i="9"/>
  <c r="T13" i="9" s="1"/>
  <c r="G33" i="9" s="1"/>
  <c r="O13" i="9"/>
  <c r="S13" i="9" s="1"/>
  <c r="F33" i="9" s="1"/>
  <c r="K13" i="9"/>
  <c r="R13" i="9" s="1"/>
  <c r="E33" i="9" s="1"/>
  <c r="H13" i="9"/>
  <c r="W12" i="9"/>
  <c r="V12" i="9"/>
  <c r="T12" i="9"/>
  <c r="R12" i="9"/>
  <c r="E32" i="9" s="1"/>
  <c r="Q12" i="9"/>
  <c r="P12" i="9"/>
  <c r="O12" i="9"/>
  <c r="S12" i="9" s="1"/>
  <c r="F32" i="9" s="1"/>
  <c r="K12" i="9"/>
  <c r="H12" i="9"/>
  <c r="D32" i="9" s="1"/>
  <c r="W11" i="9"/>
  <c r="V11" i="9"/>
  <c r="R11" i="9"/>
  <c r="E31" i="9" s="1"/>
  <c r="Q11" i="9"/>
  <c r="P11" i="9"/>
  <c r="T11" i="9" s="1"/>
  <c r="G31" i="9" s="1"/>
  <c r="O11" i="9"/>
  <c r="S11" i="9" s="1"/>
  <c r="F31" i="9" s="1"/>
  <c r="K11" i="9"/>
  <c r="H11" i="9"/>
  <c r="D31" i="9" s="1"/>
  <c r="W10" i="9"/>
  <c r="V10" i="9"/>
  <c r="T10" i="9"/>
  <c r="Q10" i="9"/>
  <c r="P10" i="9"/>
  <c r="O10" i="9"/>
  <c r="S10" i="9" s="1"/>
  <c r="F30" i="9" s="1"/>
  <c r="K10" i="9"/>
  <c r="R10" i="9" s="1"/>
  <c r="E30" i="9" s="1"/>
  <c r="H10" i="9"/>
  <c r="D30" i="9" s="1"/>
  <c r="W9" i="9"/>
  <c r="V9" i="9"/>
  <c r="S9" i="9"/>
  <c r="Q9" i="9"/>
  <c r="P9" i="9"/>
  <c r="T9" i="9" s="1"/>
  <c r="G29" i="9" s="1"/>
  <c r="O9" i="9"/>
  <c r="K9" i="9"/>
  <c r="R9" i="9" s="1"/>
  <c r="E29" i="9" s="1"/>
  <c r="H9" i="9"/>
  <c r="D29" i="9" s="1"/>
  <c r="W8" i="9"/>
  <c r="V8" i="9"/>
  <c r="T8" i="9"/>
  <c r="G28" i="9" s="1"/>
  <c r="Q8" i="9"/>
  <c r="P8" i="9"/>
  <c r="O8" i="9"/>
  <c r="S8" i="9" s="1"/>
  <c r="F28" i="9" s="1"/>
  <c r="K8" i="9"/>
  <c r="R8" i="9" s="1"/>
  <c r="E28" i="9" s="1"/>
  <c r="H8" i="9"/>
  <c r="W7" i="9"/>
  <c r="V7" i="9"/>
  <c r="R7" i="9"/>
  <c r="E27" i="9" s="1"/>
  <c r="Q7" i="9"/>
  <c r="P7" i="9"/>
  <c r="T7" i="9" s="1"/>
  <c r="G27" i="9" s="1"/>
  <c r="O7" i="9"/>
  <c r="S7" i="9" s="1"/>
  <c r="F27" i="9" s="1"/>
  <c r="K7" i="9"/>
  <c r="H7" i="9"/>
  <c r="D27" i="9" s="1"/>
  <c r="W6" i="9"/>
  <c r="V6" i="9"/>
  <c r="R6" i="9"/>
  <c r="E26" i="9" s="1"/>
  <c r="Q6" i="9"/>
  <c r="P6" i="9"/>
  <c r="T6" i="9" s="1"/>
  <c r="G26" i="9" s="1"/>
  <c r="O6" i="9"/>
  <c r="S6" i="9" s="1"/>
  <c r="F26" i="9" s="1"/>
  <c r="K6" i="9"/>
  <c r="H6" i="9"/>
  <c r="D26" i="9" s="1"/>
  <c r="W5" i="9"/>
  <c r="V5" i="9"/>
  <c r="Q5" i="9"/>
  <c r="P5" i="9"/>
  <c r="T5" i="9" s="1"/>
  <c r="G25" i="9" s="1"/>
  <c r="O5" i="9"/>
  <c r="S5" i="9" s="1"/>
  <c r="F25" i="9" s="1"/>
  <c r="K5" i="9"/>
  <c r="R5" i="9" s="1"/>
  <c r="E25" i="9" s="1"/>
  <c r="H5" i="9"/>
  <c r="D25" i="9" s="1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W4" i="9"/>
  <c r="V4" i="9"/>
  <c r="T4" i="9"/>
  <c r="G24" i="9" s="1"/>
  <c r="Q4" i="9"/>
  <c r="P4" i="9"/>
  <c r="O4" i="9"/>
  <c r="S4" i="9" s="1"/>
  <c r="F24" i="9" s="1"/>
  <c r="K4" i="9"/>
  <c r="R4" i="9" s="1"/>
  <c r="E24" i="9" s="1"/>
  <c r="H4" i="9"/>
  <c r="D24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A4" i="9"/>
  <c r="W3" i="9"/>
  <c r="V3" i="9"/>
  <c r="P3" i="9"/>
  <c r="O3" i="9"/>
  <c r="L3" i="9"/>
  <c r="L18" i="9" s="1"/>
  <c r="Q18" i="9" s="1"/>
  <c r="K3" i="9"/>
  <c r="R3" i="9" s="1"/>
  <c r="E23" i="9" s="1"/>
  <c r="H3" i="9"/>
  <c r="D23" i="9" s="1"/>
  <c r="C39" i="8"/>
  <c r="C38" i="8"/>
  <c r="G37" i="8"/>
  <c r="C37" i="8"/>
  <c r="C36" i="8"/>
  <c r="C35" i="8"/>
  <c r="C34" i="8"/>
  <c r="C33" i="8"/>
  <c r="C32" i="8"/>
  <c r="D31" i="8"/>
  <c r="C31" i="8"/>
  <c r="C30" i="8"/>
  <c r="C29" i="8"/>
  <c r="F28" i="8"/>
  <c r="C28" i="8"/>
  <c r="B28" i="8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C27" i="8"/>
  <c r="C26" i="8"/>
  <c r="B26" i="8"/>
  <c r="B27" i="8" s="1"/>
  <c r="G25" i="8"/>
  <c r="F25" i="8"/>
  <c r="C25" i="8"/>
  <c r="G24" i="8"/>
  <c r="F24" i="8"/>
  <c r="E24" i="8"/>
  <c r="D24" i="8"/>
  <c r="O20" i="8"/>
  <c r="N20" i="8"/>
  <c r="M20" i="8"/>
  <c r="P20" i="8" s="1"/>
  <c r="T20" i="8" s="1"/>
  <c r="L20" i="8"/>
  <c r="Q20" i="8" s="1"/>
  <c r="J20" i="8"/>
  <c r="I20" i="8"/>
  <c r="G20" i="8"/>
  <c r="F20" i="8"/>
  <c r="W19" i="8"/>
  <c r="V19" i="8"/>
  <c r="R19" i="8"/>
  <c r="E39" i="8" s="1"/>
  <c r="Q19" i="8"/>
  <c r="P19" i="8"/>
  <c r="T19" i="8" s="1"/>
  <c r="G39" i="8" s="1"/>
  <c r="O19" i="8"/>
  <c r="S19" i="8" s="1"/>
  <c r="F39" i="8" s="1"/>
  <c r="K19" i="8"/>
  <c r="H19" i="8"/>
  <c r="D39" i="8" s="1"/>
  <c r="W18" i="8"/>
  <c r="V18" i="8"/>
  <c r="T18" i="8"/>
  <c r="G38" i="8" s="1"/>
  <c r="S18" i="8"/>
  <c r="F38" i="8" s="1"/>
  <c r="Q18" i="8"/>
  <c r="P18" i="8"/>
  <c r="O18" i="8"/>
  <c r="K18" i="8"/>
  <c r="R18" i="8" s="1"/>
  <c r="E38" i="8" s="1"/>
  <c r="H18" i="8"/>
  <c r="D38" i="8" s="1"/>
  <c r="W17" i="8"/>
  <c r="V17" i="8"/>
  <c r="Q17" i="8"/>
  <c r="P17" i="8"/>
  <c r="T17" i="8" s="1"/>
  <c r="O17" i="8"/>
  <c r="S17" i="8" s="1"/>
  <c r="F37" i="8" s="1"/>
  <c r="K17" i="8"/>
  <c r="R17" i="8" s="1"/>
  <c r="E37" i="8" s="1"/>
  <c r="H17" i="8"/>
  <c r="D37" i="8" s="1"/>
  <c r="W16" i="8"/>
  <c r="V16" i="8"/>
  <c r="Q16" i="8"/>
  <c r="P16" i="8"/>
  <c r="T16" i="8" s="1"/>
  <c r="O16" i="8"/>
  <c r="S16" i="8" s="1"/>
  <c r="K16" i="8"/>
  <c r="R16" i="8" s="1"/>
  <c r="H16" i="8"/>
  <c r="W15" i="8"/>
  <c r="V15" i="8"/>
  <c r="T15" i="8"/>
  <c r="G36" i="8" s="1"/>
  <c r="S15" i="8"/>
  <c r="F36" i="8" s="1"/>
  <c r="Q15" i="8"/>
  <c r="P15" i="8"/>
  <c r="O15" i="8"/>
  <c r="K15" i="8"/>
  <c r="R15" i="8" s="1"/>
  <c r="E36" i="8" s="1"/>
  <c r="H15" i="8"/>
  <c r="D36" i="8" s="1"/>
  <c r="W14" i="8"/>
  <c r="V14" i="8"/>
  <c r="Q14" i="8"/>
  <c r="P14" i="8"/>
  <c r="T14" i="8" s="1"/>
  <c r="G35" i="8" s="1"/>
  <c r="O14" i="8"/>
  <c r="S14" i="8" s="1"/>
  <c r="F35" i="8" s="1"/>
  <c r="K14" i="8"/>
  <c r="R14" i="8" s="1"/>
  <c r="E35" i="8" s="1"/>
  <c r="H14" i="8"/>
  <c r="D35" i="8" s="1"/>
  <c r="W13" i="8"/>
  <c r="V13" i="8"/>
  <c r="S13" i="8"/>
  <c r="F34" i="8" s="1"/>
  <c r="R13" i="8"/>
  <c r="E34" i="8" s="1"/>
  <c r="Q13" i="8"/>
  <c r="P13" i="8"/>
  <c r="T13" i="8" s="1"/>
  <c r="G34" i="8" s="1"/>
  <c r="O13" i="8"/>
  <c r="L13" i="8"/>
  <c r="K13" i="8"/>
  <c r="H13" i="8"/>
  <c r="D34" i="8" s="1"/>
  <c r="W12" i="8"/>
  <c r="V12" i="8"/>
  <c r="Q12" i="8"/>
  <c r="P12" i="8"/>
  <c r="T12" i="8" s="1"/>
  <c r="G33" i="8" s="1"/>
  <c r="O12" i="8"/>
  <c r="S12" i="8" s="1"/>
  <c r="F33" i="8" s="1"/>
  <c r="K12" i="8"/>
  <c r="R12" i="8" s="1"/>
  <c r="E33" i="8" s="1"/>
  <c r="H12" i="8"/>
  <c r="D33" i="8" s="1"/>
  <c r="W11" i="8"/>
  <c r="V11" i="8"/>
  <c r="R11" i="8"/>
  <c r="Q11" i="8"/>
  <c r="P11" i="8"/>
  <c r="T11" i="8" s="1"/>
  <c r="O11" i="8"/>
  <c r="S11" i="8" s="1"/>
  <c r="K11" i="8"/>
  <c r="W10" i="8"/>
  <c r="V10" i="8"/>
  <c r="T10" i="8"/>
  <c r="G32" i="8" s="1"/>
  <c r="R10" i="8"/>
  <c r="E32" i="8" s="1"/>
  <c r="Q10" i="8"/>
  <c r="P10" i="8"/>
  <c r="O10" i="8"/>
  <c r="S10" i="8" s="1"/>
  <c r="F32" i="8" s="1"/>
  <c r="K10" i="8"/>
  <c r="H10" i="8"/>
  <c r="D32" i="8" s="1"/>
  <c r="W9" i="8"/>
  <c r="V9" i="8"/>
  <c r="Q9" i="8"/>
  <c r="P9" i="8"/>
  <c r="T9" i="8" s="1"/>
  <c r="G31" i="8" s="1"/>
  <c r="O9" i="8"/>
  <c r="S9" i="8" s="1"/>
  <c r="F31" i="8" s="1"/>
  <c r="K9" i="8"/>
  <c r="R9" i="8" s="1"/>
  <c r="E31" i="8" s="1"/>
  <c r="H9" i="8"/>
  <c r="W8" i="8"/>
  <c r="V8" i="8"/>
  <c r="Q8" i="8"/>
  <c r="P8" i="8"/>
  <c r="T8" i="8" s="1"/>
  <c r="G30" i="8" s="1"/>
  <c r="O8" i="8"/>
  <c r="S8" i="8" s="1"/>
  <c r="F30" i="8" s="1"/>
  <c r="K8" i="8"/>
  <c r="R8" i="8" s="1"/>
  <c r="E30" i="8" s="1"/>
  <c r="H8" i="8"/>
  <c r="D30" i="8" s="1"/>
  <c r="W7" i="8"/>
  <c r="V7" i="8"/>
  <c r="S7" i="8"/>
  <c r="F29" i="8" s="1"/>
  <c r="Q7" i="8"/>
  <c r="P7" i="8"/>
  <c r="T7" i="8" s="1"/>
  <c r="G29" i="8" s="1"/>
  <c r="O7" i="8"/>
  <c r="K7" i="8"/>
  <c r="R7" i="8" s="1"/>
  <c r="E29" i="8" s="1"/>
  <c r="H7" i="8"/>
  <c r="D29" i="8" s="1"/>
  <c r="W6" i="8"/>
  <c r="V6" i="8"/>
  <c r="Q6" i="8"/>
  <c r="P6" i="8"/>
  <c r="T6" i="8" s="1"/>
  <c r="G28" i="8" s="1"/>
  <c r="O6" i="8"/>
  <c r="S6" i="8" s="1"/>
  <c r="K6" i="8"/>
  <c r="R6" i="8" s="1"/>
  <c r="E28" i="8" s="1"/>
  <c r="H6" i="8"/>
  <c r="D28" i="8" s="1"/>
  <c r="W5" i="8"/>
  <c r="V5" i="8"/>
  <c r="T5" i="8"/>
  <c r="G27" i="8" s="1"/>
  <c r="Q5" i="8"/>
  <c r="P5" i="8"/>
  <c r="O5" i="8"/>
  <c r="S5" i="8" s="1"/>
  <c r="F27" i="8" s="1"/>
  <c r="K5" i="8"/>
  <c r="R5" i="8" s="1"/>
  <c r="E27" i="8" s="1"/>
  <c r="H5" i="8"/>
  <c r="D27" i="8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W4" i="8"/>
  <c r="V4" i="8"/>
  <c r="T4" i="8"/>
  <c r="G26" i="8" s="1"/>
  <c r="Q4" i="8"/>
  <c r="P4" i="8"/>
  <c r="O4" i="8"/>
  <c r="S4" i="8" s="1"/>
  <c r="F26" i="8" s="1"/>
  <c r="K4" i="8"/>
  <c r="R4" i="8" s="1"/>
  <c r="E26" i="8" s="1"/>
  <c r="H4" i="8"/>
  <c r="D26" i="8" s="1"/>
  <c r="A4" i="8"/>
  <c r="W3" i="8"/>
  <c r="V3" i="8"/>
  <c r="Q3" i="8"/>
  <c r="P3" i="8"/>
  <c r="O3" i="8"/>
  <c r="K3" i="8"/>
  <c r="R3" i="8" s="1"/>
  <c r="E25" i="8" s="1"/>
  <c r="H3" i="8"/>
  <c r="D25" i="8" s="1"/>
  <c r="C41" i="7"/>
  <c r="C40" i="7"/>
  <c r="C39" i="7"/>
  <c r="C38" i="7"/>
  <c r="C37" i="7"/>
  <c r="C36" i="7"/>
  <c r="C35" i="7"/>
  <c r="E34" i="7"/>
  <c r="D34" i="7"/>
  <c r="C34" i="7"/>
  <c r="C33" i="7"/>
  <c r="G32" i="7"/>
  <c r="C32" i="7"/>
  <c r="D31" i="7"/>
  <c r="C31" i="7"/>
  <c r="C30" i="7"/>
  <c r="C29" i="7"/>
  <c r="B29" i="7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C28" i="7"/>
  <c r="B28" i="7"/>
  <c r="C27" i="7"/>
  <c r="G26" i="7"/>
  <c r="F26" i="7"/>
  <c r="E26" i="7"/>
  <c r="D26" i="7"/>
  <c r="J22" i="7"/>
  <c r="I22" i="7"/>
  <c r="V22" i="7" s="1"/>
  <c r="G22" i="7"/>
  <c r="F22" i="7"/>
  <c r="W21" i="7"/>
  <c r="V21" i="7"/>
  <c r="T21" i="7"/>
  <c r="S21" i="7"/>
  <c r="Q21" i="7"/>
  <c r="P21" i="7"/>
  <c r="O21" i="7"/>
  <c r="K21" i="7"/>
  <c r="R21" i="7" s="1"/>
  <c r="H21" i="7"/>
  <c r="W20" i="7"/>
  <c r="V20" i="7"/>
  <c r="Q20" i="7"/>
  <c r="P20" i="7"/>
  <c r="T20" i="7" s="1"/>
  <c r="G41" i="7" s="1"/>
  <c r="O20" i="7"/>
  <c r="S20" i="7" s="1"/>
  <c r="F41" i="7" s="1"/>
  <c r="K20" i="7"/>
  <c r="R20" i="7" s="1"/>
  <c r="E41" i="7" s="1"/>
  <c r="H20" i="7"/>
  <c r="D41" i="7" s="1"/>
  <c r="W19" i="7"/>
  <c r="V19" i="7"/>
  <c r="S19" i="7"/>
  <c r="F40" i="7" s="1"/>
  <c r="Q19" i="7"/>
  <c r="P19" i="7"/>
  <c r="T19" i="7" s="1"/>
  <c r="G40" i="7" s="1"/>
  <c r="O19" i="7"/>
  <c r="K19" i="7"/>
  <c r="R19" i="7" s="1"/>
  <c r="E40" i="7" s="1"/>
  <c r="H19" i="7"/>
  <c r="D40" i="7" s="1"/>
  <c r="W18" i="7"/>
  <c r="V18" i="7"/>
  <c r="P18" i="7"/>
  <c r="T18" i="7" s="1"/>
  <c r="G39" i="7" s="1"/>
  <c r="O18" i="7"/>
  <c r="S18" i="7" s="1"/>
  <c r="F39" i="7" s="1"/>
  <c r="K18" i="7"/>
  <c r="R18" i="7" s="1"/>
  <c r="E39" i="7" s="1"/>
  <c r="H18" i="7"/>
  <c r="D39" i="7" s="1"/>
  <c r="W17" i="7"/>
  <c r="V17" i="7"/>
  <c r="R17" i="7"/>
  <c r="Q17" i="7"/>
  <c r="P17" i="7"/>
  <c r="T17" i="7" s="1"/>
  <c r="O17" i="7"/>
  <c r="S17" i="7" s="1"/>
  <c r="K17" i="7"/>
  <c r="H17" i="7"/>
  <c r="W16" i="7"/>
  <c r="V16" i="7"/>
  <c r="S16" i="7"/>
  <c r="R16" i="7"/>
  <c r="Q16" i="7"/>
  <c r="P16" i="7"/>
  <c r="T16" i="7" s="1"/>
  <c r="O16" i="7"/>
  <c r="H16" i="7"/>
  <c r="W15" i="7"/>
  <c r="V15" i="7"/>
  <c r="T15" i="7"/>
  <c r="G38" i="7" s="1"/>
  <c r="Q15" i="7"/>
  <c r="P15" i="7"/>
  <c r="O15" i="7"/>
  <c r="S15" i="7" s="1"/>
  <c r="F38" i="7" s="1"/>
  <c r="K15" i="7"/>
  <c r="R15" i="7" s="1"/>
  <c r="E38" i="7" s="1"/>
  <c r="H15" i="7"/>
  <c r="D38" i="7" s="1"/>
  <c r="W14" i="7"/>
  <c r="V14" i="7"/>
  <c r="Q14" i="7"/>
  <c r="P14" i="7"/>
  <c r="T14" i="7" s="1"/>
  <c r="G37" i="7" s="1"/>
  <c r="O14" i="7"/>
  <c r="S14" i="7" s="1"/>
  <c r="F37" i="7" s="1"/>
  <c r="K14" i="7"/>
  <c r="R14" i="7" s="1"/>
  <c r="E37" i="7" s="1"/>
  <c r="H14" i="7"/>
  <c r="D37" i="7" s="1"/>
  <c r="W13" i="7"/>
  <c r="V13" i="7"/>
  <c r="T13" i="7"/>
  <c r="G36" i="7" s="1"/>
  <c r="R13" i="7"/>
  <c r="E36" i="7" s="1"/>
  <c r="P13" i="7"/>
  <c r="O13" i="7"/>
  <c r="S13" i="7" s="1"/>
  <c r="F36" i="7" s="1"/>
  <c r="L13" i="7"/>
  <c r="L22" i="7" s="1"/>
  <c r="K13" i="7"/>
  <c r="H13" i="7"/>
  <c r="D36" i="7" s="1"/>
  <c r="W12" i="7"/>
  <c r="V12" i="7"/>
  <c r="Q12" i="7"/>
  <c r="P12" i="7"/>
  <c r="T12" i="7" s="1"/>
  <c r="G35" i="7" s="1"/>
  <c r="O12" i="7"/>
  <c r="S12" i="7" s="1"/>
  <c r="F35" i="7" s="1"/>
  <c r="K12" i="7"/>
  <c r="R12" i="7" s="1"/>
  <c r="E35" i="7" s="1"/>
  <c r="H12" i="7"/>
  <c r="D35" i="7" s="1"/>
  <c r="W11" i="7"/>
  <c r="V11" i="7"/>
  <c r="S11" i="7"/>
  <c r="Q11" i="7"/>
  <c r="P11" i="7"/>
  <c r="T11" i="7" s="1"/>
  <c r="O11" i="7"/>
  <c r="K11" i="7"/>
  <c r="R11" i="7" s="1"/>
  <c r="H11" i="7"/>
  <c r="W10" i="7"/>
  <c r="V10" i="7"/>
  <c r="Q10" i="7"/>
  <c r="P10" i="7"/>
  <c r="T10" i="7" s="1"/>
  <c r="G34" i="7" s="1"/>
  <c r="O10" i="7"/>
  <c r="S10" i="7" s="1"/>
  <c r="F34" i="7" s="1"/>
  <c r="K10" i="7"/>
  <c r="R10" i="7" s="1"/>
  <c r="H10" i="7"/>
  <c r="W9" i="7"/>
  <c r="V9" i="7"/>
  <c r="Q9" i="7"/>
  <c r="P9" i="7"/>
  <c r="T9" i="7" s="1"/>
  <c r="G33" i="7" s="1"/>
  <c r="O9" i="7"/>
  <c r="S9" i="7" s="1"/>
  <c r="F33" i="7" s="1"/>
  <c r="K9" i="7"/>
  <c r="R9" i="7" s="1"/>
  <c r="E33" i="7" s="1"/>
  <c r="H9" i="7"/>
  <c r="D33" i="7" s="1"/>
  <c r="W8" i="7"/>
  <c r="V8" i="7"/>
  <c r="T8" i="7"/>
  <c r="R8" i="7"/>
  <c r="E32" i="7" s="1"/>
  <c r="Q8" i="7"/>
  <c r="P8" i="7"/>
  <c r="O8" i="7"/>
  <c r="S8" i="7" s="1"/>
  <c r="F32" i="7" s="1"/>
  <c r="K8" i="7"/>
  <c r="H8" i="7"/>
  <c r="D32" i="7" s="1"/>
  <c r="W7" i="7"/>
  <c r="V7" i="7"/>
  <c r="R7" i="7"/>
  <c r="E31" i="7" s="1"/>
  <c r="Q7" i="7"/>
  <c r="P7" i="7"/>
  <c r="T7" i="7" s="1"/>
  <c r="G31" i="7" s="1"/>
  <c r="O7" i="7"/>
  <c r="S7" i="7" s="1"/>
  <c r="F31" i="7" s="1"/>
  <c r="K7" i="7"/>
  <c r="H7" i="7"/>
  <c r="W6" i="7"/>
  <c r="V6" i="7"/>
  <c r="R6" i="7"/>
  <c r="E30" i="7" s="1"/>
  <c r="Q6" i="7"/>
  <c r="P6" i="7"/>
  <c r="T6" i="7" s="1"/>
  <c r="G30" i="7" s="1"/>
  <c r="O6" i="7"/>
  <c r="S6" i="7" s="1"/>
  <c r="F30" i="7" s="1"/>
  <c r="K6" i="7"/>
  <c r="H6" i="7"/>
  <c r="D30" i="7" s="1"/>
  <c r="W5" i="7"/>
  <c r="V5" i="7"/>
  <c r="N5" i="7"/>
  <c r="M5" i="7"/>
  <c r="K5" i="7"/>
  <c r="R5" i="7" s="1"/>
  <c r="E29" i="7" s="1"/>
  <c r="H5" i="7"/>
  <c r="D29" i="7" s="1"/>
  <c r="W4" i="7"/>
  <c r="V4" i="7"/>
  <c r="R4" i="7"/>
  <c r="E28" i="7" s="1"/>
  <c r="N4" i="7"/>
  <c r="Q4" i="7" s="1"/>
  <c r="M4" i="7"/>
  <c r="K4" i="7"/>
  <c r="H4" i="7"/>
  <c r="D28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W3" i="7"/>
  <c r="V3" i="7"/>
  <c r="N3" i="7"/>
  <c r="M3" i="7"/>
  <c r="K3" i="7"/>
  <c r="R3" i="7" s="1"/>
  <c r="E27" i="7" s="1"/>
  <c r="H3" i="7"/>
  <c r="D27" i="7" s="1"/>
  <c r="D42" i="6"/>
  <c r="C42" i="6"/>
  <c r="C41" i="6"/>
  <c r="G40" i="6"/>
  <c r="C40" i="6"/>
  <c r="E39" i="6"/>
  <c r="C39" i="6"/>
  <c r="C38" i="6"/>
  <c r="C37" i="6"/>
  <c r="E36" i="6"/>
  <c r="C36" i="6"/>
  <c r="C35" i="6"/>
  <c r="C34" i="6"/>
  <c r="C33" i="6"/>
  <c r="C32" i="6"/>
  <c r="B32" i="6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C31" i="6"/>
  <c r="D30" i="6"/>
  <c r="C30" i="6"/>
  <c r="B30" i="6"/>
  <c r="B31" i="6" s="1"/>
  <c r="C29" i="6"/>
  <c r="B29" i="6"/>
  <c r="C28" i="6"/>
  <c r="G27" i="6"/>
  <c r="F27" i="6"/>
  <c r="E27" i="6"/>
  <c r="D27" i="6"/>
  <c r="J23" i="6"/>
  <c r="I23" i="6"/>
  <c r="V23" i="6" s="1"/>
  <c r="G23" i="6"/>
  <c r="H23" i="6" s="1"/>
  <c r="F23" i="6"/>
  <c r="W22" i="6"/>
  <c r="V22" i="6"/>
  <c r="T22" i="6"/>
  <c r="Q22" i="6"/>
  <c r="P22" i="6"/>
  <c r="O22" i="6"/>
  <c r="S22" i="6" s="1"/>
  <c r="K22" i="6"/>
  <c r="R22" i="6" s="1"/>
  <c r="H22" i="6"/>
  <c r="W21" i="6"/>
  <c r="V21" i="6"/>
  <c r="T21" i="6"/>
  <c r="Q21" i="6"/>
  <c r="P21" i="6"/>
  <c r="O21" i="6"/>
  <c r="S21" i="6" s="1"/>
  <c r="K21" i="6"/>
  <c r="R21" i="6" s="1"/>
  <c r="H21" i="6"/>
  <c r="W20" i="6"/>
  <c r="V20" i="6"/>
  <c r="Q20" i="6"/>
  <c r="P20" i="6"/>
  <c r="T20" i="6" s="1"/>
  <c r="G42" i="6" s="1"/>
  <c r="O20" i="6"/>
  <c r="S20" i="6" s="1"/>
  <c r="F42" i="6" s="1"/>
  <c r="K20" i="6"/>
  <c r="R20" i="6" s="1"/>
  <c r="E42" i="6" s="1"/>
  <c r="H20" i="6"/>
  <c r="W19" i="6"/>
  <c r="V19" i="6"/>
  <c r="T19" i="6"/>
  <c r="G41" i="6" s="1"/>
  <c r="R19" i="6"/>
  <c r="E41" i="6" s="1"/>
  <c r="Q19" i="6"/>
  <c r="P19" i="6"/>
  <c r="O19" i="6"/>
  <c r="S19" i="6" s="1"/>
  <c r="F41" i="6" s="1"/>
  <c r="K19" i="6"/>
  <c r="H19" i="6"/>
  <c r="D41" i="6" s="1"/>
  <c r="W18" i="6"/>
  <c r="V18" i="6"/>
  <c r="T18" i="6"/>
  <c r="S18" i="6"/>
  <c r="F40" i="6" s="1"/>
  <c r="R18" i="6"/>
  <c r="E40" i="6" s="1"/>
  <c r="K18" i="6"/>
  <c r="H18" i="6"/>
  <c r="D40" i="6" s="1"/>
  <c r="W17" i="6"/>
  <c r="V17" i="6"/>
  <c r="Q17" i="6"/>
  <c r="P17" i="6"/>
  <c r="T17" i="6" s="1"/>
  <c r="O17" i="6"/>
  <c r="S17" i="6" s="1"/>
  <c r="K17" i="6"/>
  <c r="R17" i="6" s="1"/>
  <c r="H17" i="6"/>
  <c r="W16" i="6"/>
  <c r="V16" i="6"/>
  <c r="R16" i="6"/>
  <c r="Q16" i="6"/>
  <c r="P16" i="6"/>
  <c r="T16" i="6" s="1"/>
  <c r="O16" i="6"/>
  <c r="S16" i="6" s="1"/>
  <c r="H16" i="6"/>
  <c r="W15" i="6"/>
  <c r="V15" i="6"/>
  <c r="T15" i="6"/>
  <c r="G39" i="6" s="1"/>
  <c r="R15" i="6"/>
  <c r="Q15" i="6"/>
  <c r="P15" i="6"/>
  <c r="O15" i="6"/>
  <c r="S15" i="6" s="1"/>
  <c r="F39" i="6" s="1"/>
  <c r="K15" i="6"/>
  <c r="H15" i="6"/>
  <c r="D39" i="6" s="1"/>
  <c r="W14" i="6"/>
  <c r="V14" i="6"/>
  <c r="Q14" i="6"/>
  <c r="P14" i="6"/>
  <c r="T14" i="6" s="1"/>
  <c r="G38" i="6" s="1"/>
  <c r="O14" i="6"/>
  <c r="S14" i="6" s="1"/>
  <c r="F38" i="6" s="1"/>
  <c r="K14" i="6"/>
  <c r="R14" i="6" s="1"/>
  <c r="E38" i="6" s="1"/>
  <c r="H14" i="6"/>
  <c r="D38" i="6" s="1"/>
  <c r="W13" i="6"/>
  <c r="V13" i="6"/>
  <c r="R13" i="6"/>
  <c r="E37" i="6" s="1"/>
  <c r="Q13" i="6"/>
  <c r="P13" i="6"/>
  <c r="T13" i="6" s="1"/>
  <c r="G37" i="6" s="1"/>
  <c r="O13" i="6"/>
  <c r="S13" i="6" s="1"/>
  <c r="F37" i="6" s="1"/>
  <c r="K13" i="6"/>
  <c r="H13" i="6"/>
  <c r="D37" i="6" s="1"/>
  <c r="W12" i="6"/>
  <c r="V12" i="6"/>
  <c r="S12" i="6"/>
  <c r="F36" i="6" s="1"/>
  <c r="R12" i="6"/>
  <c r="Q12" i="6"/>
  <c r="P12" i="6"/>
  <c r="T12" i="6" s="1"/>
  <c r="G36" i="6" s="1"/>
  <c r="O12" i="6"/>
  <c r="K12" i="6"/>
  <c r="H12" i="6"/>
  <c r="D36" i="6" s="1"/>
  <c r="W11" i="6"/>
  <c r="V11" i="6"/>
  <c r="T11" i="6"/>
  <c r="Q11" i="6"/>
  <c r="P11" i="6"/>
  <c r="O11" i="6"/>
  <c r="S11" i="6" s="1"/>
  <c r="K11" i="6"/>
  <c r="R11" i="6" s="1"/>
  <c r="H11" i="6"/>
  <c r="W10" i="6"/>
  <c r="V10" i="6"/>
  <c r="Q10" i="6"/>
  <c r="P10" i="6"/>
  <c r="T10" i="6" s="1"/>
  <c r="G35" i="6" s="1"/>
  <c r="O10" i="6"/>
  <c r="S10" i="6" s="1"/>
  <c r="F35" i="6" s="1"/>
  <c r="K10" i="6"/>
  <c r="R10" i="6" s="1"/>
  <c r="E35" i="6" s="1"/>
  <c r="H10" i="6"/>
  <c r="D35" i="6" s="1"/>
  <c r="W9" i="6"/>
  <c r="V9" i="6"/>
  <c r="T9" i="6"/>
  <c r="G34" i="6" s="1"/>
  <c r="R9" i="6"/>
  <c r="E34" i="6" s="1"/>
  <c r="Q9" i="6"/>
  <c r="P9" i="6"/>
  <c r="O9" i="6"/>
  <c r="S9" i="6" s="1"/>
  <c r="F34" i="6" s="1"/>
  <c r="K9" i="6"/>
  <c r="H9" i="6"/>
  <c r="D34" i="6" s="1"/>
  <c r="W8" i="6"/>
  <c r="V8" i="6"/>
  <c r="Q8" i="6"/>
  <c r="P8" i="6"/>
  <c r="T8" i="6" s="1"/>
  <c r="G33" i="6" s="1"/>
  <c r="O8" i="6"/>
  <c r="S8" i="6" s="1"/>
  <c r="F33" i="6" s="1"/>
  <c r="K8" i="6"/>
  <c r="R8" i="6" s="1"/>
  <c r="E33" i="6" s="1"/>
  <c r="H8" i="6"/>
  <c r="D33" i="6" s="1"/>
  <c r="W7" i="6"/>
  <c r="V7" i="6"/>
  <c r="R7" i="6"/>
  <c r="E32" i="6" s="1"/>
  <c r="Q7" i="6"/>
  <c r="P7" i="6"/>
  <c r="T7" i="6" s="1"/>
  <c r="G32" i="6" s="1"/>
  <c r="O7" i="6"/>
  <c r="S7" i="6" s="1"/>
  <c r="F32" i="6" s="1"/>
  <c r="K7" i="6"/>
  <c r="H7" i="6"/>
  <c r="D32" i="6" s="1"/>
  <c r="W6" i="6"/>
  <c r="V6" i="6"/>
  <c r="S6" i="6"/>
  <c r="F31" i="6" s="1"/>
  <c r="Q6" i="6"/>
  <c r="P6" i="6"/>
  <c r="T6" i="6" s="1"/>
  <c r="G31" i="6" s="1"/>
  <c r="O6" i="6"/>
  <c r="K6" i="6"/>
  <c r="R6" i="6" s="1"/>
  <c r="E31" i="6" s="1"/>
  <c r="H6" i="6"/>
  <c r="D31" i="6" s="1"/>
  <c r="W5" i="6"/>
  <c r="V5" i="6"/>
  <c r="N5" i="6"/>
  <c r="M5" i="6"/>
  <c r="K5" i="6"/>
  <c r="R5" i="6" s="1"/>
  <c r="E30" i="6" s="1"/>
  <c r="H5" i="6"/>
  <c r="W4" i="6"/>
  <c r="V4" i="6"/>
  <c r="R4" i="6"/>
  <c r="E29" i="6" s="1"/>
  <c r="N4" i="6"/>
  <c r="Q4" i="6" s="1"/>
  <c r="M4" i="6"/>
  <c r="K4" i="6"/>
  <c r="H4" i="6"/>
  <c r="D29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W3" i="6"/>
  <c r="V3" i="6"/>
  <c r="O3" i="6"/>
  <c r="S3" i="6" s="1"/>
  <c r="F28" i="6" s="1"/>
  <c r="N3" i="6"/>
  <c r="M3" i="6"/>
  <c r="L3" i="6"/>
  <c r="K3" i="6"/>
  <c r="R3" i="6" s="1"/>
  <c r="E28" i="6" s="1"/>
  <c r="H3" i="6"/>
  <c r="D28" i="6" s="1"/>
  <c r="C40" i="5"/>
  <c r="G39" i="5"/>
  <c r="C39" i="5"/>
  <c r="D38" i="5"/>
  <c r="C38" i="5"/>
  <c r="C37" i="5"/>
  <c r="C36" i="5"/>
  <c r="C35" i="5"/>
  <c r="C34" i="5"/>
  <c r="C33" i="5"/>
  <c r="E32" i="5"/>
  <c r="C32" i="5"/>
  <c r="C31" i="5"/>
  <c r="C30" i="5"/>
  <c r="C29" i="5"/>
  <c r="C28" i="5"/>
  <c r="B28" i="5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C27" i="5"/>
  <c r="B27" i="5"/>
  <c r="G26" i="5"/>
  <c r="C26" i="5"/>
  <c r="G25" i="5"/>
  <c r="F25" i="5"/>
  <c r="E25" i="5"/>
  <c r="D25" i="5"/>
  <c r="N21" i="5"/>
  <c r="M21" i="5"/>
  <c r="J21" i="5"/>
  <c r="W21" i="5" s="1"/>
  <c r="I21" i="5"/>
  <c r="G21" i="5"/>
  <c r="W20" i="5"/>
  <c r="V20" i="5"/>
  <c r="Q20" i="5"/>
  <c r="P20" i="5"/>
  <c r="T20" i="5" s="1"/>
  <c r="G40" i="5" s="1"/>
  <c r="O20" i="5"/>
  <c r="S20" i="5" s="1"/>
  <c r="F40" i="5" s="1"/>
  <c r="K20" i="5"/>
  <c r="R20" i="5" s="1"/>
  <c r="E40" i="5" s="1"/>
  <c r="H20" i="5"/>
  <c r="D40" i="5" s="1"/>
  <c r="W19" i="5"/>
  <c r="V19" i="5"/>
  <c r="Q19" i="5"/>
  <c r="P19" i="5"/>
  <c r="T19" i="5" s="1"/>
  <c r="O19" i="5"/>
  <c r="S19" i="5" s="1"/>
  <c r="F39" i="5" s="1"/>
  <c r="K19" i="5"/>
  <c r="R19" i="5" s="1"/>
  <c r="E39" i="5" s="1"/>
  <c r="H19" i="5"/>
  <c r="D39" i="5" s="1"/>
  <c r="W18" i="5"/>
  <c r="V18" i="5"/>
  <c r="T18" i="5"/>
  <c r="G38" i="5" s="1"/>
  <c r="S18" i="5"/>
  <c r="F38" i="5" s="1"/>
  <c r="Q18" i="5"/>
  <c r="K18" i="5"/>
  <c r="R18" i="5" s="1"/>
  <c r="E38" i="5" s="1"/>
  <c r="H18" i="5"/>
  <c r="W17" i="5"/>
  <c r="V17" i="5"/>
  <c r="P17" i="5"/>
  <c r="T17" i="5" s="1"/>
  <c r="O17" i="5"/>
  <c r="L17" i="5"/>
  <c r="Q17" i="5" s="1"/>
  <c r="K17" i="5"/>
  <c r="R17" i="5" s="1"/>
  <c r="H17" i="5"/>
  <c r="W16" i="5"/>
  <c r="V16" i="5"/>
  <c r="S16" i="5"/>
  <c r="R16" i="5"/>
  <c r="Q16" i="5"/>
  <c r="P16" i="5"/>
  <c r="T16" i="5" s="1"/>
  <c r="O16" i="5"/>
  <c r="H16" i="5"/>
  <c r="W15" i="5"/>
  <c r="V15" i="5"/>
  <c r="S15" i="5"/>
  <c r="F37" i="5" s="1"/>
  <c r="Q15" i="5"/>
  <c r="P15" i="5"/>
  <c r="T15" i="5" s="1"/>
  <c r="G37" i="5" s="1"/>
  <c r="O15" i="5"/>
  <c r="K15" i="5"/>
  <c r="R15" i="5" s="1"/>
  <c r="E37" i="5" s="1"/>
  <c r="H15" i="5"/>
  <c r="D37" i="5" s="1"/>
  <c r="W14" i="5"/>
  <c r="V14" i="5"/>
  <c r="T14" i="5"/>
  <c r="G36" i="5" s="1"/>
  <c r="Q14" i="5"/>
  <c r="P14" i="5"/>
  <c r="O14" i="5"/>
  <c r="S14" i="5" s="1"/>
  <c r="F36" i="5" s="1"/>
  <c r="K14" i="5"/>
  <c r="R14" i="5" s="1"/>
  <c r="E36" i="5" s="1"/>
  <c r="H14" i="5"/>
  <c r="D36" i="5" s="1"/>
  <c r="W13" i="5"/>
  <c r="V13" i="5"/>
  <c r="R13" i="5"/>
  <c r="E35" i="5" s="1"/>
  <c r="P13" i="5"/>
  <c r="O13" i="5"/>
  <c r="L13" i="5"/>
  <c r="Q13" i="5" s="1"/>
  <c r="K13" i="5"/>
  <c r="H13" i="5"/>
  <c r="D35" i="5" s="1"/>
  <c r="W12" i="5"/>
  <c r="V12" i="5"/>
  <c r="S12" i="5"/>
  <c r="F34" i="5" s="1"/>
  <c r="Q12" i="5"/>
  <c r="P12" i="5"/>
  <c r="T12" i="5" s="1"/>
  <c r="G34" i="5" s="1"/>
  <c r="O12" i="5"/>
  <c r="K12" i="5"/>
  <c r="R12" i="5" s="1"/>
  <c r="E34" i="5" s="1"/>
  <c r="H12" i="5"/>
  <c r="D34" i="5" s="1"/>
  <c r="W11" i="5"/>
  <c r="V11" i="5"/>
  <c r="Q11" i="5"/>
  <c r="P11" i="5"/>
  <c r="T11" i="5" s="1"/>
  <c r="O11" i="5"/>
  <c r="S11" i="5" s="1"/>
  <c r="K11" i="5"/>
  <c r="R11" i="5" s="1"/>
  <c r="H11" i="5"/>
  <c r="W10" i="5"/>
  <c r="V10" i="5"/>
  <c r="Q10" i="5"/>
  <c r="P10" i="5"/>
  <c r="T10" i="5" s="1"/>
  <c r="G33" i="5" s="1"/>
  <c r="O10" i="5"/>
  <c r="S10" i="5" s="1"/>
  <c r="F33" i="5" s="1"/>
  <c r="K10" i="5"/>
  <c r="R10" i="5" s="1"/>
  <c r="E33" i="5" s="1"/>
  <c r="H10" i="5"/>
  <c r="D33" i="5" s="1"/>
  <c r="W9" i="5"/>
  <c r="V9" i="5"/>
  <c r="S9" i="5"/>
  <c r="F32" i="5" s="1"/>
  <c r="Q9" i="5"/>
  <c r="P9" i="5"/>
  <c r="T9" i="5" s="1"/>
  <c r="G32" i="5" s="1"/>
  <c r="O9" i="5"/>
  <c r="K9" i="5"/>
  <c r="R9" i="5" s="1"/>
  <c r="H9" i="5"/>
  <c r="D32" i="5" s="1"/>
  <c r="W8" i="5"/>
  <c r="V8" i="5"/>
  <c r="R8" i="5"/>
  <c r="E31" i="5" s="1"/>
  <c r="Q8" i="5"/>
  <c r="P8" i="5"/>
  <c r="T8" i="5" s="1"/>
  <c r="G31" i="5" s="1"/>
  <c r="O8" i="5"/>
  <c r="S8" i="5" s="1"/>
  <c r="F31" i="5" s="1"/>
  <c r="K8" i="5"/>
  <c r="H8" i="5"/>
  <c r="D31" i="5" s="1"/>
  <c r="W7" i="5"/>
  <c r="V7" i="5"/>
  <c r="S7" i="5"/>
  <c r="F30" i="5" s="1"/>
  <c r="Q7" i="5"/>
  <c r="P7" i="5"/>
  <c r="T7" i="5" s="1"/>
  <c r="G30" i="5" s="1"/>
  <c r="O7" i="5"/>
  <c r="K7" i="5"/>
  <c r="R7" i="5" s="1"/>
  <c r="E30" i="5" s="1"/>
  <c r="H7" i="5"/>
  <c r="D30" i="5" s="1"/>
  <c r="W6" i="5"/>
  <c r="V6" i="5"/>
  <c r="T6" i="5"/>
  <c r="G29" i="5" s="1"/>
  <c r="Q6" i="5"/>
  <c r="P6" i="5"/>
  <c r="O6" i="5"/>
  <c r="S6" i="5" s="1"/>
  <c r="F29" i="5" s="1"/>
  <c r="K6" i="5"/>
  <c r="R6" i="5" s="1"/>
  <c r="E29" i="5" s="1"/>
  <c r="H6" i="5"/>
  <c r="D29" i="5" s="1"/>
  <c r="W5" i="5"/>
  <c r="V5" i="5"/>
  <c r="R5" i="5"/>
  <c r="E28" i="5" s="1"/>
  <c r="Q5" i="5"/>
  <c r="P5" i="5"/>
  <c r="T5" i="5" s="1"/>
  <c r="G28" i="5" s="1"/>
  <c r="O5" i="5"/>
  <c r="S5" i="5" s="1"/>
  <c r="F28" i="5" s="1"/>
  <c r="L5" i="5"/>
  <c r="K5" i="5"/>
  <c r="F5" i="5"/>
  <c r="F21" i="5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W4" i="5"/>
  <c r="V4" i="5"/>
  <c r="Q4" i="5"/>
  <c r="P4" i="5"/>
  <c r="T4" i="5" s="1"/>
  <c r="G27" i="5" s="1"/>
  <c r="O4" i="5"/>
  <c r="S4" i="5" s="1"/>
  <c r="F27" i="5" s="1"/>
  <c r="K4" i="5"/>
  <c r="R4" i="5" s="1"/>
  <c r="E27" i="5" s="1"/>
  <c r="H4" i="5"/>
  <c r="D27" i="5" s="1"/>
  <c r="A4" i="5"/>
  <c r="W3" i="5"/>
  <c r="V3" i="5"/>
  <c r="R3" i="5"/>
  <c r="E26" i="5" s="1"/>
  <c r="Q3" i="5"/>
  <c r="P3" i="5"/>
  <c r="T3" i="5" s="1"/>
  <c r="O3" i="5"/>
  <c r="S3" i="5" s="1"/>
  <c r="F26" i="5" s="1"/>
  <c r="L3" i="5"/>
  <c r="L21" i="5" s="1"/>
  <c r="Q21" i="5" s="1"/>
  <c r="K3" i="5"/>
  <c r="H3" i="5"/>
  <c r="D26" i="5" s="1"/>
  <c r="C40" i="4"/>
  <c r="C39" i="4"/>
  <c r="C38" i="4"/>
  <c r="C37" i="4"/>
  <c r="G36" i="4"/>
  <c r="C36" i="4"/>
  <c r="C35" i="4"/>
  <c r="C34" i="4"/>
  <c r="C33" i="4"/>
  <c r="C32" i="4"/>
  <c r="D31" i="4"/>
  <c r="C31" i="4"/>
  <c r="D30" i="4"/>
  <c r="C30" i="4"/>
  <c r="C29" i="4"/>
  <c r="C28" i="4"/>
  <c r="C27" i="4"/>
  <c r="B27" i="4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C26" i="4"/>
  <c r="G25" i="4"/>
  <c r="F25" i="4"/>
  <c r="E25" i="4"/>
  <c r="D25" i="4"/>
  <c r="N21" i="4"/>
  <c r="P21" i="4" s="1"/>
  <c r="M21" i="4"/>
  <c r="J21" i="4"/>
  <c r="I21" i="4"/>
  <c r="G21" i="4"/>
  <c r="H21" i="4" s="1"/>
  <c r="F21" i="4"/>
  <c r="W20" i="4"/>
  <c r="V20" i="4"/>
  <c r="T20" i="4"/>
  <c r="G40" i="4" s="1"/>
  <c r="S20" i="4"/>
  <c r="F40" i="4" s="1"/>
  <c r="Q20" i="4"/>
  <c r="P20" i="4"/>
  <c r="O20" i="4"/>
  <c r="K20" i="4"/>
  <c r="R20" i="4" s="1"/>
  <c r="E40" i="4" s="1"/>
  <c r="H20" i="4"/>
  <c r="D40" i="4" s="1"/>
  <c r="W19" i="4"/>
  <c r="V19" i="4"/>
  <c r="S19" i="4"/>
  <c r="F39" i="4" s="1"/>
  <c r="Q19" i="4"/>
  <c r="P19" i="4"/>
  <c r="T19" i="4" s="1"/>
  <c r="G39" i="4" s="1"/>
  <c r="O19" i="4"/>
  <c r="K19" i="4"/>
  <c r="R19" i="4" s="1"/>
  <c r="E39" i="4" s="1"/>
  <c r="H19" i="4"/>
  <c r="D39" i="4" s="1"/>
  <c r="W18" i="4"/>
  <c r="V18" i="4"/>
  <c r="T18" i="4"/>
  <c r="G38" i="4" s="1"/>
  <c r="S18" i="4"/>
  <c r="F38" i="4" s="1"/>
  <c r="Q18" i="4"/>
  <c r="K18" i="4"/>
  <c r="R18" i="4" s="1"/>
  <c r="E38" i="4" s="1"/>
  <c r="H18" i="4"/>
  <c r="D38" i="4" s="1"/>
  <c r="W17" i="4"/>
  <c r="V17" i="4"/>
  <c r="S17" i="4"/>
  <c r="Q17" i="4"/>
  <c r="P17" i="4"/>
  <c r="O17" i="4"/>
  <c r="L17" i="4"/>
  <c r="K17" i="4"/>
  <c r="R17" i="4" s="1"/>
  <c r="H17" i="4"/>
  <c r="W16" i="4"/>
  <c r="V16" i="4"/>
  <c r="R16" i="4"/>
  <c r="Q16" i="4"/>
  <c r="P16" i="4"/>
  <c r="T16" i="4" s="1"/>
  <c r="O16" i="4"/>
  <c r="S16" i="4" s="1"/>
  <c r="H16" i="4"/>
  <c r="W15" i="4"/>
  <c r="V15" i="4"/>
  <c r="Q15" i="4"/>
  <c r="P15" i="4"/>
  <c r="T15" i="4" s="1"/>
  <c r="G37" i="4" s="1"/>
  <c r="O15" i="4"/>
  <c r="S15" i="4" s="1"/>
  <c r="F37" i="4" s="1"/>
  <c r="K15" i="4"/>
  <c r="R15" i="4" s="1"/>
  <c r="E37" i="4" s="1"/>
  <c r="H15" i="4"/>
  <c r="D37" i="4" s="1"/>
  <c r="W14" i="4"/>
  <c r="V14" i="4"/>
  <c r="R14" i="4"/>
  <c r="E36" i="4" s="1"/>
  <c r="Q14" i="4"/>
  <c r="P14" i="4"/>
  <c r="T14" i="4" s="1"/>
  <c r="O14" i="4"/>
  <c r="S14" i="4" s="1"/>
  <c r="F36" i="4" s="1"/>
  <c r="K14" i="4"/>
  <c r="H14" i="4"/>
  <c r="D36" i="4" s="1"/>
  <c r="W13" i="4"/>
  <c r="V13" i="4"/>
  <c r="Q13" i="4"/>
  <c r="P13" i="4"/>
  <c r="T13" i="4" s="1"/>
  <c r="G35" i="4" s="1"/>
  <c r="O13" i="4"/>
  <c r="S13" i="4" s="1"/>
  <c r="F35" i="4" s="1"/>
  <c r="K13" i="4"/>
  <c r="R13" i="4" s="1"/>
  <c r="E35" i="4" s="1"/>
  <c r="H13" i="4"/>
  <c r="D35" i="4" s="1"/>
  <c r="W12" i="4"/>
  <c r="V12" i="4"/>
  <c r="T12" i="4"/>
  <c r="G34" i="4" s="1"/>
  <c r="Q12" i="4"/>
  <c r="P12" i="4"/>
  <c r="O12" i="4"/>
  <c r="S12" i="4" s="1"/>
  <c r="F34" i="4" s="1"/>
  <c r="K12" i="4"/>
  <c r="R12" i="4" s="1"/>
  <c r="E34" i="4" s="1"/>
  <c r="H12" i="4"/>
  <c r="D34" i="4" s="1"/>
  <c r="W11" i="4"/>
  <c r="V11" i="4"/>
  <c r="Q11" i="4"/>
  <c r="P11" i="4"/>
  <c r="T11" i="4" s="1"/>
  <c r="O11" i="4"/>
  <c r="S11" i="4" s="1"/>
  <c r="K11" i="4"/>
  <c r="R11" i="4" s="1"/>
  <c r="H11" i="4"/>
  <c r="W10" i="4"/>
  <c r="V10" i="4"/>
  <c r="T10" i="4"/>
  <c r="G33" i="4" s="1"/>
  <c r="Q10" i="4"/>
  <c r="P10" i="4"/>
  <c r="O10" i="4"/>
  <c r="S10" i="4" s="1"/>
  <c r="F33" i="4" s="1"/>
  <c r="K10" i="4"/>
  <c r="R10" i="4" s="1"/>
  <c r="E33" i="4" s="1"/>
  <c r="H10" i="4"/>
  <c r="D33" i="4" s="1"/>
  <c r="W9" i="4"/>
  <c r="V9" i="4"/>
  <c r="T9" i="4"/>
  <c r="G32" i="4" s="1"/>
  <c r="Q9" i="4"/>
  <c r="P9" i="4"/>
  <c r="O9" i="4"/>
  <c r="S9" i="4" s="1"/>
  <c r="F32" i="4" s="1"/>
  <c r="K9" i="4"/>
  <c r="R9" i="4" s="1"/>
  <c r="E32" i="4" s="1"/>
  <c r="H9" i="4"/>
  <c r="D32" i="4" s="1"/>
  <c r="W8" i="4"/>
  <c r="V8" i="4"/>
  <c r="Q8" i="4"/>
  <c r="P8" i="4"/>
  <c r="T8" i="4" s="1"/>
  <c r="G31" i="4" s="1"/>
  <c r="O8" i="4"/>
  <c r="S8" i="4" s="1"/>
  <c r="F31" i="4" s="1"/>
  <c r="K8" i="4"/>
  <c r="R8" i="4" s="1"/>
  <c r="E31" i="4" s="1"/>
  <c r="H8" i="4"/>
  <c r="W7" i="4"/>
  <c r="V7" i="4"/>
  <c r="S7" i="4"/>
  <c r="F30" i="4" s="1"/>
  <c r="Q7" i="4"/>
  <c r="P7" i="4"/>
  <c r="T7" i="4" s="1"/>
  <c r="G30" i="4" s="1"/>
  <c r="O7" i="4"/>
  <c r="K7" i="4"/>
  <c r="R7" i="4" s="1"/>
  <c r="E30" i="4" s="1"/>
  <c r="H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W6" i="4"/>
  <c r="V6" i="4"/>
  <c r="Q6" i="4"/>
  <c r="P6" i="4"/>
  <c r="T6" i="4" s="1"/>
  <c r="G29" i="4" s="1"/>
  <c r="O6" i="4"/>
  <c r="S6" i="4" s="1"/>
  <c r="F29" i="4" s="1"/>
  <c r="K6" i="4"/>
  <c r="R6" i="4" s="1"/>
  <c r="E29" i="4" s="1"/>
  <c r="H6" i="4"/>
  <c r="D29" i="4" s="1"/>
  <c r="W5" i="4"/>
  <c r="V5" i="4"/>
  <c r="S5" i="4"/>
  <c r="F28" i="4" s="1"/>
  <c r="Q5" i="4"/>
  <c r="P5" i="4"/>
  <c r="T5" i="4" s="1"/>
  <c r="G28" i="4" s="1"/>
  <c r="O5" i="4"/>
  <c r="K5" i="4"/>
  <c r="R5" i="4" s="1"/>
  <c r="E28" i="4" s="1"/>
  <c r="H5" i="4"/>
  <c r="D28" i="4" s="1"/>
  <c r="W4" i="4"/>
  <c r="V4" i="4"/>
  <c r="S4" i="4"/>
  <c r="F27" i="4" s="1"/>
  <c r="Q4" i="4"/>
  <c r="P4" i="4"/>
  <c r="T4" i="4" s="1"/>
  <c r="G27" i="4" s="1"/>
  <c r="O4" i="4"/>
  <c r="K4" i="4"/>
  <c r="R4" i="4" s="1"/>
  <c r="E27" i="4" s="1"/>
  <c r="H4" i="4"/>
  <c r="D27" i="4" s="1"/>
  <c r="A4" i="4"/>
  <c r="A5" i="4" s="1"/>
  <c r="A6" i="4" s="1"/>
  <c r="W3" i="4"/>
  <c r="V3" i="4"/>
  <c r="R3" i="4"/>
  <c r="E26" i="4" s="1"/>
  <c r="P3" i="4"/>
  <c r="O3" i="4"/>
  <c r="L3" i="4"/>
  <c r="K3" i="4"/>
  <c r="H3" i="4"/>
  <c r="D26" i="4" s="1"/>
  <c r="D43" i="3"/>
  <c r="C43" i="3"/>
  <c r="C42" i="3"/>
  <c r="C41" i="3"/>
  <c r="D40" i="3"/>
  <c r="C40" i="3"/>
  <c r="C39" i="3"/>
  <c r="C38" i="3"/>
  <c r="C37" i="3"/>
  <c r="D36" i="3"/>
  <c r="C36" i="3"/>
  <c r="C35" i="3"/>
  <c r="C34" i="3"/>
  <c r="C33" i="3"/>
  <c r="F32" i="3"/>
  <c r="C32" i="3"/>
  <c r="C31" i="3"/>
  <c r="C30" i="3"/>
  <c r="C29" i="3"/>
  <c r="D28" i="3"/>
  <c r="C28" i="3"/>
  <c r="D27" i="3"/>
  <c r="C27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C26" i="3"/>
  <c r="G25" i="3"/>
  <c r="F25" i="3"/>
  <c r="E25" i="3"/>
  <c r="D25" i="3"/>
  <c r="N21" i="3"/>
  <c r="M21" i="3"/>
  <c r="P21" i="3" s="1"/>
  <c r="J21" i="3"/>
  <c r="I21" i="3"/>
  <c r="V21" i="3" s="1"/>
  <c r="G21" i="3"/>
  <c r="H21" i="3" s="1"/>
  <c r="F21" i="3"/>
  <c r="W20" i="3"/>
  <c r="V20" i="3"/>
  <c r="Q20" i="3"/>
  <c r="P20" i="3"/>
  <c r="T20" i="3" s="1"/>
  <c r="G43" i="3" s="1"/>
  <c r="O20" i="3"/>
  <c r="S20" i="3" s="1"/>
  <c r="F43" i="3" s="1"/>
  <c r="K20" i="3"/>
  <c r="R20" i="3" s="1"/>
  <c r="E43" i="3" s="1"/>
  <c r="H20" i="3"/>
  <c r="W19" i="3"/>
  <c r="V19" i="3"/>
  <c r="Q19" i="3"/>
  <c r="P19" i="3"/>
  <c r="T19" i="3" s="1"/>
  <c r="G42" i="3" s="1"/>
  <c r="O19" i="3"/>
  <c r="S19" i="3" s="1"/>
  <c r="F42" i="3" s="1"/>
  <c r="K19" i="3"/>
  <c r="R19" i="3" s="1"/>
  <c r="E42" i="3" s="1"/>
  <c r="H19" i="3"/>
  <c r="D42" i="3" s="1"/>
  <c r="W18" i="3"/>
  <c r="V18" i="3"/>
  <c r="R18" i="3"/>
  <c r="E41" i="3" s="1"/>
  <c r="Q18" i="3"/>
  <c r="P18" i="3"/>
  <c r="T18" i="3" s="1"/>
  <c r="G41" i="3" s="1"/>
  <c r="O18" i="3"/>
  <c r="S18" i="3" s="1"/>
  <c r="F41" i="3" s="1"/>
  <c r="K18" i="3"/>
  <c r="H18" i="3"/>
  <c r="D41" i="3" s="1"/>
  <c r="W17" i="3"/>
  <c r="V17" i="3"/>
  <c r="T17" i="3"/>
  <c r="G40" i="3" s="1"/>
  <c r="S17" i="3"/>
  <c r="F40" i="3" s="1"/>
  <c r="R17" i="3"/>
  <c r="E40" i="3" s="1"/>
  <c r="Q17" i="3"/>
  <c r="K17" i="3"/>
  <c r="H17" i="3"/>
  <c r="W16" i="3"/>
  <c r="V16" i="3"/>
  <c r="T16" i="3"/>
  <c r="G39" i="3" s="1"/>
  <c r="S16" i="3"/>
  <c r="F39" i="3" s="1"/>
  <c r="Q16" i="3"/>
  <c r="P16" i="3"/>
  <c r="O16" i="3"/>
  <c r="K16" i="3"/>
  <c r="R16" i="3" s="1"/>
  <c r="E39" i="3" s="1"/>
  <c r="H16" i="3"/>
  <c r="D39" i="3" s="1"/>
  <c r="W15" i="3"/>
  <c r="V15" i="3"/>
  <c r="Q15" i="3"/>
  <c r="P15" i="3"/>
  <c r="T15" i="3" s="1"/>
  <c r="G38" i="3" s="1"/>
  <c r="O15" i="3"/>
  <c r="S15" i="3" s="1"/>
  <c r="F38" i="3" s="1"/>
  <c r="K15" i="3"/>
  <c r="R15" i="3" s="1"/>
  <c r="E38" i="3" s="1"/>
  <c r="H15" i="3"/>
  <c r="D38" i="3" s="1"/>
  <c r="W14" i="3"/>
  <c r="V14" i="3"/>
  <c r="S14" i="3"/>
  <c r="F37" i="3" s="1"/>
  <c r="R14" i="3"/>
  <c r="E37" i="3" s="1"/>
  <c r="Q14" i="3"/>
  <c r="P14" i="3"/>
  <c r="T14" i="3" s="1"/>
  <c r="G37" i="3" s="1"/>
  <c r="O14" i="3"/>
  <c r="K14" i="3"/>
  <c r="H14" i="3"/>
  <c r="D37" i="3" s="1"/>
  <c r="W13" i="3"/>
  <c r="V13" i="3"/>
  <c r="Q13" i="3"/>
  <c r="P13" i="3"/>
  <c r="T13" i="3" s="1"/>
  <c r="G36" i="3" s="1"/>
  <c r="O13" i="3"/>
  <c r="S13" i="3" s="1"/>
  <c r="F36" i="3" s="1"/>
  <c r="K13" i="3"/>
  <c r="R13" i="3" s="1"/>
  <c r="E36" i="3" s="1"/>
  <c r="H13" i="3"/>
  <c r="W12" i="3"/>
  <c r="V12" i="3"/>
  <c r="R12" i="3"/>
  <c r="E35" i="3" s="1"/>
  <c r="Q12" i="3"/>
  <c r="P12" i="3"/>
  <c r="T12" i="3" s="1"/>
  <c r="G35" i="3" s="1"/>
  <c r="O12" i="3"/>
  <c r="S12" i="3" s="1"/>
  <c r="F35" i="3" s="1"/>
  <c r="K12" i="3"/>
  <c r="H12" i="3"/>
  <c r="D35" i="3" s="1"/>
  <c r="W11" i="3"/>
  <c r="V11" i="3"/>
  <c r="T11" i="3"/>
  <c r="G34" i="3" s="1"/>
  <c r="R11" i="3"/>
  <c r="E34" i="3" s="1"/>
  <c r="Q11" i="3"/>
  <c r="P11" i="3"/>
  <c r="O11" i="3"/>
  <c r="S11" i="3" s="1"/>
  <c r="F34" i="3" s="1"/>
  <c r="K11" i="3"/>
  <c r="H11" i="3"/>
  <c r="D34" i="3" s="1"/>
  <c r="W10" i="3"/>
  <c r="V10" i="3"/>
  <c r="Q10" i="3"/>
  <c r="P10" i="3"/>
  <c r="T10" i="3" s="1"/>
  <c r="G33" i="3" s="1"/>
  <c r="O10" i="3"/>
  <c r="S10" i="3" s="1"/>
  <c r="F33" i="3" s="1"/>
  <c r="K10" i="3"/>
  <c r="R10" i="3" s="1"/>
  <c r="E33" i="3" s="1"/>
  <c r="H10" i="3"/>
  <c r="D33" i="3" s="1"/>
  <c r="W9" i="3"/>
  <c r="V9" i="3"/>
  <c r="S9" i="3"/>
  <c r="Q9" i="3"/>
  <c r="P9" i="3"/>
  <c r="T9" i="3" s="1"/>
  <c r="G32" i="3" s="1"/>
  <c r="O9" i="3"/>
  <c r="K9" i="3"/>
  <c r="R9" i="3" s="1"/>
  <c r="E32" i="3" s="1"/>
  <c r="H9" i="3"/>
  <c r="D32" i="3" s="1"/>
  <c r="W8" i="3"/>
  <c r="V8" i="3"/>
  <c r="T8" i="3"/>
  <c r="G31" i="3" s="1"/>
  <c r="Q8" i="3"/>
  <c r="P8" i="3"/>
  <c r="O8" i="3"/>
  <c r="S8" i="3" s="1"/>
  <c r="F31" i="3" s="1"/>
  <c r="K8" i="3"/>
  <c r="R8" i="3" s="1"/>
  <c r="E31" i="3" s="1"/>
  <c r="H8" i="3"/>
  <c r="D31" i="3" s="1"/>
  <c r="W7" i="3"/>
  <c r="V7" i="3"/>
  <c r="Q7" i="3"/>
  <c r="P7" i="3"/>
  <c r="T7" i="3" s="1"/>
  <c r="G30" i="3" s="1"/>
  <c r="O7" i="3"/>
  <c r="S7" i="3" s="1"/>
  <c r="F30" i="3" s="1"/>
  <c r="K7" i="3"/>
  <c r="R7" i="3" s="1"/>
  <c r="E30" i="3" s="1"/>
  <c r="H7" i="3"/>
  <c r="D30" i="3" s="1"/>
  <c r="W6" i="3"/>
  <c r="V6" i="3"/>
  <c r="S6" i="3"/>
  <c r="F29" i="3" s="1"/>
  <c r="Q6" i="3"/>
  <c r="P6" i="3"/>
  <c r="T6" i="3" s="1"/>
  <c r="G29" i="3" s="1"/>
  <c r="O6" i="3"/>
  <c r="K6" i="3"/>
  <c r="R6" i="3" s="1"/>
  <c r="E29" i="3" s="1"/>
  <c r="H6" i="3"/>
  <c r="D29" i="3" s="1"/>
  <c r="W5" i="3"/>
  <c r="V5" i="3"/>
  <c r="T5" i="3"/>
  <c r="G28" i="3" s="1"/>
  <c r="Q5" i="3"/>
  <c r="P5" i="3"/>
  <c r="O5" i="3"/>
  <c r="S5" i="3" s="1"/>
  <c r="F28" i="3" s="1"/>
  <c r="K5" i="3"/>
  <c r="R5" i="3" s="1"/>
  <c r="E28" i="3" s="1"/>
  <c r="H5" i="3"/>
  <c r="W4" i="3"/>
  <c r="V4" i="3"/>
  <c r="Q4" i="3"/>
  <c r="P4" i="3"/>
  <c r="T4" i="3" s="1"/>
  <c r="G27" i="3" s="1"/>
  <c r="O4" i="3"/>
  <c r="S4" i="3" s="1"/>
  <c r="F27" i="3" s="1"/>
  <c r="K4" i="3"/>
  <c r="R4" i="3" s="1"/>
  <c r="E27" i="3" s="1"/>
  <c r="H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W3" i="3"/>
  <c r="V3" i="3"/>
  <c r="R3" i="3"/>
  <c r="E26" i="3" s="1"/>
  <c r="P3" i="3"/>
  <c r="T3" i="3" s="1"/>
  <c r="G26" i="3" s="1"/>
  <c r="O3" i="3"/>
  <c r="S3" i="3" s="1"/>
  <c r="F26" i="3" s="1"/>
  <c r="L3" i="3"/>
  <c r="Q3" i="3" s="1"/>
  <c r="K3" i="3"/>
  <c r="H3" i="3"/>
  <c r="D26" i="3" s="1"/>
  <c r="C43" i="2"/>
  <c r="C42" i="2"/>
  <c r="C41" i="2"/>
  <c r="C40" i="2"/>
  <c r="C39" i="2"/>
  <c r="C38" i="2"/>
  <c r="C37" i="2"/>
  <c r="D36" i="2"/>
  <c r="C36" i="2"/>
  <c r="C35" i="2"/>
  <c r="C34" i="2"/>
  <c r="C33" i="2"/>
  <c r="C32" i="2"/>
  <c r="C31" i="2"/>
  <c r="C30" i="2"/>
  <c r="C29" i="2"/>
  <c r="B29" i="2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C28" i="2"/>
  <c r="B28" i="2"/>
  <c r="C27" i="2"/>
  <c r="B27" i="2"/>
  <c r="D26" i="2"/>
  <c r="C26" i="2"/>
  <c r="G25" i="2"/>
  <c r="F25" i="2"/>
  <c r="E25" i="2"/>
  <c r="D25" i="2"/>
  <c r="N21" i="2"/>
  <c r="M21" i="2"/>
  <c r="P21" i="2" s="1"/>
  <c r="J21" i="2"/>
  <c r="W21" i="2" s="1"/>
  <c r="I21" i="2"/>
  <c r="K21" i="2" s="1"/>
  <c r="R21" i="2" s="1"/>
  <c r="G21" i="2"/>
  <c r="H21" i="2" s="1"/>
  <c r="F21" i="2"/>
  <c r="W20" i="2"/>
  <c r="V20" i="2"/>
  <c r="Q20" i="2"/>
  <c r="P20" i="2"/>
  <c r="T20" i="2" s="1"/>
  <c r="G43" i="2" s="1"/>
  <c r="O20" i="2"/>
  <c r="S20" i="2" s="1"/>
  <c r="F43" i="2" s="1"/>
  <c r="K20" i="2"/>
  <c r="R20" i="2" s="1"/>
  <c r="E43" i="2" s="1"/>
  <c r="H20" i="2"/>
  <c r="D43" i="2" s="1"/>
  <c r="W19" i="2"/>
  <c r="V19" i="2"/>
  <c r="R19" i="2"/>
  <c r="E42" i="2" s="1"/>
  <c r="Q19" i="2"/>
  <c r="P19" i="2"/>
  <c r="T19" i="2" s="1"/>
  <c r="G42" i="2" s="1"/>
  <c r="O19" i="2"/>
  <c r="S19" i="2" s="1"/>
  <c r="F42" i="2" s="1"/>
  <c r="K19" i="2"/>
  <c r="H19" i="2"/>
  <c r="D42" i="2" s="1"/>
  <c r="W18" i="2"/>
  <c r="V18" i="2"/>
  <c r="R18" i="2"/>
  <c r="E41" i="2" s="1"/>
  <c r="Q18" i="2"/>
  <c r="P18" i="2"/>
  <c r="T18" i="2" s="1"/>
  <c r="G41" i="2" s="1"/>
  <c r="O18" i="2"/>
  <c r="S18" i="2" s="1"/>
  <c r="F41" i="2" s="1"/>
  <c r="K18" i="2"/>
  <c r="H18" i="2"/>
  <c r="D41" i="2" s="1"/>
  <c r="W17" i="2"/>
  <c r="V17" i="2"/>
  <c r="T17" i="2"/>
  <c r="G40" i="2" s="1"/>
  <c r="S17" i="2"/>
  <c r="F40" i="2" s="1"/>
  <c r="R17" i="2"/>
  <c r="E40" i="2" s="1"/>
  <c r="Q17" i="2"/>
  <c r="K17" i="2"/>
  <c r="H17" i="2"/>
  <c r="D40" i="2" s="1"/>
  <c r="W16" i="2"/>
  <c r="V16" i="2"/>
  <c r="Q16" i="2"/>
  <c r="P16" i="2"/>
  <c r="T16" i="2" s="1"/>
  <c r="G39" i="2" s="1"/>
  <c r="O16" i="2"/>
  <c r="S16" i="2" s="1"/>
  <c r="F39" i="2" s="1"/>
  <c r="L16" i="2"/>
  <c r="K16" i="2"/>
  <c r="R16" i="2" s="1"/>
  <c r="E39" i="2" s="1"/>
  <c r="H16" i="2"/>
  <c r="D39" i="2" s="1"/>
  <c r="W15" i="2"/>
  <c r="V15" i="2"/>
  <c r="P15" i="2"/>
  <c r="O15" i="2"/>
  <c r="S15" i="2" s="1"/>
  <c r="F38" i="2" s="1"/>
  <c r="L15" i="2"/>
  <c r="L21" i="2" s="1"/>
  <c r="Q21" i="2" s="1"/>
  <c r="K15" i="2"/>
  <c r="R15" i="2" s="1"/>
  <c r="E38" i="2" s="1"/>
  <c r="H15" i="2"/>
  <c r="D38" i="2" s="1"/>
  <c r="W14" i="2"/>
  <c r="V14" i="2"/>
  <c r="Q14" i="2"/>
  <c r="P14" i="2"/>
  <c r="T14" i="2" s="1"/>
  <c r="G37" i="2" s="1"/>
  <c r="O14" i="2"/>
  <c r="S14" i="2" s="1"/>
  <c r="F37" i="2" s="1"/>
  <c r="K14" i="2"/>
  <c r="R14" i="2" s="1"/>
  <c r="E37" i="2" s="1"/>
  <c r="H14" i="2"/>
  <c r="D37" i="2" s="1"/>
  <c r="W13" i="2"/>
  <c r="V13" i="2"/>
  <c r="S13" i="2"/>
  <c r="F36" i="2" s="1"/>
  <c r="Q13" i="2"/>
  <c r="P13" i="2"/>
  <c r="T13" i="2" s="1"/>
  <c r="G36" i="2" s="1"/>
  <c r="O13" i="2"/>
  <c r="K13" i="2"/>
  <c r="R13" i="2" s="1"/>
  <c r="E36" i="2" s="1"/>
  <c r="H13" i="2"/>
  <c r="W12" i="2"/>
  <c r="V12" i="2"/>
  <c r="S12" i="2"/>
  <c r="F35" i="2" s="1"/>
  <c r="Q12" i="2"/>
  <c r="P12" i="2"/>
  <c r="T12" i="2" s="1"/>
  <c r="G35" i="2" s="1"/>
  <c r="O12" i="2"/>
  <c r="K12" i="2"/>
  <c r="R12" i="2" s="1"/>
  <c r="E35" i="2" s="1"/>
  <c r="H12" i="2"/>
  <c r="D35" i="2" s="1"/>
  <c r="W11" i="2"/>
  <c r="V11" i="2"/>
  <c r="T11" i="2"/>
  <c r="G34" i="2" s="1"/>
  <c r="Q11" i="2"/>
  <c r="P11" i="2"/>
  <c r="O11" i="2"/>
  <c r="S11" i="2" s="1"/>
  <c r="F34" i="2" s="1"/>
  <c r="K11" i="2"/>
  <c r="R11" i="2" s="1"/>
  <c r="E34" i="2" s="1"/>
  <c r="H11" i="2"/>
  <c r="D34" i="2" s="1"/>
  <c r="W10" i="2"/>
  <c r="V10" i="2"/>
  <c r="Q10" i="2"/>
  <c r="P10" i="2"/>
  <c r="T10" i="2" s="1"/>
  <c r="G33" i="2" s="1"/>
  <c r="O10" i="2"/>
  <c r="S10" i="2" s="1"/>
  <c r="F33" i="2" s="1"/>
  <c r="K10" i="2"/>
  <c r="R10" i="2" s="1"/>
  <c r="E33" i="2" s="1"/>
  <c r="H10" i="2"/>
  <c r="D33" i="2" s="1"/>
  <c r="W9" i="2"/>
  <c r="V9" i="2"/>
  <c r="T9" i="2"/>
  <c r="G32" i="2" s="1"/>
  <c r="R9" i="2"/>
  <c r="E32" i="2" s="1"/>
  <c r="Q9" i="2"/>
  <c r="P9" i="2"/>
  <c r="O9" i="2"/>
  <c r="S9" i="2" s="1"/>
  <c r="F32" i="2" s="1"/>
  <c r="K9" i="2"/>
  <c r="H9" i="2"/>
  <c r="D32" i="2" s="1"/>
  <c r="W8" i="2"/>
  <c r="V8" i="2"/>
  <c r="Q8" i="2"/>
  <c r="P8" i="2"/>
  <c r="T8" i="2" s="1"/>
  <c r="G31" i="2" s="1"/>
  <c r="O8" i="2"/>
  <c r="S8" i="2" s="1"/>
  <c r="F31" i="2" s="1"/>
  <c r="K8" i="2"/>
  <c r="R8" i="2" s="1"/>
  <c r="E31" i="2" s="1"/>
  <c r="H8" i="2"/>
  <c r="D31" i="2" s="1"/>
  <c r="W7" i="2"/>
  <c r="V7" i="2"/>
  <c r="Q7" i="2"/>
  <c r="P7" i="2"/>
  <c r="T7" i="2" s="1"/>
  <c r="G30" i="2" s="1"/>
  <c r="O7" i="2"/>
  <c r="S7" i="2" s="1"/>
  <c r="F30" i="2" s="1"/>
  <c r="K7" i="2"/>
  <c r="R7" i="2" s="1"/>
  <c r="E30" i="2" s="1"/>
  <c r="H7" i="2"/>
  <c r="D30" i="2" s="1"/>
  <c r="W6" i="2"/>
  <c r="V6" i="2"/>
  <c r="S6" i="2"/>
  <c r="F29" i="2" s="1"/>
  <c r="Q6" i="2"/>
  <c r="P6" i="2"/>
  <c r="T6" i="2" s="1"/>
  <c r="G29" i="2" s="1"/>
  <c r="O6" i="2"/>
  <c r="K6" i="2"/>
  <c r="R6" i="2" s="1"/>
  <c r="E29" i="2" s="1"/>
  <c r="H6" i="2"/>
  <c r="D29" i="2" s="1"/>
  <c r="W5" i="2"/>
  <c r="V5" i="2"/>
  <c r="T5" i="2"/>
  <c r="G28" i="2" s="1"/>
  <c r="Q5" i="2"/>
  <c r="P5" i="2"/>
  <c r="O5" i="2"/>
  <c r="S5" i="2" s="1"/>
  <c r="F28" i="2" s="1"/>
  <c r="K5" i="2"/>
  <c r="R5" i="2" s="1"/>
  <c r="E28" i="2" s="1"/>
  <c r="H5" i="2"/>
  <c r="D28" i="2" s="1"/>
  <c r="W4" i="2"/>
  <c r="V4" i="2"/>
  <c r="T4" i="2"/>
  <c r="G27" i="2" s="1"/>
  <c r="Q4" i="2"/>
  <c r="P4" i="2"/>
  <c r="O4" i="2"/>
  <c r="S4" i="2" s="1"/>
  <c r="F27" i="2" s="1"/>
  <c r="K4" i="2"/>
  <c r="R4" i="2" s="1"/>
  <c r="E27" i="2" s="1"/>
  <c r="H4" i="2"/>
  <c r="D27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W3" i="2"/>
  <c r="V3" i="2"/>
  <c r="P3" i="2"/>
  <c r="T3" i="2" s="1"/>
  <c r="G26" i="2" s="1"/>
  <c r="O3" i="2"/>
  <c r="L3" i="2"/>
  <c r="Q3" i="2" s="1"/>
  <c r="K3" i="2"/>
  <c r="R3" i="2" s="1"/>
  <c r="E26" i="2" s="1"/>
  <c r="H3" i="2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C26" i="1"/>
  <c r="G25" i="1"/>
  <c r="F25" i="1"/>
  <c r="E25" i="1"/>
  <c r="D25" i="1"/>
  <c r="N21" i="1"/>
  <c r="M21" i="1"/>
  <c r="J21" i="1"/>
  <c r="I21" i="1"/>
  <c r="G21" i="1"/>
  <c r="F21" i="1"/>
  <c r="W20" i="1"/>
  <c r="V20" i="1"/>
  <c r="P20" i="1"/>
  <c r="O20" i="1"/>
  <c r="K20" i="1"/>
  <c r="R20" i="1" s="1"/>
  <c r="E43" i="1" s="1"/>
  <c r="H20" i="1"/>
  <c r="D43" i="1" s="1"/>
  <c r="W19" i="1"/>
  <c r="V19" i="1"/>
  <c r="P19" i="1"/>
  <c r="O19" i="1"/>
  <c r="K19" i="1"/>
  <c r="R19" i="1" s="1"/>
  <c r="E42" i="1" s="1"/>
  <c r="H19" i="1"/>
  <c r="D42" i="1" s="1"/>
  <c r="W18" i="1"/>
  <c r="V18" i="1"/>
  <c r="Q18" i="1"/>
  <c r="P18" i="1"/>
  <c r="T18" i="1" s="1"/>
  <c r="G41" i="1" s="1"/>
  <c r="O18" i="1"/>
  <c r="S18" i="1" s="1"/>
  <c r="F41" i="1" s="1"/>
  <c r="K18" i="1"/>
  <c r="R18" i="1" s="1"/>
  <c r="E41" i="1" s="1"/>
  <c r="H18" i="1"/>
  <c r="D41" i="1" s="1"/>
  <c r="W17" i="1"/>
  <c r="V17" i="1"/>
  <c r="T17" i="1"/>
  <c r="G40" i="1" s="1"/>
  <c r="Q17" i="1"/>
  <c r="K17" i="1"/>
  <c r="R17" i="1" s="1"/>
  <c r="E40" i="1" s="1"/>
  <c r="H17" i="1"/>
  <c r="D40" i="1" s="1"/>
  <c r="W16" i="1"/>
  <c r="V16" i="1"/>
  <c r="R16" i="1"/>
  <c r="E39" i="1" s="1"/>
  <c r="Q16" i="1"/>
  <c r="P16" i="1"/>
  <c r="T16" i="1" s="1"/>
  <c r="G39" i="1" s="1"/>
  <c r="O16" i="1"/>
  <c r="S16" i="1" s="1"/>
  <c r="F39" i="1" s="1"/>
  <c r="K16" i="1"/>
  <c r="H16" i="1"/>
  <c r="D39" i="1" s="1"/>
  <c r="W15" i="1"/>
  <c r="V15" i="1"/>
  <c r="Q15" i="1"/>
  <c r="P15" i="1"/>
  <c r="T15" i="1" s="1"/>
  <c r="G38" i="1" s="1"/>
  <c r="O15" i="1"/>
  <c r="S15" i="1" s="1"/>
  <c r="F38" i="1" s="1"/>
  <c r="K15" i="1"/>
  <c r="R15" i="1" s="1"/>
  <c r="E38" i="1" s="1"/>
  <c r="H15" i="1"/>
  <c r="D38" i="1" s="1"/>
  <c r="W14" i="1"/>
  <c r="V14" i="1"/>
  <c r="Q14" i="1"/>
  <c r="P14" i="1"/>
  <c r="T14" i="1" s="1"/>
  <c r="G37" i="1" s="1"/>
  <c r="O14" i="1"/>
  <c r="K14" i="1"/>
  <c r="R14" i="1" s="1"/>
  <c r="E37" i="1" s="1"/>
  <c r="H14" i="1"/>
  <c r="D37" i="1" s="1"/>
  <c r="W13" i="1"/>
  <c r="V13" i="1"/>
  <c r="Q13" i="1"/>
  <c r="P13" i="1"/>
  <c r="T13" i="1" s="1"/>
  <c r="G36" i="1" s="1"/>
  <c r="O13" i="1"/>
  <c r="S13" i="1" s="1"/>
  <c r="F36" i="1" s="1"/>
  <c r="K13" i="1"/>
  <c r="R13" i="1" s="1"/>
  <c r="E36" i="1" s="1"/>
  <c r="H13" i="1"/>
  <c r="D36" i="1" s="1"/>
  <c r="W12" i="1"/>
  <c r="V12" i="1"/>
  <c r="Q12" i="1"/>
  <c r="P12" i="1"/>
  <c r="T12" i="1" s="1"/>
  <c r="G35" i="1" s="1"/>
  <c r="O12" i="1"/>
  <c r="S12" i="1" s="1"/>
  <c r="F35" i="1" s="1"/>
  <c r="K12" i="1"/>
  <c r="R12" i="1" s="1"/>
  <c r="E35" i="1" s="1"/>
  <c r="H12" i="1"/>
  <c r="D35" i="1" s="1"/>
  <c r="W11" i="1"/>
  <c r="V11" i="1"/>
  <c r="T11" i="1"/>
  <c r="G34" i="1" s="1"/>
  <c r="K11" i="1"/>
  <c r="R11" i="1" s="1"/>
  <c r="E34" i="1" s="1"/>
  <c r="H11" i="1"/>
  <c r="D34" i="1" s="1"/>
  <c r="W10" i="1"/>
  <c r="V10" i="1"/>
  <c r="Q10" i="1"/>
  <c r="P10" i="1"/>
  <c r="T10" i="1" s="1"/>
  <c r="G33" i="1" s="1"/>
  <c r="O10" i="1"/>
  <c r="S10" i="1" s="1"/>
  <c r="F33" i="1" s="1"/>
  <c r="K10" i="1"/>
  <c r="R10" i="1" s="1"/>
  <c r="E33" i="1" s="1"/>
  <c r="H10" i="1"/>
  <c r="D33" i="1" s="1"/>
  <c r="W9" i="1"/>
  <c r="V9" i="1"/>
  <c r="Q9" i="1"/>
  <c r="P9" i="1"/>
  <c r="T9" i="1" s="1"/>
  <c r="G32" i="1" s="1"/>
  <c r="O9" i="1"/>
  <c r="S9" i="1" s="1"/>
  <c r="F32" i="1" s="1"/>
  <c r="K9" i="1"/>
  <c r="R9" i="1" s="1"/>
  <c r="E32" i="1" s="1"/>
  <c r="H9" i="1"/>
  <c r="D32" i="1" s="1"/>
  <c r="W8" i="1"/>
  <c r="V8" i="1"/>
  <c r="Q8" i="1"/>
  <c r="P8" i="1"/>
  <c r="T8" i="1" s="1"/>
  <c r="G31" i="1" s="1"/>
  <c r="O8" i="1"/>
  <c r="S8" i="1" s="1"/>
  <c r="F31" i="1" s="1"/>
  <c r="K8" i="1"/>
  <c r="R8" i="1" s="1"/>
  <c r="E31" i="1" s="1"/>
  <c r="H8" i="1"/>
  <c r="D31" i="1" s="1"/>
  <c r="W7" i="1"/>
  <c r="V7" i="1"/>
  <c r="Q7" i="1"/>
  <c r="P7" i="1"/>
  <c r="T7" i="1" s="1"/>
  <c r="G30" i="1" s="1"/>
  <c r="O7" i="1"/>
  <c r="S7" i="1" s="1"/>
  <c r="F30" i="1" s="1"/>
  <c r="K7" i="1"/>
  <c r="R7" i="1" s="1"/>
  <c r="E30" i="1" s="1"/>
  <c r="H7" i="1"/>
  <c r="D30" i="1" s="1"/>
  <c r="W6" i="1"/>
  <c r="V6" i="1"/>
  <c r="Q6" i="1"/>
  <c r="P6" i="1"/>
  <c r="T6" i="1" s="1"/>
  <c r="G29" i="1" s="1"/>
  <c r="O6" i="1"/>
  <c r="S6" i="1" s="1"/>
  <c r="F29" i="1" s="1"/>
  <c r="K6" i="1"/>
  <c r="R6" i="1" s="1"/>
  <c r="E29" i="1" s="1"/>
  <c r="H6" i="1"/>
  <c r="D29" i="1" s="1"/>
  <c r="W5" i="1"/>
  <c r="V5" i="1"/>
  <c r="Q5" i="1"/>
  <c r="P5" i="1"/>
  <c r="T5" i="1" s="1"/>
  <c r="G28" i="1" s="1"/>
  <c r="O5" i="1"/>
  <c r="S5" i="1" s="1"/>
  <c r="F28" i="1" s="1"/>
  <c r="K5" i="1"/>
  <c r="R5" i="1" s="1"/>
  <c r="E28" i="1" s="1"/>
  <c r="H5" i="1"/>
  <c r="D28" i="1" s="1"/>
  <c r="W4" i="1"/>
  <c r="V4" i="1"/>
  <c r="Q4" i="1"/>
  <c r="P4" i="1"/>
  <c r="T4" i="1" s="1"/>
  <c r="G27" i="1" s="1"/>
  <c r="O4" i="1"/>
  <c r="S4" i="1" s="1"/>
  <c r="F27" i="1" s="1"/>
  <c r="K4" i="1"/>
  <c r="R4" i="1" s="1"/>
  <c r="E27" i="1" s="1"/>
  <c r="H4" i="1"/>
  <c r="D2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W3" i="1"/>
  <c r="V3" i="1"/>
  <c r="Q3" i="1"/>
  <c r="P3" i="1"/>
  <c r="T3" i="1" s="1"/>
  <c r="G26" i="1" s="1"/>
  <c r="O3" i="1"/>
  <c r="S3" i="1" s="1"/>
  <c r="F26" i="1" s="1"/>
  <c r="K3" i="1"/>
  <c r="R3" i="1" s="1"/>
  <c r="E26" i="1" s="1"/>
  <c r="H3" i="1"/>
  <c r="D26" i="1" s="1"/>
  <c r="T19" i="1" l="1"/>
  <c r="G42" i="1" s="1"/>
  <c r="S19" i="1"/>
  <c r="F42" i="1" s="1"/>
  <c r="S20" i="1"/>
  <c r="F43" i="1" s="1"/>
  <c r="T20" i="1"/>
  <c r="G43" i="1" s="1"/>
  <c r="S14" i="1"/>
  <c r="F37" i="1" s="1"/>
  <c r="K21" i="1"/>
  <c r="R21" i="1" s="1"/>
  <c r="O21" i="4"/>
  <c r="Q15" i="2"/>
  <c r="S20" i="8"/>
  <c r="N22" i="7"/>
  <c r="Q13" i="7"/>
  <c r="T15" i="2"/>
  <c r="G38" i="2" s="1"/>
  <c r="W21" i="3"/>
  <c r="O21" i="5"/>
  <c r="S21" i="5" s="1"/>
  <c r="P5" i="7"/>
  <c r="T5" i="7" s="1"/>
  <c r="G29" i="7" s="1"/>
  <c r="S17" i="5"/>
  <c r="W21" i="4"/>
  <c r="H5" i="5"/>
  <c r="D28" i="5" s="1"/>
  <c r="S13" i="5"/>
  <c r="F35" i="5" s="1"/>
  <c r="K23" i="6"/>
  <c r="R23" i="6" s="1"/>
  <c r="V21" i="4"/>
  <c r="V21" i="2"/>
  <c r="K21" i="4"/>
  <c r="R21" i="4" s="1"/>
  <c r="T13" i="5"/>
  <c r="G35" i="5" s="1"/>
  <c r="T21" i="2"/>
  <c r="O21" i="3"/>
  <c r="P21" i="1"/>
  <c r="T21" i="1" s="1"/>
  <c r="T17" i="4"/>
  <c r="Q3" i="9"/>
  <c r="V21" i="1"/>
  <c r="Q21" i="1"/>
  <c r="L21" i="4"/>
  <c r="Q3" i="4"/>
  <c r="W21" i="1"/>
  <c r="S3" i="4"/>
  <c r="F26" i="4" s="1"/>
  <c r="M22" i="7"/>
  <c r="P22" i="7" s="1"/>
  <c r="T22" i="7" s="1"/>
  <c r="O21" i="2"/>
  <c r="S21" i="2" s="1"/>
  <c r="O5" i="7"/>
  <c r="S5" i="7" s="1"/>
  <c r="F29" i="7" s="1"/>
  <c r="H21" i="1"/>
  <c r="M23" i="6"/>
  <c r="P3" i="6"/>
  <c r="T3" i="6" s="1"/>
  <c r="G28" i="6" s="1"/>
  <c r="W22" i="7"/>
  <c r="K22" i="7"/>
  <c r="R22" i="7" s="1"/>
  <c r="O21" i="1"/>
  <c r="S21" i="1" s="1"/>
  <c r="T3" i="4"/>
  <c r="G26" i="4" s="1"/>
  <c r="S3" i="2"/>
  <c r="F26" i="2" s="1"/>
  <c r="Q5" i="6"/>
  <c r="O5" i="6"/>
  <c r="S5" i="6" s="1"/>
  <c r="F30" i="6" s="1"/>
  <c r="Q22" i="7"/>
  <c r="P21" i="5"/>
  <c r="T21" i="5" s="1"/>
  <c r="Q5" i="7"/>
  <c r="T18" i="9"/>
  <c r="K21" i="3"/>
  <c r="R21" i="3" s="1"/>
  <c r="L21" i="3"/>
  <c r="Q21" i="3" s="1"/>
  <c r="H21" i="5"/>
  <c r="W23" i="6"/>
  <c r="O4" i="6"/>
  <c r="S4" i="6" s="1"/>
  <c r="F29" i="6" s="1"/>
  <c r="O3" i="7"/>
  <c r="S3" i="7" s="1"/>
  <c r="F27" i="7" s="1"/>
  <c r="V21" i="5"/>
  <c r="P4" i="6"/>
  <c r="T4" i="6" s="1"/>
  <c r="G29" i="6" s="1"/>
  <c r="P3" i="7"/>
  <c r="T3" i="7" s="1"/>
  <c r="G27" i="7" s="1"/>
  <c r="P4" i="7"/>
  <c r="T4" i="7" s="1"/>
  <c r="G28" i="7" s="1"/>
  <c r="O4" i="7"/>
  <c r="S4" i="7" s="1"/>
  <c r="F28" i="7" s="1"/>
  <c r="K21" i="5"/>
  <c r="R21" i="5" s="1"/>
  <c r="L23" i="6"/>
  <c r="Q3" i="6"/>
  <c r="P5" i="6"/>
  <c r="T5" i="6" s="1"/>
  <c r="G30" i="6" s="1"/>
  <c r="N23" i="6"/>
  <c r="O23" i="6" s="1"/>
  <c r="Q3" i="7"/>
  <c r="W20" i="8"/>
  <c r="K20" i="8"/>
  <c r="R20" i="8" s="1"/>
  <c r="O18" i="9"/>
  <c r="S18" i="9" s="1"/>
  <c r="H20" i="8"/>
  <c r="H22" i="7"/>
  <c r="V20" i="8"/>
  <c r="K18" i="9"/>
  <c r="R18" i="9" s="1"/>
  <c r="O22" i="7" l="1"/>
  <c r="S22" i="7" s="1"/>
  <c r="Q23" i="6"/>
  <c r="P23" i="6"/>
  <c r="T23" i="6" s="1"/>
  <c r="T21" i="3"/>
  <c r="S23" i="6"/>
  <c r="S21" i="3"/>
  <c r="T21" i="4"/>
  <c r="S21" i="4"/>
  <c r="Q21" i="4"/>
</calcChain>
</file>

<file path=xl/sharedStrings.xml><?xml version="1.0" encoding="utf-8"?>
<sst xmlns="http://schemas.openxmlformats.org/spreadsheetml/2006/main" count="1070" uniqueCount="102">
  <si>
    <t>Cycle report Mar-23 Summary sheet</t>
  </si>
  <si>
    <t>Sr. No</t>
  </si>
  <si>
    <t>Month</t>
  </si>
  <si>
    <t>Account Name</t>
  </si>
  <si>
    <t>Region</t>
  </si>
  <si>
    <t>Inventory Scope (FM / Client)</t>
  </si>
  <si>
    <t>No of Parts Planned for the Month</t>
  </si>
  <si>
    <t>No of Parts Counted</t>
  </si>
  <si>
    <t>CC Adherance %</t>
  </si>
  <si>
    <t>EXCESS Parts</t>
  </si>
  <si>
    <t>SHORT Parts</t>
  </si>
  <si>
    <t>No of Parts Tallied</t>
  </si>
  <si>
    <t>Total  Counting Value</t>
  </si>
  <si>
    <t>Total + Ve variances Value</t>
  </si>
  <si>
    <t>Total - Ve variances Value</t>
  </si>
  <si>
    <t>Gross Variance</t>
  </si>
  <si>
    <t>Net Variances</t>
  </si>
  <si>
    <t>Talled item value</t>
  </si>
  <si>
    <t>Inventory Record Accuracy (IRA)</t>
  </si>
  <si>
    <t>Inventory Value Accuracy -GROSS
 (IVA)</t>
  </si>
  <si>
    <t>Inventory Value Accuracy -NET 
 (IVA)</t>
  </si>
  <si>
    <t>Allowable Shrikange % as per client Agreement</t>
  </si>
  <si>
    <t>% of Excess parts Contribution.</t>
  </si>
  <si>
    <t>% of Short parts Contribution.</t>
  </si>
  <si>
    <t>Remark(UOM)</t>
  </si>
  <si>
    <t>Bic Cello</t>
  </si>
  <si>
    <t>Mumbai</t>
  </si>
  <si>
    <t>FM India</t>
  </si>
  <si>
    <t>SKU level</t>
  </si>
  <si>
    <t>Siemens Ind BGR</t>
  </si>
  <si>
    <t>Siemens SWGR Kalwa</t>
  </si>
  <si>
    <t>Siemens Vapi</t>
  </si>
  <si>
    <t>Siemens Medical</t>
  </si>
  <si>
    <t>SKU leve</t>
  </si>
  <si>
    <t>Godrej Interio</t>
  </si>
  <si>
    <t>SKU level only BPR SKU</t>
  </si>
  <si>
    <t xml:space="preserve">Know Variance of system isuue </t>
  </si>
  <si>
    <t>Godrej Branch</t>
  </si>
  <si>
    <t>Godrej spare</t>
  </si>
  <si>
    <t>Godrej MHE</t>
  </si>
  <si>
    <t>Osram-BGR</t>
  </si>
  <si>
    <t>Cycle count plan was Location wised</t>
  </si>
  <si>
    <t>Celio</t>
  </si>
  <si>
    <t>SKU level (Retun WH)</t>
  </si>
  <si>
    <t>Hansgrohe-BGR</t>
  </si>
  <si>
    <t>Roquette-BGR</t>
  </si>
  <si>
    <t>Cost value is an average</t>
  </si>
  <si>
    <t>Jubilant-BGR</t>
  </si>
  <si>
    <t>Siemens BT-BGR</t>
  </si>
  <si>
    <t>PVMI-BGR</t>
  </si>
  <si>
    <t>RBL</t>
  </si>
  <si>
    <t>Pepe Jeans</t>
  </si>
  <si>
    <t>Total===&gt;</t>
  </si>
  <si>
    <t>Sr.No.</t>
  </si>
  <si>
    <t>27,30,53,757</t>
  </si>
  <si>
    <t>-</t>
  </si>
  <si>
    <t>Cycle report Feb-23 Summary sheet</t>
  </si>
  <si>
    <t>11,20,34,194.24</t>
  </si>
  <si>
    <t>24,12,63,748.26</t>
  </si>
  <si>
    <t>Cycle report Jan-23 Summary sheet</t>
  </si>
  <si>
    <t>Welspun-BGR</t>
  </si>
  <si>
    <t>NA</t>
  </si>
  <si>
    <t>Cycle report Dec-22 Summary sheet</t>
  </si>
  <si>
    <t>17,24,85,000</t>
  </si>
  <si>
    <t>Cycle report Nov-22 Summary sheet</t>
  </si>
  <si>
    <t>Siemens BGR</t>
  </si>
  <si>
    <t>Siemens Kalwa</t>
  </si>
  <si>
    <t>Osram</t>
  </si>
  <si>
    <t>Welspun</t>
  </si>
  <si>
    <t>Hansgrohe</t>
  </si>
  <si>
    <t>Perfetti CFA</t>
  </si>
  <si>
    <t>Siemens BT</t>
  </si>
  <si>
    <t>Pepe Jeans London</t>
  </si>
  <si>
    <t>1,17,51,980</t>
  </si>
  <si>
    <t>Roquette</t>
  </si>
  <si>
    <t>Jubilant</t>
  </si>
  <si>
    <t>Siemens MRI</t>
  </si>
  <si>
    <t>Reliance Brands Ltd</t>
  </si>
  <si>
    <t>4,24,98,974.71</t>
  </si>
  <si>
    <t>Cycle report Oct-22 Summary sheet</t>
  </si>
  <si>
    <t>28,27,96,224</t>
  </si>
  <si>
    <t>2,68,88,651.62</t>
  </si>
  <si>
    <t>pepe Value not Avialble in the system</t>
  </si>
  <si>
    <t>Cycle report Sep-22 Summary sheet</t>
  </si>
  <si>
    <t xml:space="preserve">Pepe hasnt monthely cycle count report </t>
  </si>
  <si>
    <t>Cycle report Aug-22 Summary sheet</t>
  </si>
  <si>
    <t>SKU level, Short part Theft From the Warehouse</t>
  </si>
  <si>
    <t>Godrej Barn</t>
  </si>
  <si>
    <t>From column O to column Q, values need to be updated, once we will confirmed with the customer.</t>
  </si>
  <si>
    <t>EdaMamma</t>
  </si>
  <si>
    <t>Unit level</t>
  </si>
  <si>
    <r>
      <rPr>
        <u/>
        <sz val="10"/>
        <color rgb="FF1155CC"/>
        <rFont val="Calibri"/>
        <family val="2"/>
      </rPr>
      <t>Sr.No</t>
    </r>
    <r>
      <rPr>
        <u/>
        <sz val="10"/>
        <color theme="1"/>
        <rFont val="Calibri"/>
        <family val="2"/>
      </rPr>
      <t>.</t>
    </r>
  </si>
  <si>
    <t>Siemens Delhi</t>
  </si>
  <si>
    <t>Godrej FG</t>
  </si>
  <si>
    <t>Perfetti</t>
  </si>
  <si>
    <t>Cycle count report summary</t>
  </si>
  <si>
    <t>Remark</t>
  </si>
  <si>
    <t>Since value is not shared by client, hence only Quantity accuracy is been checked in BIC CELLO VAPI. Cost value is an average</t>
  </si>
  <si>
    <t>Godrej Bran</t>
  </si>
  <si>
    <t>Eda_Mamma</t>
  </si>
  <si>
    <r>
      <rPr>
        <u/>
        <sz val="11"/>
        <color rgb="FF1155CC"/>
        <rFont val="Calibri, Arial"/>
      </rPr>
      <t>Sr.No</t>
    </r>
    <r>
      <rPr>
        <u/>
        <sz val="11"/>
        <color rgb="FF1155CC"/>
        <rFont val="Calibri, Arial"/>
      </rPr>
      <t>.</t>
    </r>
  </si>
  <si>
    <t>Cycle report May-26 Summary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</si>
</sst>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00%"/>
    <numFmt numFmtId="168" formatCode="#,##0;\(#,##0\)"/>
    <numFmt numFmtId="169" formatCode="_ * #,##0.0_ ;_ * \-#,##0.0_ ;_ * &quot;-&quot;??_ ;_ @_ "/>
  </numFmts>
  <fonts count="22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1155CC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rgb="FFFF0000"/>
      <name val="Calibri"/>
      <family val="2"/>
    </font>
    <font>
      <b/>
      <sz val="8"/>
      <color theme="1"/>
      <name val="&quot;Bookman Old Style&quot;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1155CC"/>
      <name val="Calibri"/>
      <family val="2"/>
    </font>
    <font>
      <u/>
      <sz val="10"/>
      <color theme="1"/>
      <name val="Calibri"/>
      <family val="2"/>
    </font>
    <font>
      <u/>
      <sz val="11"/>
      <color rgb="FF1155CC"/>
      <name val="Calibri, Arial"/>
    </font>
    <font>
      <sz val="10"/>
      <name val="Bookman Old Style"/>
      <family val="1"/>
    </font>
    <font>
      <sz val="8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4" fontId="20" fillId="0" borderId="0" applyFont="0" applyFill="0" applyBorder="0" applyAlignment="0" applyProtection="0"/>
    <xf numFmtId="0" fontId="20" fillId="0" borderId="0"/>
  </cellStyleXfs>
  <cellXfs count="12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0" borderId="4" xfId="0" applyFont="1" applyBorder="1"/>
    <xf numFmtId="0" fontId="4" fillId="0" borderId="4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17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wrapText="1"/>
    </xf>
    <xf numFmtId="3" fontId="6" fillId="0" borderId="4" xfId="0" applyNumberFormat="1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9" fontId="5" fillId="3" borderId="4" xfId="0" applyNumberFormat="1" applyFont="1" applyFill="1" applyBorder="1" applyAlignment="1">
      <alignment horizontal="center"/>
    </xf>
    <xf numFmtId="166" fontId="6" fillId="0" borderId="4" xfId="0" applyNumberFormat="1" applyFont="1" applyBorder="1" applyAlignment="1">
      <alignment horizontal="right"/>
    </xf>
    <xf numFmtId="166" fontId="5" fillId="3" borderId="4" xfId="0" applyNumberFormat="1" applyFont="1" applyFill="1" applyBorder="1" applyAlignment="1">
      <alignment horizontal="center"/>
    </xf>
    <xf numFmtId="166" fontId="5" fillId="3" borderId="4" xfId="0" applyNumberFormat="1" applyFont="1" applyFill="1" applyBorder="1" applyAlignment="1">
      <alignment horizontal="right"/>
    </xf>
    <xf numFmtId="10" fontId="4" fillId="3" borderId="4" xfId="0" applyNumberFormat="1" applyFont="1" applyFill="1" applyBorder="1" applyAlignment="1">
      <alignment horizontal="center"/>
    </xf>
    <xf numFmtId="10" fontId="1" fillId="4" borderId="4" xfId="0" applyNumberFormat="1" applyFont="1" applyFill="1" applyBorder="1" applyAlignment="1">
      <alignment horizontal="right"/>
    </xf>
    <xf numFmtId="167" fontId="5" fillId="3" borderId="4" xfId="0" applyNumberFormat="1" applyFont="1" applyFill="1" applyBorder="1" applyAlignment="1">
      <alignment horizontal="center"/>
    </xf>
    <xf numFmtId="0" fontId="5" fillId="0" borderId="5" xfId="0" applyFont="1" applyBorder="1" applyAlignment="1">
      <alignment wrapText="1"/>
    </xf>
    <xf numFmtId="0" fontId="7" fillId="0" borderId="4" xfId="0" applyFont="1" applyBorder="1"/>
    <xf numFmtId="4" fontId="8" fillId="0" borderId="0" xfId="0" applyNumberFormat="1" applyFont="1" applyAlignment="1">
      <alignment horizontal="right"/>
    </xf>
    <xf numFmtId="0" fontId="7" fillId="0" borderId="0" xfId="0" applyFont="1"/>
    <xf numFmtId="0" fontId="5" fillId="0" borderId="4" xfId="0" applyFont="1" applyBorder="1"/>
    <xf numFmtId="4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66" fontId="9" fillId="0" borderId="0" xfId="0" applyNumberFormat="1" applyFont="1" applyAlignment="1">
      <alignment horizontal="right"/>
    </xf>
    <xf numFmtId="168" fontId="6" fillId="0" borderId="4" xfId="0" applyNumberFormat="1" applyFont="1" applyBorder="1" applyAlignment="1">
      <alignment horizontal="right"/>
    </xf>
    <xf numFmtId="0" fontId="5" fillId="5" borderId="4" xfId="0" applyFont="1" applyFill="1" applyBorder="1" applyAlignment="1">
      <alignment horizontal="center"/>
    </xf>
    <xf numFmtId="0" fontId="1" fillId="5" borderId="4" xfId="0" applyFont="1" applyFill="1" applyBorder="1"/>
    <xf numFmtId="10" fontId="1" fillId="5" borderId="4" xfId="0" applyNumberFormat="1" applyFont="1" applyFill="1" applyBorder="1"/>
    <xf numFmtId="169" fontId="5" fillId="5" borderId="4" xfId="0" applyNumberFormat="1" applyFont="1" applyFill="1" applyBorder="1" applyAlignment="1">
      <alignment horizontal="right" wrapText="1"/>
    </xf>
    <xf numFmtId="9" fontId="5" fillId="5" borderId="4" xfId="0" applyNumberFormat="1" applyFont="1" applyFill="1" applyBorder="1" applyAlignment="1">
      <alignment horizontal="center"/>
    </xf>
    <xf numFmtId="165" fontId="5" fillId="5" borderId="4" xfId="0" applyNumberFormat="1" applyFont="1" applyFill="1" applyBorder="1" applyAlignment="1">
      <alignment horizontal="center"/>
    </xf>
    <xf numFmtId="165" fontId="5" fillId="5" borderId="4" xfId="0" applyNumberFormat="1" applyFont="1" applyFill="1" applyBorder="1" applyAlignment="1">
      <alignment horizontal="right" wrapText="1"/>
    </xf>
    <xf numFmtId="166" fontId="5" fillId="5" borderId="4" xfId="0" applyNumberFormat="1" applyFont="1" applyFill="1" applyBorder="1" applyAlignment="1">
      <alignment horizontal="right" wrapText="1"/>
    </xf>
    <xf numFmtId="165" fontId="5" fillId="5" borderId="4" xfId="0" applyNumberFormat="1" applyFont="1" applyFill="1" applyBorder="1" applyAlignment="1">
      <alignment horizontal="right"/>
    </xf>
    <xf numFmtId="166" fontId="5" fillId="5" borderId="4" xfId="0" applyNumberFormat="1" applyFont="1" applyFill="1" applyBorder="1" applyAlignment="1">
      <alignment horizontal="center"/>
    </xf>
    <xf numFmtId="10" fontId="4" fillId="5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wrapText="1"/>
    </xf>
    <xf numFmtId="0" fontId="12" fillId="0" borderId="4" xfId="0" applyFont="1" applyBorder="1" applyAlignment="1">
      <alignment horizontal="center"/>
    </xf>
    <xf numFmtId="0" fontId="12" fillId="0" borderId="4" xfId="0" applyFont="1" applyBorder="1"/>
    <xf numFmtId="10" fontId="12" fillId="0" borderId="4" xfId="0" applyNumberFormat="1" applyFont="1" applyBorder="1" applyAlignment="1">
      <alignment horizontal="right"/>
    </xf>
    <xf numFmtId="10" fontId="12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3" fontId="1" fillId="0" borderId="4" xfId="0" applyNumberFormat="1" applyFont="1" applyBorder="1" applyAlignment="1">
      <alignment horizontal="right"/>
    </xf>
    <xf numFmtId="0" fontId="13" fillId="0" borderId="4" xfId="0" applyFont="1" applyBorder="1" applyAlignment="1">
      <alignment horizontal="center"/>
    </xf>
    <xf numFmtId="3" fontId="8" fillId="0" borderId="4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right"/>
    </xf>
    <xf numFmtId="166" fontId="1" fillId="0" borderId="4" xfId="0" applyNumberFormat="1" applyFont="1" applyBorder="1" applyAlignment="1">
      <alignment horizontal="right"/>
    </xf>
    <xf numFmtId="166" fontId="6" fillId="0" borderId="4" xfId="0" applyNumberFormat="1" applyFont="1" applyBorder="1"/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left" wrapText="1"/>
    </xf>
    <xf numFmtId="0" fontId="4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167" fontId="4" fillId="3" borderId="4" xfId="0" applyNumberFormat="1" applyFont="1" applyFill="1" applyBorder="1" applyAlignment="1">
      <alignment horizontal="center"/>
    </xf>
    <xf numFmtId="0" fontId="8" fillId="0" borderId="0" xfId="0" applyFont="1"/>
    <xf numFmtId="0" fontId="5" fillId="5" borderId="4" xfId="0" applyFont="1" applyFill="1" applyBorder="1"/>
    <xf numFmtId="0" fontId="12" fillId="6" borderId="4" xfId="0" applyFont="1" applyFill="1" applyBorder="1"/>
    <xf numFmtId="17" fontId="12" fillId="0" borderId="4" xfId="0" applyNumberFormat="1" applyFont="1" applyBorder="1"/>
    <xf numFmtId="0" fontId="12" fillId="0" borderId="4" xfId="0" applyFont="1" applyBorder="1" applyAlignment="1">
      <alignment horizontal="right"/>
    </xf>
    <xf numFmtId="165" fontId="12" fillId="0" borderId="4" xfId="0" applyNumberFormat="1" applyFont="1" applyBorder="1" applyAlignment="1">
      <alignment horizontal="right"/>
    </xf>
    <xf numFmtId="9" fontId="12" fillId="3" borderId="4" xfId="0" applyNumberFormat="1" applyFont="1" applyFill="1" applyBorder="1" applyAlignment="1">
      <alignment horizontal="right"/>
    </xf>
    <xf numFmtId="165" fontId="12" fillId="3" borderId="4" xfId="0" applyNumberFormat="1" applyFont="1" applyFill="1" applyBorder="1" applyAlignment="1">
      <alignment horizontal="right"/>
    </xf>
    <xf numFmtId="37" fontId="12" fillId="3" borderId="4" xfId="0" applyNumberFormat="1" applyFont="1" applyFill="1" applyBorder="1" applyAlignment="1">
      <alignment horizontal="right"/>
    </xf>
    <xf numFmtId="10" fontId="11" fillId="3" borderId="4" xfId="0" applyNumberFormat="1" applyFont="1" applyFill="1" applyBorder="1" applyAlignment="1">
      <alignment horizontal="right"/>
    </xf>
    <xf numFmtId="10" fontId="11" fillId="4" borderId="4" xfId="0" applyNumberFormat="1" applyFont="1" applyFill="1" applyBorder="1" applyAlignment="1">
      <alignment horizontal="right"/>
    </xf>
    <xf numFmtId="10" fontId="12" fillId="3" borderId="4" xfId="0" applyNumberFormat="1" applyFont="1" applyFill="1" applyBorder="1" applyAlignment="1">
      <alignment horizontal="right"/>
    </xf>
    <xf numFmtId="17" fontId="12" fillId="6" borderId="4" xfId="0" applyNumberFormat="1" applyFont="1" applyFill="1" applyBorder="1"/>
    <xf numFmtId="3" fontId="12" fillId="0" borderId="4" xfId="0" applyNumberFormat="1" applyFont="1" applyBorder="1" applyAlignment="1">
      <alignment horizontal="right"/>
    </xf>
    <xf numFmtId="166" fontId="12" fillId="0" borderId="4" xfId="0" applyNumberFormat="1" applyFont="1" applyBorder="1" applyAlignment="1">
      <alignment horizontal="right"/>
    </xf>
    <xf numFmtId="0" fontId="12" fillId="4" borderId="4" xfId="0" applyFont="1" applyFill="1" applyBorder="1"/>
    <xf numFmtId="0" fontId="3" fillId="2" borderId="4" xfId="0" applyFont="1" applyFill="1" applyBorder="1"/>
    <xf numFmtId="0" fontId="14" fillId="0" borderId="4" xfId="0" applyFont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6" borderId="4" xfId="0" applyFont="1" applyFill="1" applyBorder="1"/>
    <xf numFmtId="17" fontId="1" fillId="6" borderId="4" xfId="0" applyNumberFormat="1" applyFont="1" applyFill="1" applyBorder="1"/>
    <xf numFmtId="0" fontId="1" fillId="4" borderId="4" xfId="0" applyFont="1" applyFill="1" applyBorder="1"/>
    <xf numFmtId="0" fontId="15" fillId="0" borderId="4" xfId="0" applyFont="1" applyBorder="1"/>
    <xf numFmtId="165" fontId="1" fillId="0" borderId="4" xfId="0" applyNumberFormat="1" applyFont="1" applyBorder="1" applyAlignment="1">
      <alignment horizontal="right"/>
    </xf>
    <xf numFmtId="9" fontId="1" fillId="3" borderId="4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10" fontId="1" fillId="3" borderId="4" xfId="0" applyNumberFormat="1" applyFont="1" applyFill="1" applyBorder="1" applyAlignment="1">
      <alignment horizontal="right"/>
    </xf>
    <xf numFmtId="165" fontId="1" fillId="3" borderId="4" xfId="0" applyNumberFormat="1" applyFont="1" applyFill="1" applyBorder="1" applyAlignment="1">
      <alignment horizontal="right"/>
    </xf>
    <xf numFmtId="37" fontId="1" fillId="3" borderId="4" xfId="0" applyNumberFormat="1" applyFont="1" applyFill="1" applyBorder="1" applyAlignment="1">
      <alignment horizontal="right"/>
    </xf>
    <xf numFmtId="10" fontId="16" fillId="3" borderId="4" xfId="0" applyNumberFormat="1" applyFont="1" applyFill="1" applyBorder="1" applyAlignment="1">
      <alignment horizontal="right"/>
    </xf>
    <xf numFmtId="10" fontId="1" fillId="4" borderId="4" xfId="0" applyNumberFormat="1" applyFont="1" applyFill="1" applyBorder="1"/>
    <xf numFmtId="3" fontId="1" fillId="6" borderId="4" xfId="0" applyNumberFormat="1" applyFont="1" applyFill="1" applyBorder="1" applyAlignment="1">
      <alignment horizontal="right"/>
    </xf>
    <xf numFmtId="10" fontId="16" fillId="4" borderId="4" xfId="0" applyNumberFormat="1" applyFont="1" applyFill="1" applyBorder="1" applyAlignment="1">
      <alignment horizontal="right"/>
    </xf>
    <xf numFmtId="0" fontId="16" fillId="3" borderId="4" xfId="0" applyFont="1" applyFill="1" applyBorder="1" applyAlignment="1">
      <alignment horizontal="right"/>
    </xf>
    <xf numFmtId="166" fontId="1" fillId="0" borderId="4" xfId="0" applyNumberFormat="1" applyFont="1" applyBorder="1"/>
    <xf numFmtId="0" fontId="1" fillId="3" borderId="4" xfId="0" applyFont="1" applyFill="1" applyBorder="1" applyAlignment="1">
      <alignment horizontal="right"/>
    </xf>
    <xf numFmtId="10" fontId="1" fillId="0" borderId="0" xfId="0" applyNumberFormat="1" applyFont="1"/>
    <xf numFmtId="3" fontId="15" fillId="0" borderId="0" xfId="0" applyNumberFormat="1" applyFont="1" applyAlignment="1">
      <alignment horizontal="right"/>
    </xf>
    <xf numFmtId="3" fontId="15" fillId="0" borderId="4" xfId="0" applyNumberFormat="1" applyFont="1" applyBorder="1" applyAlignment="1">
      <alignment horizontal="right"/>
    </xf>
    <xf numFmtId="3" fontId="1" fillId="3" borderId="4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4" xfId="0" applyFont="1" applyBorder="1" applyAlignment="1">
      <alignment horizontal="right"/>
    </xf>
    <xf numFmtId="0" fontId="1" fillId="3" borderId="0" xfId="0" applyFont="1" applyFill="1"/>
    <xf numFmtId="0" fontId="17" fillId="0" borderId="4" xfId="0" applyFont="1" applyBorder="1" applyAlignment="1">
      <alignment horizontal="center"/>
    </xf>
    <xf numFmtId="17" fontId="1" fillId="0" borderId="4" xfId="0" applyNumberFormat="1" applyFont="1" applyBorder="1"/>
    <xf numFmtId="165" fontId="1" fillId="0" borderId="4" xfId="0" applyNumberFormat="1" applyFont="1" applyBorder="1"/>
    <xf numFmtId="0" fontId="3" fillId="2" borderId="1" xfId="0" applyFont="1" applyFill="1" applyBorder="1" applyAlignment="1">
      <alignment vertical="center"/>
    </xf>
    <xf numFmtId="0" fontId="2" fillId="0" borderId="2" xfId="0" applyFont="1" applyBorder="1"/>
    <xf numFmtId="165" fontId="6" fillId="0" borderId="3" xfId="0" applyNumberFormat="1" applyFont="1" applyBorder="1" applyAlignment="1">
      <alignment horizontal="right"/>
    </xf>
    <xf numFmtId="165" fontId="6" fillId="0" borderId="7" xfId="0" applyNumberFormat="1" applyFont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6" fontId="5" fillId="3" borderId="1" xfId="0" applyNumberFormat="1" applyFont="1" applyFill="1" applyBorder="1" applyAlignment="1">
      <alignment horizontal="center"/>
    </xf>
    <xf numFmtId="3" fontId="6" fillId="0" borderId="7" xfId="0" applyNumberFormat="1" applyFont="1" applyBorder="1" applyAlignment="1">
      <alignment horizontal="right"/>
    </xf>
    <xf numFmtId="3" fontId="6" fillId="0" borderId="5" xfId="0" applyNumberFormat="1" applyFont="1" applyBorder="1" applyAlignment="1">
      <alignment horizontal="right"/>
    </xf>
    <xf numFmtId="4" fontId="21" fillId="0" borderId="6" xfId="2" applyNumberFormat="1" applyFont="1" applyBorder="1" applyAlignment="1">
      <alignment vertical="center"/>
    </xf>
  </cellXfs>
  <cellStyles count="3">
    <cellStyle name="Comma 2" xfId="1" xr:uid="{3B7BA809-1A21-496D-93D1-7AEA0D6EAE7A}"/>
    <cellStyle name="Normal" xfId="0" builtinId="0"/>
    <cellStyle name="Normal 2" xfId="2" xr:uid="{E23C3D1D-0D33-451F-B079-5293C6DC7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9525</xdr:rowOff>
    </xdr:from>
    <xdr:ext cx="1447800" cy="295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9525</xdr:rowOff>
    </xdr:from>
    <xdr:ext cx="1447800" cy="295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38100</xdr:rowOff>
    </xdr:from>
    <xdr:ext cx="1857375" cy="381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38100</xdr:rowOff>
    </xdr:from>
    <xdr:ext cx="1857375" cy="381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19050</xdr:rowOff>
    </xdr:from>
    <xdr:ext cx="1857375" cy="371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1809750" cy="361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71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sr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3"/>
  <sheetViews>
    <sheetView tabSelected="1" workbookViewId="0">
      <selection activeCell="A11" sqref="A11"/>
    </sheetView>
  </sheetViews>
  <sheetFormatPr defaultColWidth="12.5703125" defaultRowHeight="15.75" customHeight="1"/>
  <cols>
    <col min="1" max="1" width="6.28515625" customWidth="1"/>
    <col min="2" max="2" width="5.85546875" bestFit="1" customWidth="1"/>
    <col min="3" max="3" width="13.85546875" customWidth="1"/>
    <col min="4" max="4" width="12.140625" customWidth="1"/>
    <col min="5" max="5" width="10.5703125" customWidth="1"/>
    <col min="6" max="6" width="13.140625" customWidth="1"/>
    <col min="7" max="7" width="11.85546875" customWidth="1"/>
    <col min="8" max="8" width="10.5703125" customWidth="1"/>
    <col min="9" max="9" width="8" customWidth="1"/>
    <col min="10" max="10" width="7.85546875" customWidth="1"/>
    <col min="11" max="11" width="11" customWidth="1"/>
    <col min="12" max="12" width="13.42578125" bestFit="1" customWidth="1"/>
    <col min="13" max="13" width="11.85546875" customWidth="1"/>
    <col min="14" max="14" width="11.5703125" customWidth="1"/>
    <col min="15" max="16" width="9.7109375" bestFit="1" customWidth="1"/>
    <col min="17" max="19" width="10.42578125" customWidth="1"/>
    <col min="20" max="20" width="9.7109375" customWidth="1"/>
    <col min="21" max="21" width="12.28515625" customWidth="1"/>
    <col min="22" max="22" width="10.42578125" customWidth="1"/>
    <col min="23" max="23" width="9.85546875" customWidth="1"/>
    <col min="24" max="24" width="17.42578125" bestFit="1" customWidth="1"/>
  </cols>
  <sheetData>
    <row r="1" spans="1:24" ht="28.5" customHeight="1">
      <c r="A1" s="115"/>
      <c r="B1" s="116"/>
      <c r="C1" s="117"/>
      <c r="D1" s="1"/>
      <c r="E1" s="2"/>
      <c r="F1" s="110" t="s">
        <v>101</v>
      </c>
      <c r="G1" s="111"/>
      <c r="H1" s="111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4" ht="56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7" t="s">
        <v>22</v>
      </c>
      <c r="W2" s="7" t="s">
        <v>23</v>
      </c>
      <c r="X2" s="6" t="s">
        <v>24</v>
      </c>
    </row>
    <row r="3" spans="1:24" ht="15">
      <c r="A3" s="9">
        <v>1</v>
      </c>
      <c r="B3" s="10">
        <v>46143</v>
      </c>
      <c r="C3" s="11" t="s">
        <v>25</v>
      </c>
      <c r="D3" s="11" t="s">
        <v>26</v>
      </c>
      <c r="E3" s="11" t="s">
        <v>27</v>
      </c>
      <c r="F3" s="12"/>
      <c r="G3" s="13"/>
      <c r="H3" s="14">
        <f t="shared" ref="H3:H21" si="0">IFERROR(G3/F3,0)</f>
        <v>0</v>
      </c>
      <c r="I3" s="15"/>
      <c r="J3" s="15"/>
      <c r="K3" s="16">
        <f t="shared" ref="K3:K11" si="1">G3-I3-J3</f>
        <v>0</v>
      </c>
      <c r="L3" s="12"/>
      <c r="M3" s="13"/>
      <c r="N3" s="13"/>
      <c r="O3" s="17">
        <f t="shared" ref="O3:O16" si="2">N3+M3</f>
        <v>0</v>
      </c>
      <c r="P3" s="17">
        <f t="shared" ref="P3:P16" si="3">M3-N3</f>
        <v>0</v>
      </c>
      <c r="Q3" s="16">
        <f t="shared" ref="Q3:Q10" si="4">IFERROR(L3-N3-M3,0)</f>
        <v>0</v>
      </c>
      <c r="R3" s="18">
        <f>IFERROR((K3/G3),0)</f>
        <v>0</v>
      </c>
      <c r="S3" s="18">
        <f t="shared" ref="S3:S21" si="5">IFERROR(1-(O3/L3),0)</f>
        <v>0</v>
      </c>
      <c r="T3" s="18">
        <f t="shared" ref="T3:T21" si="6">IFERROR(1-(P3/L3),0)</f>
        <v>0</v>
      </c>
      <c r="U3" s="19">
        <v>1E-3</v>
      </c>
      <c r="V3" s="20">
        <f>IFERROR(I3/G3,0)</f>
        <v>0</v>
      </c>
      <c r="W3" s="20">
        <f>IFERROR(J3/G3,0)</f>
        <v>0</v>
      </c>
      <c r="X3" s="11" t="s">
        <v>28</v>
      </c>
    </row>
    <row r="4" spans="1:24" ht="15">
      <c r="A4" s="9">
        <f t="shared" ref="A4:A20" si="7">A3+1</f>
        <v>2</v>
      </c>
      <c r="B4" s="10">
        <v>46143</v>
      </c>
      <c r="C4" s="21" t="s">
        <v>29</v>
      </c>
      <c r="D4" s="11" t="s">
        <v>26</v>
      </c>
      <c r="E4" s="11" t="s">
        <v>27</v>
      </c>
      <c r="F4" s="22"/>
      <c r="G4" s="22"/>
      <c r="H4" s="14">
        <f t="shared" si="0"/>
        <v>0</v>
      </c>
      <c r="I4" s="22"/>
      <c r="J4" s="22"/>
      <c r="K4" s="16">
        <f t="shared" si="1"/>
        <v>0</v>
      </c>
      <c r="L4" s="12"/>
      <c r="M4" s="13"/>
      <c r="N4" s="13"/>
      <c r="O4" s="17">
        <f t="shared" si="2"/>
        <v>0</v>
      </c>
      <c r="P4" s="17">
        <f t="shared" si="3"/>
        <v>0</v>
      </c>
      <c r="Q4" s="16">
        <f t="shared" si="4"/>
        <v>0</v>
      </c>
      <c r="R4" s="18">
        <f t="shared" ref="R4:R5" si="8">IFERROR((K4/G5),0)</f>
        <v>0</v>
      </c>
      <c r="S4" s="18">
        <f t="shared" si="5"/>
        <v>0</v>
      </c>
      <c r="T4" s="18">
        <f t="shared" si="6"/>
        <v>0</v>
      </c>
      <c r="U4" s="19">
        <v>1.5E-3</v>
      </c>
      <c r="V4" s="20">
        <f>IFERROR(I5/G5,0)</f>
        <v>0</v>
      </c>
      <c r="W4" s="20">
        <f>IFERROR(J5/G5,0)</f>
        <v>0</v>
      </c>
      <c r="X4" s="11" t="s">
        <v>28</v>
      </c>
    </row>
    <row r="5" spans="1:24" ht="23.25">
      <c r="A5" s="9">
        <f t="shared" si="7"/>
        <v>3</v>
      </c>
      <c r="B5" s="10">
        <v>46143</v>
      </c>
      <c r="C5" s="21" t="s">
        <v>30</v>
      </c>
      <c r="D5" s="11" t="s">
        <v>26</v>
      </c>
      <c r="E5" s="11" t="s">
        <v>27</v>
      </c>
      <c r="F5" s="12"/>
      <c r="G5" s="13"/>
      <c r="H5" s="14">
        <f t="shared" si="0"/>
        <v>0</v>
      </c>
      <c r="I5" s="15"/>
      <c r="J5" s="15"/>
      <c r="K5" s="16">
        <f t="shared" si="1"/>
        <v>0</v>
      </c>
      <c r="L5" s="12"/>
      <c r="M5" s="13"/>
      <c r="N5" s="13"/>
      <c r="O5" s="17">
        <f t="shared" si="2"/>
        <v>0</v>
      </c>
      <c r="P5" s="17">
        <f t="shared" si="3"/>
        <v>0</v>
      </c>
      <c r="Q5" s="16">
        <f t="shared" si="4"/>
        <v>0</v>
      </c>
      <c r="R5" s="18">
        <f t="shared" si="8"/>
        <v>0</v>
      </c>
      <c r="S5" s="18">
        <f t="shared" si="5"/>
        <v>0</v>
      </c>
      <c r="T5" s="18">
        <f t="shared" si="6"/>
        <v>0</v>
      </c>
      <c r="U5" s="19">
        <v>0</v>
      </c>
      <c r="V5" s="20">
        <f t="shared" ref="V5:W5" si="9">IFERROR(#REF!/#REF!,0)</f>
        <v>0</v>
      </c>
      <c r="W5" s="20">
        <f t="shared" si="9"/>
        <v>0</v>
      </c>
      <c r="X5" s="11" t="s">
        <v>28</v>
      </c>
    </row>
    <row r="6" spans="1:24" ht="15">
      <c r="A6" s="9">
        <f t="shared" si="7"/>
        <v>4</v>
      </c>
      <c r="B6" s="10">
        <v>46143</v>
      </c>
      <c r="C6" s="21" t="s">
        <v>31</v>
      </c>
      <c r="D6" s="11" t="s">
        <v>26</v>
      </c>
      <c r="E6" s="11" t="s">
        <v>27</v>
      </c>
      <c r="F6" s="12"/>
      <c r="G6" s="13"/>
      <c r="H6" s="14">
        <f t="shared" si="0"/>
        <v>0</v>
      </c>
      <c r="I6" s="15"/>
      <c r="J6" s="15"/>
      <c r="K6" s="16">
        <f t="shared" si="1"/>
        <v>0</v>
      </c>
      <c r="L6" s="23"/>
      <c r="M6" s="13"/>
      <c r="N6" s="13"/>
      <c r="O6" s="17">
        <f t="shared" si="2"/>
        <v>0</v>
      </c>
      <c r="P6" s="17">
        <f t="shared" si="3"/>
        <v>0</v>
      </c>
      <c r="Q6" s="16">
        <f t="shared" si="4"/>
        <v>0</v>
      </c>
      <c r="R6" s="18">
        <f t="shared" ref="R6:R21" si="10">IFERROR((K6/G6),0)</f>
        <v>0</v>
      </c>
      <c r="S6" s="18">
        <f t="shared" si="5"/>
        <v>0</v>
      </c>
      <c r="T6" s="18">
        <f t="shared" si="6"/>
        <v>0</v>
      </c>
      <c r="U6" s="19">
        <v>1.5E-3</v>
      </c>
      <c r="V6" s="20">
        <f t="shared" ref="V6:V21" si="11">IFERROR(I6/G6,0)</f>
        <v>0</v>
      </c>
      <c r="W6" s="20">
        <f t="shared" ref="W6:W21" si="12">IFERROR(J6/G6,0)</f>
        <v>0</v>
      </c>
      <c r="X6" s="11" t="s">
        <v>28</v>
      </c>
    </row>
    <row r="7" spans="1:24" ht="15">
      <c r="A7" s="9">
        <f t="shared" si="7"/>
        <v>5</v>
      </c>
      <c r="B7" s="10">
        <v>46143</v>
      </c>
      <c r="C7" s="21" t="s">
        <v>32</v>
      </c>
      <c r="D7" s="11" t="s">
        <v>26</v>
      </c>
      <c r="E7" s="11" t="s">
        <v>27</v>
      </c>
      <c r="F7" s="12"/>
      <c r="G7" s="13"/>
      <c r="H7" s="14">
        <f t="shared" si="0"/>
        <v>0</v>
      </c>
      <c r="I7" s="15"/>
      <c r="J7" s="15"/>
      <c r="K7" s="16">
        <f t="shared" si="1"/>
        <v>0</v>
      </c>
      <c r="L7" s="12"/>
      <c r="M7" s="13"/>
      <c r="N7" s="13"/>
      <c r="O7" s="17">
        <f t="shared" si="2"/>
        <v>0</v>
      </c>
      <c r="P7" s="17">
        <f t="shared" si="3"/>
        <v>0</v>
      </c>
      <c r="Q7" s="16">
        <f t="shared" si="4"/>
        <v>0</v>
      </c>
      <c r="R7" s="18">
        <f t="shared" si="10"/>
        <v>0</v>
      </c>
      <c r="S7" s="18">
        <f t="shared" si="5"/>
        <v>0</v>
      </c>
      <c r="T7" s="18">
        <f t="shared" si="6"/>
        <v>0</v>
      </c>
      <c r="U7" s="19">
        <v>1.5E-3</v>
      </c>
      <c r="V7" s="20">
        <f t="shared" si="11"/>
        <v>0</v>
      </c>
      <c r="W7" s="20">
        <f t="shared" si="12"/>
        <v>0</v>
      </c>
      <c r="X7" s="11" t="s">
        <v>33</v>
      </c>
    </row>
    <row r="8" spans="1:24" ht="15">
      <c r="A8" s="9">
        <f t="shared" si="7"/>
        <v>6</v>
      </c>
      <c r="B8" s="10">
        <v>46143</v>
      </c>
      <c r="C8" s="21" t="s">
        <v>34</v>
      </c>
      <c r="D8" s="11" t="s">
        <v>26</v>
      </c>
      <c r="E8" s="11" t="s">
        <v>27</v>
      </c>
      <c r="F8" s="12"/>
      <c r="G8" s="12"/>
      <c r="H8" s="14">
        <f t="shared" si="0"/>
        <v>0</v>
      </c>
      <c r="I8" s="15"/>
      <c r="J8" s="15"/>
      <c r="K8" s="16">
        <f t="shared" si="1"/>
        <v>0</v>
      </c>
      <c r="L8" s="12"/>
      <c r="M8" s="13"/>
      <c r="N8" s="13"/>
      <c r="O8" s="17">
        <f t="shared" si="2"/>
        <v>0</v>
      </c>
      <c r="P8" s="17">
        <f t="shared" si="3"/>
        <v>0</v>
      </c>
      <c r="Q8" s="16">
        <f t="shared" si="4"/>
        <v>0</v>
      </c>
      <c r="R8" s="18">
        <f t="shared" si="10"/>
        <v>0</v>
      </c>
      <c r="S8" s="18">
        <f t="shared" si="5"/>
        <v>0</v>
      </c>
      <c r="T8" s="18">
        <f t="shared" si="6"/>
        <v>0</v>
      </c>
      <c r="U8" s="19">
        <v>0</v>
      </c>
      <c r="V8" s="20">
        <f t="shared" si="11"/>
        <v>0</v>
      </c>
      <c r="W8" s="20">
        <f t="shared" si="12"/>
        <v>0</v>
      </c>
      <c r="X8" s="11" t="s">
        <v>35</v>
      </c>
    </row>
    <row r="9" spans="1:24" ht="15">
      <c r="A9" s="9">
        <f t="shared" si="7"/>
        <v>7</v>
      </c>
      <c r="B9" s="10">
        <v>46143</v>
      </c>
      <c r="C9" s="21" t="s">
        <v>37</v>
      </c>
      <c r="D9" s="11" t="s">
        <v>26</v>
      </c>
      <c r="E9" s="11" t="s">
        <v>27</v>
      </c>
      <c r="F9" s="12"/>
      <c r="G9" s="13"/>
      <c r="H9" s="14">
        <f t="shared" si="0"/>
        <v>0</v>
      </c>
      <c r="I9" s="15"/>
      <c r="J9" s="15"/>
      <c r="K9" s="16">
        <f t="shared" si="1"/>
        <v>0</v>
      </c>
      <c r="L9" s="12"/>
      <c r="M9" s="13"/>
      <c r="N9" s="13"/>
      <c r="O9" s="17">
        <f t="shared" si="2"/>
        <v>0</v>
      </c>
      <c r="P9" s="17">
        <f t="shared" si="3"/>
        <v>0</v>
      </c>
      <c r="Q9" s="16">
        <f t="shared" si="4"/>
        <v>0</v>
      </c>
      <c r="R9" s="18">
        <f t="shared" si="10"/>
        <v>0</v>
      </c>
      <c r="S9" s="18">
        <f t="shared" si="5"/>
        <v>0</v>
      </c>
      <c r="T9" s="18">
        <f t="shared" si="6"/>
        <v>0</v>
      </c>
      <c r="U9" s="19">
        <v>5.0000000000000001E-4</v>
      </c>
      <c r="V9" s="20">
        <f t="shared" si="11"/>
        <v>0</v>
      </c>
      <c r="W9" s="20">
        <f t="shared" si="12"/>
        <v>0</v>
      </c>
      <c r="X9" s="11" t="s">
        <v>28</v>
      </c>
    </row>
    <row r="10" spans="1:24" ht="15">
      <c r="A10" s="9">
        <f t="shared" si="7"/>
        <v>8</v>
      </c>
      <c r="B10" s="10">
        <v>46143</v>
      </c>
      <c r="C10" s="21" t="s">
        <v>38</v>
      </c>
      <c r="D10" s="11" t="s">
        <v>26</v>
      </c>
      <c r="E10" s="11" t="s">
        <v>27</v>
      </c>
      <c r="F10" s="12"/>
      <c r="G10" s="13"/>
      <c r="H10" s="14">
        <f t="shared" si="0"/>
        <v>0</v>
      </c>
      <c r="I10" s="15"/>
      <c r="J10" s="15"/>
      <c r="K10" s="16">
        <f t="shared" si="1"/>
        <v>0</v>
      </c>
      <c r="L10" s="121"/>
      <c r="M10" s="113"/>
      <c r="N10" s="13"/>
      <c r="O10" s="17">
        <f t="shared" si="2"/>
        <v>0</v>
      </c>
      <c r="P10" s="17">
        <f t="shared" si="3"/>
        <v>0</v>
      </c>
      <c r="Q10" s="16">
        <f t="shared" si="4"/>
        <v>0</v>
      </c>
      <c r="R10" s="18">
        <f t="shared" si="10"/>
        <v>0</v>
      </c>
      <c r="S10" s="18">
        <f t="shared" si="5"/>
        <v>0</v>
      </c>
      <c r="T10" s="18">
        <f t="shared" si="6"/>
        <v>0</v>
      </c>
      <c r="U10" s="19">
        <v>0</v>
      </c>
      <c r="V10" s="20">
        <f t="shared" si="11"/>
        <v>0</v>
      </c>
      <c r="W10" s="20">
        <f t="shared" si="12"/>
        <v>0</v>
      </c>
      <c r="X10" s="11" t="s">
        <v>28</v>
      </c>
    </row>
    <row r="11" spans="1:24" ht="15">
      <c r="A11" s="9">
        <f t="shared" si="7"/>
        <v>9</v>
      </c>
      <c r="B11" s="10">
        <v>46143</v>
      </c>
      <c r="C11" s="21" t="s">
        <v>39</v>
      </c>
      <c r="D11" s="11" t="s">
        <v>26</v>
      </c>
      <c r="E11" s="11" t="s">
        <v>27</v>
      </c>
      <c r="F11" s="12">
        <v>644</v>
      </c>
      <c r="G11" s="13">
        <v>644</v>
      </c>
      <c r="H11" s="14">
        <f t="shared" si="0"/>
        <v>1</v>
      </c>
      <c r="I11" s="15">
        <v>0</v>
      </c>
      <c r="J11" s="15">
        <v>0</v>
      </c>
      <c r="K11" s="120">
        <f t="shared" si="1"/>
        <v>644</v>
      </c>
      <c r="L11" s="123">
        <v>48852583.219999999</v>
      </c>
      <c r="M11" s="112">
        <v>0</v>
      </c>
      <c r="N11" s="112">
        <v>0</v>
      </c>
      <c r="O11" s="17">
        <f>N11+L11</f>
        <v>48852583.219999999</v>
      </c>
      <c r="P11" s="17">
        <f>L11-N11</f>
        <v>48852583.219999999</v>
      </c>
      <c r="Q11" s="16">
        <f>IFERROR(#REF!-N11-L11,0)</f>
        <v>0</v>
      </c>
      <c r="R11" s="18">
        <f t="shared" si="10"/>
        <v>1</v>
      </c>
      <c r="S11" s="18">
        <f>IFERROR(1-(P11/#REF!),0)</f>
        <v>0</v>
      </c>
      <c r="T11" s="18">
        <f>IFERROR(1-(#REF!/#REF!),0)</f>
        <v>0</v>
      </c>
      <c r="U11" s="19">
        <v>0</v>
      </c>
      <c r="V11" s="20">
        <f t="shared" si="11"/>
        <v>0</v>
      </c>
      <c r="W11" s="20">
        <f t="shared" si="12"/>
        <v>0</v>
      </c>
      <c r="X11" s="11" t="s">
        <v>28</v>
      </c>
    </row>
    <row r="12" spans="1:24" ht="23.25">
      <c r="A12" s="9">
        <f t="shared" si="7"/>
        <v>10</v>
      </c>
      <c r="B12" s="10">
        <v>46143</v>
      </c>
      <c r="C12" s="21" t="s">
        <v>40</v>
      </c>
      <c r="D12" s="11" t="s">
        <v>26</v>
      </c>
      <c r="E12" s="11" t="s">
        <v>27</v>
      </c>
      <c r="F12" s="12"/>
      <c r="G12" s="13"/>
      <c r="H12" s="14">
        <f t="shared" si="0"/>
        <v>0</v>
      </c>
      <c r="I12" s="15"/>
      <c r="J12" s="15"/>
      <c r="K12" s="16">
        <f>G12-I12-I12</f>
        <v>0</v>
      </c>
      <c r="L12" s="122"/>
      <c r="M12" s="114"/>
      <c r="N12" s="13"/>
      <c r="O12" s="17">
        <f t="shared" si="2"/>
        <v>0</v>
      </c>
      <c r="P12" s="17">
        <f t="shared" si="3"/>
        <v>0</v>
      </c>
      <c r="Q12" s="16">
        <f>L12</f>
        <v>0</v>
      </c>
      <c r="R12" s="18">
        <f t="shared" si="10"/>
        <v>0</v>
      </c>
      <c r="S12" s="18">
        <f t="shared" si="5"/>
        <v>0</v>
      </c>
      <c r="T12" s="18">
        <f t="shared" si="6"/>
        <v>0</v>
      </c>
      <c r="U12" s="19">
        <v>0</v>
      </c>
      <c r="V12" s="20">
        <f t="shared" si="11"/>
        <v>0</v>
      </c>
      <c r="W12" s="20">
        <f t="shared" si="12"/>
        <v>0</v>
      </c>
      <c r="X12" s="11" t="s">
        <v>41</v>
      </c>
    </row>
    <row r="13" spans="1:24" ht="15">
      <c r="A13" s="9">
        <f t="shared" si="7"/>
        <v>11</v>
      </c>
      <c r="B13" s="10">
        <v>46143</v>
      </c>
      <c r="C13" s="21" t="s">
        <v>42</v>
      </c>
      <c r="D13" s="11" t="s">
        <v>26</v>
      </c>
      <c r="E13" s="11" t="s">
        <v>27</v>
      </c>
      <c r="F13" s="12"/>
      <c r="G13" s="13"/>
      <c r="H13" s="14">
        <f t="shared" si="0"/>
        <v>0</v>
      </c>
      <c r="I13" s="15"/>
      <c r="J13" s="15"/>
      <c r="K13" s="16">
        <f t="shared" ref="K13:K21" si="13">G13-I13-J13</f>
        <v>0</v>
      </c>
      <c r="L13" s="12"/>
      <c r="M13" s="13"/>
      <c r="N13" s="13"/>
      <c r="O13" s="17">
        <f t="shared" si="2"/>
        <v>0</v>
      </c>
      <c r="P13" s="17">
        <f t="shared" si="3"/>
        <v>0</v>
      </c>
      <c r="Q13" s="16">
        <f>IFERROR(L13-N13-M13,0)</f>
        <v>0</v>
      </c>
      <c r="R13" s="18">
        <f t="shared" si="10"/>
        <v>0</v>
      </c>
      <c r="S13" s="18">
        <f t="shared" si="5"/>
        <v>0</v>
      </c>
      <c r="T13" s="18">
        <f t="shared" si="6"/>
        <v>0</v>
      </c>
      <c r="U13" s="19">
        <v>0</v>
      </c>
      <c r="V13" s="20">
        <f t="shared" si="11"/>
        <v>0</v>
      </c>
      <c r="W13" s="20">
        <f t="shared" si="12"/>
        <v>0</v>
      </c>
      <c r="X13" s="11" t="s">
        <v>43</v>
      </c>
    </row>
    <row r="14" spans="1:24" ht="15">
      <c r="A14" s="9">
        <f t="shared" si="7"/>
        <v>12</v>
      </c>
      <c r="B14" s="10">
        <v>46143</v>
      </c>
      <c r="C14" s="21" t="s">
        <v>44</v>
      </c>
      <c r="D14" s="11" t="s">
        <v>26</v>
      </c>
      <c r="E14" s="11" t="s">
        <v>27</v>
      </c>
      <c r="F14" s="12"/>
      <c r="G14" s="12"/>
      <c r="H14" s="14">
        <f t="shared" si="0"/>
        <v>0</v>
      </c>
      <c r="I14" s="15"/>
      <c r="J14" s="15"/>
      <c r="K14" s="16">
        <f t="shared" si="13"/>
        <v>0</v>
      </c>
      <c r="L14" s="12"/>
      <c r="M14" s="13"/>
      <c r="N14" s="13"/>
      <c r="O14" s="17">
        <f t="shared" si="2"/>
        <v>0</v>
      </c>
      <c r="P14" s="17">
        <f t="shared" si="3"/>
        <v>0</v>
      </c>
      <c r="Q14" s="16">
        <f>L14</f>
        <v>0</v>
      </c>
      <c r="R14" s="18">
        <f t="shared" si="10"/>
        <v>0</v>
      </c>
      <c r="S14" s="18">
        <f t="shared" si="5"/>
        <v>0</v>
      </c>
      <c r="T14" s="18">
        <f t="shared" si="6"/>
        <v>0</v>
      </c>
      <c r="U14" s="19">
        <v>0</v>
      </c>
      <c r="V14" s="20">
        <f t="shared" si="11"/>
        <v>0</v>
      </c>
      <c r="W14" s="20">
        <f t="shared" si="12"/>
        <v>0</v>
      </c>
      <c r="X14" s="11" t="s">
        <v>28</v>
      </c>
    </row>
    <row r="15" spans="1:24" ht="15">
      <c r="A15" s="9">
        <f t="shared" si="7"/>
        <v>13</v>
      </c>
      <c r="B15" s="10">
        <v>46143</v>
      </c>
      <c r="C15" s="21" t="s">
        <v>45</v>
      </c>
      <c r="D15" s="11" t="s">
        <v>26</v>
      </c>
      <c r="E15" s="11" t="s">
        <v>27</v>
      </c>
      <c r="F15" s="12"/>
      <c r="G15" s="12"/>
      <c r="H15" s="14">
        <f t="shared" si="0"/>
        <v>0</v>
      </c>
      <c r="I15" s="15"/>
      <c r="J15" s="15"/>
      <c r="K15" s="16">
        <f t="shared" si="13"/>
        <v>0</v>
      </c>
      <c r="L15" s="12"/>
      <c r="M15" s="13"/>
      <c r="N15" s="13"/>
      <c r="O15" s="17">
        <f t="shared" si="2"/>
        <v>0</v>
      </c>
      <c r="P15" s="17">
        <f t="shared" si="3"/>
        <v>0</v>
      </c>
      <c r="Q15" s="16">
        <f t="shared" ref="Q15:Q21" si="14">IFERROR(L15-N15-M15,0)</f>
        <v>0</v>
      </c>
      <c r="R15" s="18">
        <f t="shared" si="10"/>
        <v>0</v>
      </c>
      <c r="S15" s="18">
        <f t="shared" si="5"/>
        <v>0</v>
      </c>
      <c r="T15" s="18">
        <f t="shared" si="6"/>
        <v>0</v>
      </c>
      <c r="U15" s="19">
        <v>0</v>
      </c>
      <c r="V15" s="20">
        <f t="shared" si="11"/>
        <v>0</v>
      </c>
      <c r="W15" s="20">
        <f t="shared" si="12"/>
        <v>0</v>
      </c>
      <c r="X15" s="25" t="s">
        <v>46</v>
      </c>
    </row>
    <row r="16" spans="1:24" ht="15">
      <c r="A16" s="9">
        <f t="shared" si="7"/>
        <v>14</v>
      </c>
      <c r="B16" s="10">
        <v>46143</v>
      </c>
      <c r="C16" s="21" t="s">
        <v>47</v>
      </c>
      <c r="D16" s="11" t="s">
        <v>26</v>
      </c>
      <c r="E16" s="11" t="s">
        <v>27</v>
      </c>
      <c r="F16" s="12"/>
      <c r="G16" s="12"/>
      <c r="H16" s="14">
        <f t="shared" si="0"/>
        <v>0</v>
      </c>
      <c r="I16" s="15"/>
      <c r="J16" s="15"/>
      <c r="K16" s="16">
        <f t="shared" si="13"/>
        <v>0</v>
      </c>
      <c r="L16" s="12"/>
      <c r="M16" s="13"/>
      <c r="N16" s="13"/>
      <c r="O16" s="17">
        <f t="shared" si="2"/>
        <v>0</v>
      </c>
      <c r="P16" s="17">
        <f t="shared" si="3"/>
        <v>0</v>
      </c>
      <c r="Q16" s="16">
        <f t="shared" si="14"/>
        <v>0</v>
      </c>
      <c r="R16" s="18">
        <f t="shared" si="10"/>
        <v>0</v>
      </c>
      <c r="S16" s="18">
        <f t="shared" si="5"/>
        <v>0</v>
      </c>
      <c r="T16" s="18">
        <f t="shared" si="6"/>
        <v>0</v>
      </c>
      <c r="U16" s="19">
        <v>0</v>
      </c>
      <c r="V16" s="20">
        <f t="shared" si="11"/>
        <v>0</v>
      </c>
      <c r="W16" s="20">
        <f t="shared" si="12"/>
        <v>0</v>
      </c>
      <c r="X16" s="25" t="s">
        <v>46</v>
      </c>
    </row>
    <row r="17" spans="1:24" ht="15">
      <c r="A17" s="9">
        <f t="shared" si="7"/>
        <v>15</v>
      </c>
      <c r="B17" s="10">
        <v>46143</v>
      </c>
      <c r="C17" s="21" t="s">
        <v>48</v>
      </c>
      <c r="D17" s="11" t="s">
        <v>26</v>
      </c>
      <c r="E17" s="11" t="s">
        <v>27</v>
      </c>
      <c r="F17" s="12"/>
      <c r="G17" s="12"/>
      <c r="H17" s="14">
        <f t="shared" si="0"/>
        <v>0</v>
      </c>
      <c r="I17" s="15"/>
      <c r="J17" s="15"/>
      <c r="K17" s="16">
        <f t="shared" si="13"/>
        <v>0</v>
      </c>
      <c r="L17" s="26"/>
      <c r="M17" s="13"/>
      <c r="N17" s="13"/>
      <c r="O17" s="17">
        <v>0</v>
      </c>
      <c r="P17" s="17">
        <v>0</v>
      </c>
      <c r="Q17" s="16">
        <f t="shared" si="14"/>
        <v>0</v>
      </c>
      <c r="R17" s="18">
        <f t="shared" si="10"/>
        <v>0</v>
      </c>
      <c r="S17" s="18">
        <f t="shared" si="5"/>
        <v>0</v>
      </c>
      <c r="T17" s="18">
        <f t="shared" si="6"/>
        <v>0</v>
      </c>
      <c r="U17" s="19">
        <v>0</v>
      </c>
      <c r="V17" s="20">
        <f t="shared" si="11"/>
        <v>0</v>
      </c>
      <c r="W17" s="20">
        <f t="shared" si="12"/>
        <v>0</v>
      </c>
      <c r="X17" s="11" t="s">
        <v>28</v>
      </c>
    </row>
    <row r="18" spans="1:24" ht="15">
      <c r="A18" s="9">
        <f t="shared" si="7"/>
        <v>16</v>
      </c>
      <c r="B18" s="10">
        <v>46143</v>
      </c>
      <c r="C18" s="21" t="s">
        <v>49</v>
      </c>
      <c r="D18" s="11" t="s">
        <v>26</v>
      </c>
      <c r="E18" s="11" t="s">
        <v>27</v>
      </c>
      <c r="F18" s="27"/>
      <c r="G18" s="27"/>
      <c r="H18" s="14">
        <f t="shared" si="0"/>
        <v>0</v>
      </c>
      <c r="I18" s="15"/>
      <c r="J18" s="15"/>
      <c r="K18" s="16">
        <f t="shared" si="13"/>
        <v>0</v>
      </c>
      <c r="L18" s="28"/>
      <c r="M18" s="13"/>
      <c r="N18" s="13"/>
      <c r="O18" s="17">
        <f t="shared" ref="O18:O21" si="15">N18+M18</f>
        <v>0</v>
      </c>
      <c r="P18" s="17">
        <f t="shared" ref="P18:P21" si="16">M18-N18</f>
        <v>0</v>
      </c>
      <c r="Q18" s="16">
        <f t="shared" si="14"/>
        <v>0</v>
      </c>
      <c r="R18" s="18">
        <f t="shared" si="10"/>
        <v>0</v>
      </c>
      <c r="S18" s="18">
        <f t="shared" si="5"/>
        <v>0</v>
      </c>
      <c r="T18" s="18">
        <f t="shared" si="6"/>
        <v>0</v>
      </c>
      <c r="U18" s="19">
        <v>0</v>
      </c>
      <c r="V18" s="20">
        <f t="shared" si="11"/>
        <v>0</v>
      </c>
      <c r="W18" s="20">
        <f t="shared" si="12"/>
        <v>0</v>
      </c>
      <c r="X18" s="25" t="s">
        <v>46</v>
      </c>
    </row>
    <row r="19" spans="1:24" ht="15">
      <c r="A19" s="9">
        <f t="shared" si="7"/>
        <v>17</v>
      </c>
      <c r="B19" s="10">
        <v>46143</v>
      </c>
      <c r="C19" s="21" t="s">
        <v>50</v>
      </c>
      <c r="D19" s="11" t="s">
        <v>26</v>
      </c>
      <c r="E19" s="11" t="s">
        <v>27</v>
      </c>
      <c r="F19" s="27"/>
      <c r="G19" s="27"/>
      <c r="H19" s="14">
        <f t="shared" si="0"/>
        <v>0</v>
      </c>
      <c r="I19" s="15"/>
      <c r="J19" s="15"/>
      <c r="K19" s="16">
        <f t="shared" si="13"/>
        <v>0</v>
      </c>
      <c r="L19" s="29"/>
      <c r="M19" s="13"/>
      <c r="N19" s="13"/>
      <c r="O19" s="17">
        <f t="shared" si="15"/>
        <v>0</v>
      </c>
      <c r="P19" s="17">
        <f t="shared" si="16"/>
        <v>0</v>
      </c>
      <c r="Q19" s="16">
        <f t="shared" si="14"/>
        <v>0</v>
      </c>
      <c r="R19" s="18">
        <f t="shared" si="10"/>
        <v>0</v>
      </c>
      <c r="S19" s="18">
        <f t="shared" si="5"/>
        <v>0</v>
      </c>
      <c r="T19" s="18">
        <f t="shared" si="6"/>
        <v>0</v>
      </c>
      <c r="U19" s="19">
        <v>0</v>
      </c>
      <c r="V19" s="20">
        <f t="shared" si="11"/>
        <v>0</v>
      </c>
      <c r="W19" s="20">
        <f t="shared" si="12"/>
        <v>0</v>
      </c>
      <c r="X19" s="25" t="s">
        <v>46</v>
      </c>
    </row>
    <row r="20" spans="1:24" ht="15">
      <c r="A20" s="9">
        <f t="shared" si="7"/>
        <v>18</v>
      </c>
      <c r="B20" s="10">
        <v>46143</v>
      </c>
      <c r="C20" s="21" t="s">
        <v>51</v>
      </c>
      <c r="D20" s="11" t="s">
        <v>26</v>
      </c>
      <c r="E20" s="11" t="s">
        <v>27</v>
      </c>
      <c r="F20" s="27"/>
      <c r="G20" s="27"/>
      <c r="H20" s="14">
        <f t="shared" si="0"/>
        <v>0</v>
      </c>
      <c r="I20" s="15"/>
      <c r="J20" s="15"/>
      <c r="K20" s="16">
        <f t="shared" si="13"/>
        <v>0</v>
      </c>
      <c r="L20" s="29"/>
      <c r="M20" s="13"/>
      <c r="N20" s="13"/>
      <c r="O20" s="17">
        <f t="shared" si="15"/>
        <v>0</v>
      </c>
      <c r="P20" s="17">
        <f t="shared" si="16"/>
        <v>0</v>
      </c>
      <c r="Q20" s="16">
        <f t="shared" si="14"/>
        <v>0</v>
      </c>
      <c r="R20" s="18">
        <f t="shared" si="10"/>
        <v>0</v>
      </c>
      <c r="S20" s="18">
        <f t="shared" si="5"/>
        <v>0</v>
      </c>
      <c r="T20" s="18">
        <f t="shared" si="6"/>
        <v>0</v>
      </c>
      <c r="U20" s="19">
        <v>0</v>
      </c>
      <c r="V20" s="20">
        <f t="shared" si="11"/>
        <v>0</v>
      </c>
      <c r="W20" s="20">
        <f t="shared" si="12"/>
        <v>0</v>
      </c>
      <c r="X20" s="25" t="s">
        <v>46</v>
      </c>
    </row>
    <row r="21" spans="1:24" ht="15">
      <c r="A21" s="30" t="s">
        <v>52</v>
      </c>
      <c r="B21" s="31"/>
      <c r="C21" s="31"/>
      <c r="D21" s="32"/>
      <c r="E21" s="32"/>
      <c r="F21" s="33">
        <f t="shared" ref="F21:G21" si="17">SUM(F3:F20)</f>
        <v>644</v>
      </c>
      <c r="G21" s="33">
        <f t="shared" si="17"/>
        <v>644</v>
      </c>
      <c r="H21" s="34">
        <f t="shared" si="0"/>
        <v>1</v>
      </c>
      <c r="I21" s="33">
        <f t="shared" ref="I21:J21" si="18">SUM(I3:I20)</f>
        <v>0</v>
      </c>
      <c r="J21" s="33">
        <f t="shared" si="18"/>
        <v>0</v>
      </c>
      <c r="K21" s="35">
        <f t="shared" si="13"/>
        <v>644</v>
      </c>
      <c r="L21" s="36">
        <f t="shared" ref="L21:N21" si="19">SUM(L3:L20)</f>
        <v>48852583.219999999</v>
      </c>
      <c r="M21" s="37">
        <f t="shared" si="19"/>
        <v>0</v>
      </c>
      <c r="N21" s="37">
        <f t="shared" si="19"/>
        <v>0</v>
      </c>
      <c r="O21" s="38">
        <f t="shared" si="15"/>
        <v>0</v>
      </c>
      <c r="P21" s="38">
        <f t="shared" si="16"/>
        <v>0</v>
      </c>
      <c r="Q21" s="39">
        <f t="shared" si="14"/>
        <v>48852583.219999999</v>
      </c>
      <c r="R21" s="40">
        <f t="shared" si="10"/>
        <v>1</v>
      </c>
      <c r="S21" s="40">
        <f t="shared" si="5"/>
        <v>1</v>
      </c>
      <c r="T21" s="40">
        <f t="shared" si="6"/>
        <v>1</v>
      </c>
      <c r="U21" s="31"/>
      <c r="V21" s="40">
        <f t="shared" si="11"/>
        <v>0</v>
      </c>
      <c r="W21" s="40">
        <f t="shared" si="12"/>
        <v>0</v>
      </c>
      <c r="X21" s="31"/>
    </row>
    <row r="22" spans="1:24" ht="1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4" ht="1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4" ht="15">
      <c r="A24" s="41"/>
      <c r="B24" s="5"/>
      <c r="C24" s="5"/>
      <c r="D24" s="5"/>
      <c r="E24" s="5"/>
      <c r="F24" s="5"/>
      <c r="G24" s="5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51.75">
      <c r="A25" s="43"/>
      <c r="B25" s="44" t="s">
        <v>53</v>
      </c>
      <c r="C25" s="45" t="s">
        <v>3</v>
      </c>
      <c r="D25" s="45" t="str">
        <f t="shared" ref="D25:D43" si="20">H2</f>
        <v>CC Adherance %</v>
      </c>
      <c r="E25" s="45" t="str">
        <f t="shared" ref="E25:G25" si="21">R2</f>
        <v>Inventory Record Accuracy (IRA)</v>
      </c>
      <c r="F25" s="45" t="str">
        <f t="shared" si="21"/>
        <v>Inventory Value Accuracy -GROSS
 (IVA)</v>
      </c>
      <c r="G25" s="45" t="str">
        <f t="shared" si="21"/>
        <v>Inventory Value Accuracy -NET 
 (IVA)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">
      <c r="A26" s="43"/>
      <c r="B26" s="46">
        <v>1</v>
      </c>
      <c r="C26" s="47" t="str">
        <f t="shared" ref="C26:C43" si="22">C3</f>
        <v>Bic Cello</v>
      </c>
      <c r="D26" s="48">
        <f t="shared" si="20"/>
        <v>0</v>
      </c>
      <c r="E26" s="49">
        <f t="shared" ref="E26:G26" si="23">R3</f>
        <v>0</v>
      </c>
      <c r="F26" s="49">
        <f t="shared" si="23"/>
        <v>0</v>
      </c>
      <c r="G26" s="49">
        <f t="shared" si="23"/>
        <v>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15">
      <c r="A27" s="43"/>
      <c r="B27" s="46">
        <f t="shared" ref="B27:B43" si="24">B26+1</f>
        <v>2</v>
      </c>
      <c r="C27" s="47" t="str">
        <f t="shared" si="22"/>
        <v>Siemens Ind BGR</v>
      </c>
      <c r="D27" s="48">
        <f t="shared" si="20"/>
        <v>0</v>
      </c>
      <c r="E27" s="49">
        <f t="shared" ref="E27:G27" si="25">R4</f>
        <v>0</v>
      </c>
      <c r="F27" s="49">
        <f t="shared" si="25"/>
        <v>0</v>
      </c>
      <c r="G27" s="49">
        <f t="shared" si="25"/>
        <v>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f t="shared" si="24"/>
        <v>3</v>
      </c>
      <c r="C28" s="47" t="str">
        <f t="shared" si="22"/>
        <v>Siemens SWGR Kalwa</v>
      </c>
      <c r="D28" s="48">
        <f t="shared" si="20"/>
        <v>0</v>
      </c>
      <c r="E28" s="49">
        <f t="shared" ref="E28:G28" si="26">R5</f>
        <v>0</v>
      </c>
      <c r="F28" s="49">
        <f t="shared" si="26"/>
        <v>0</v>
      </c>
      <c r="G28" s="49">
        <f t="shared" si="26"/>
        <v>0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si="24"/>
        <v>4</v>
      </c>
      <c r="C29" s="47" t="str">
        <f t="shared" si="22"/>
        <v>Siemens Vapi</v>
      </c>
      <c r="D29" s="48">
        <f t="shared" si="20"/>
        <v>0</v>
      </c>
      <c r="E29" s="49">
        <f t="shared" ref="E29:G29" si="27">R6</f>
        <v>0</v>
      </c>
      <c r="F29" s="49">
        <f t="shared" si="27"/>
        <v>0</v>
      </c>
      <c r="G29" s="49">
        <f t="shared" si="27"/>
        <v>0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24"/>
        <v>5</v>
      </c>
      <c r="C30" s="47" t="str">
        <f t="shared" si="22"/>
        <v>Siemens Medical</v>
      </c>
      <c r="D30" s="48">
        <f t="shared" si="20"/>
        <v>0</v>
      </c>
      <c r="E30" s="49">
        <f t="shared" ref="E30:G30" si="28">R7</f>
        <v>0</v>
      </c>
      <c r="F30" s="49">
        <f t="shared" si="28"/>
        <v>0</v>
      </c>
      <c r="G30" s="49">
        <f t="shared" si="28"/>
        <v>0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24"/>
        <v>6</v>
      </c>
      <c r="C31" s="47" t="str">
        <f t="shared" si="22"/>
        <v>Godrej Interio</v>
      </c>
      <c r="D31" s="48">
        <f t="shared" si="20"/>
        <v>0</v>
      </c>
      <c r="E31" s="49">
        <f t="shared" ref="E31:G31" si="29">R8</f>
        <v>0</v>
      </c>
      <c r="F31" s="49">
        <f t="shared" si="29"/>
        <v>0</v>
      </c>
      <c r="G31" s="49">
        <f t="shared" si="29"/>
        <v>0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24"/>
        <v>7</v>
      </c>
      <c r="C32" s="47" t="str">
        <f t="shared" si="22"/>
        <v>Godrej Branch</v>
      </c>
      <c r="D32" s="48">
        <f t="shared" si="20"/>
        <v>0</v>
      </c>
      <c r="E32" s="49">
        <f t="shared" ref="E32:G32" si="30">R9</f>
        <v>0</v>
      </c>
      <c r="F32" s="49">
        <f t="shared" si="30"/>
        <v>0</v>
      </c>
      <c r="G32" s="49">
        <f t="shared" si="30"/>
        <v>0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24"/>
        <v>8</v>
      </c>
      <c r="C33" s="47" t="str">
        <f t="shared" si="22"/>
        <v>Godrej spare</v>
      </c>
      <c r="D33" s="48">
        <f t="shared" si="20"/>
        <v>0</v>
      </c>
      <c r="E33" s="49">
        <f t="shared" ref="E33:G33" si="31">R10</f>
        <v>0</v>
      </c>
      <c r="F33" s="49">
        <f t="shared" si="31"/>
        <v>0</v>
      </c>
      <c r="G33" s="49">
        <f t="shared" si="31"/>
        <v>0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24"/>
        <v>9</v>
      </c>
      <c r="C34" s="47" t="str">
        <f t="shared" si="22"/>
        <v>Godrej MHE</v>
      </c>
      <c r="D34" s="48">
        <f t="shared" si="20"/>
        <v>1</v>
      </c>
      <c r="E34" s="49">
        <f t="shared" ref="E34:G34" si="32">R11</f>
        <v>1</v>
      </c>
      <c r="F34" s="49">
        <f t="shared" si="32"/>
        <v>0</v>
      </c>
      <c r="G34" s="49">
        <f t="shared" si="32"/>
        <v>0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24"/>
        <v>10</v>
      </c>
      <c r="C35" s="47" t="str">
        <f t="shared" si="22"/>
        <v>Osram-BGR</v>
      </c>
      <c r="D35" s="48">
        <f t="shared" si="20"/>
        <v>0</v>
      </c>
      <c r="E35" s="49">
        <f t="shared" ref="E35:G35" si="33">R12</f>
        <v>0</v>
      </c>
      <c r="F35" s="49">
        <f t="shared" si="33"/>
        <v>0</v>
      </c>
      <c r="G35" s="49">
        <f t="shared" si="33"/>
        <v>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24"/>
        <v>11</v>
      </c>
      <c r="C36" s="47" t="str">
        <f t="shared" si="22"/>
        <v>Celio</v>
      </c>
      <c r="D36" s="48">
        <f t="shared" si="20"/>
        <v>0</v>
      </c>
      <c r="E36" s="49">
        <f t="shared" ref="E36:G36" si="34">R13</f>
        <v>0</v>
      </c>
      <c r="F36" s="49">
        <f t="shared" si="34"/>
        <v>0</v>
      </c>
      <c r="G36" s="49">
        <f t="shared" si="34"/>
        <v>0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24"/>
        <v>12</v>
      </c>
      <c r="C37" s="47" t="str">
        <f t="shared" si="22"/>
        <v>Hansgrohe-BGR</v>
      </c>
      <c r="D37" s="48">
        <f t="shared" si="20"/>
        <v>0</v>
      </c>
      <c r="E37" s="49">
        <f t="shared" ref="E37:G37" si="35">R14</f>
        <v>0</v>
      </c>
      <c r="F37" s="49">
        <f t="shared" si="35"/>
        <v>0</v>
      </c>
      <c r="G37" s="49">
        <f t="shared" si="35"/>
        <v>0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24"/>
        <v>13</v>
      </c>
      <c r="C38" s="47" t="str">
        <f t="shared" si="22"/>
        <v>Roquette-BGR</v>
      </c>
      <c r="D38" s="48">
        <f t="shared" si="20"/>
        <v>0</v>
      </c>
      <c r="E38" s="49">
        <f t="shared" ref="E38:G38" si="36">R15</f>
        <v>0</v>
      </c>
      <c r="F38" s="49">
        <f t="shared" si="36"/>
        <v>0</v>
      </c>
      <c r="G38" s="49">
        <f t="shared" si="36"/>
        <v>0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24"/>
        <v>14</v>
      </c>
      <c r="C39" s="47" t="str">
        <f t="shared" si="22"/>
        <v>Jubilant-BGR</v>
      </c>
      <c r="D39" s="48">
        <f t="shared" si="20"/>
        <v>0</v>
      </c>
      <c r="E39" s="49">
        <f t="shared" ref="E39:G39" si="37">R16</f>
        <v>0</v>
      </c>
      <c r="F39" s="49">
        <f t="shared" si="37"/>
        <v>0</v>
      </c>
      <c r="G39" s="49">
        <f t="shared" si="37"/>
        <v>0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>
      <c r="A40" s="43"/>
      <c r="B40" s="46">
        <f t="shared" si="24"/>
        <v>15</v>
      </c>
      <c r="C40" s="47" t="str">
        <f t="shared" si="22"/>
        <v>Siemens BT-BGR</v>
      </c>
      <c r="D40" s="48">
        <f t="shared" si="20"/>
        <v>0</v>
      </c>
      <c r="E40" s="49">
        <f t="shared" ref="E40:G40" si="38">R17</f>
        <v>0</v>
      </c>
      <c r="F40" s="49">
        <f t="shared" si="38"/>
        <v>0</v>
      </c>
      <c r="G40" s="49">
        <f t="shared" si="38"/>
        <v>0</v>
      </c>
    </row>
    <row r="41" spans="1:24" ht="15">
      <c r="A41" s="43"/>
      <c r="B41" s="46">
        <f t="shared" si="24"/>
        <v>16</v>
      </c>
      <c r="C41" s="47" t="str">
        <f t="shared" si="22"/>
        <v>PVMI-BGR</v>
      </c>
      <c r="D41" s="48">
        <f t="shared" si="20"/>
        <v>0</v>
      </c>
      <c r="E41" s="49">
        <f t="shared" ref="E41:G41" si="39">R18</f>
        <v>0</v>
      </c>
      <c r="F41" s="49">
        <f t="shared" si="39"/>
        <v>0</v>
      </c>
      <c r="G41" s="49">
        <f t="shared" si="39"/>
        <v>0</v>
      </c>
    </row>
    <row r="42" spans="1:24" ht="15">
      <c r="A42" s="43"/>
      <c r="B42" s="46">
        <f t="shared" si="24"/>
        <v>17</v>
      </c>
      <c r="C42" s="47" t="str">
        <f t="shared" si="22"/>
        <v>RBL</v>
      </c>
      <c r="D42" s="48">
        <f t="shared" si="20"/>
        <v>0</v>
      </c>
      <c r="E42" s="49">
        <f t="shared" ref="E42:G42" si="40">R19</f>
        <v>0</v>
      </c>
      <c r="F42" s="49">
        <f t="shared" si="40"/>
        <v>0</v>
      </c>
      <c r="G42" s="49">
        <f t="shared" si="40"/>
        <v>0</v>
      </c>
    </row>
    <row r="43" spans="1:24" ht="15">
      <c r="A43" s="43"/>
      <c r="B43" s="46">
        <f t="shared" si="24"/>
        <v>18</v>
      </c>
      <c r="C43" s="47" t="str">
        <f t="shared" si="22"/>
        <v>Pepe Jeans</v>
      </c>
      <c r="D43" s="48">
        <f t="shared" si="20"/>
        <v>0</v>
      </c>
      <c r="E43" s="49">
        <f t="shared" ref="E43:G43" si="41">R20</f>
        <v>0</v>
      </c>
      <c r="F43" s="49">
        <f t="shared" si="41"/>
        <v>0</v>
      </c>
      <c r="G43" s="49">
        <f t="shared" si="41"/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  <headerFooter>
    <oddHeader>&amp;C&amp;"Calibri"&amp;10&amp;K000000 Public&amp;1#_x000D_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43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6.28515625" customWidth="1"/>
    <col min="2" max="2" width="5" customWidth="1"/>
    <col min="3" max="3" width="13.85546875" customWidth="1"/>
    <col min="4" max="4" width="12.140625" customWidth="1"/>
    <col min="5" max="5" width="10.5703125" customWidth="1"/>
    <col min="6" max="6" width="13.140625" customWidth="1"/>
    <col min="7" max="7" width="11.85546875" customWidth="1"/>
    <col min="8" max="8" width="10.5703125" customWidth="1"/>
    <col min="9" max="9" width="8" customWidth="1"/>
    <col min="10" max="10" width="7.85546875" customWidth="1"/>
    <col min="11" max="11" width="11" customWidth="1"/>
    <col min="12" max="12" width="12.5703125" customWidth="1"/>
    <col min="13" max="13" width="11.85546875" customWidth="1"/>
    <col min="14" max="14" width="11.5703125" customWidth="1"/>
    <col min="15" max="15" width="9.140625" customWidth="1"/>
    <col min="16" max="16" width="8.5703125" customWidth="1"/>
    <col min="17" max="19" width="10.42578125" customWidth="1"/>
    <col min="20" max="20" width="9.7109375" customWidth="1"/>
    <col min="21" max="21" width="12.28515625" customWidth="1"/>
    <col min="22" max="22" width="10.42578125" customWidth="1"/>
    <col min="23" max="23" width="9.85546875" customWidth="1"/>
    <col min="24" max="24" width="13.85546875" customWidth="1"/>
  </cols>
  <sheetData>
    <row r="1" spans="1:25" ht="28.5" customHeight="1">
      <c r="A1" s="115"/>
      <c r="B1" s="116"/>
      <c r="C1" s="117"/>
      <c r="D1" s="1"/>
      <c r="E1" s="2"/>
      <c r="F1" s="118" t="s">
        <v>0</v>
      </c>
      <c r="G1" s="116"/>
      <c r="H1" s="116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5" ht="56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7" t="s">
        <v>22</v>
      </c>
      <c r="W2" s="7" t="s">
        <v>23</v>
      </c>
      <c r="X2" s="6" t="s">
        <v>24</v>
      </c>
    </row>
    <row r="3" spans="1:25" ht="15">
      <c r="A3" s="9">
        <v>1</v>
      </c>
      <c r="B3" s="10">
        <v>44986</v>
      </c>
      <c r="C3" s="11" t="s">
        <v>25</v>
      </c>
      <c r="D3" s="11" t="s">
        <v>26</v>
      </c>
      <c r="E3" s="11" t="s">
        <v>27</v>
      </c>
      <c r="F3" s="12">
        <v>515</v>
      </c>
      <c r="G3" s="13">
        <v>515</v>
      </c>
      <c r="H3" s="14">
        <f t="shared" ref="H3:H21" si="0">IFERROR(G3/F3,0)</f>
        <v>1</v>
      </c>
      <c r="I3" s="15">
        <v>0</v>
      </c>
      <c r="J3" s="15">
        <v>0</v>
      </c>
      <c r="K3" s="16">
        <f t="shared" ref="K3:K11" si="1">G3-I3-J3</f>
        <v>515</v>
      </c>
      <c r="L3" s="12">
        <f>58515*7000</f>
        <v>409605000</v>
      </c>
      <c r="M3" s="13">
        <v>0</v>
      </c>
      <c r="N3" s="13">
        <v>0</v>
      </c>
      <c r="O3" s="17">
        <f t="shared" ref="O3:O16" si="2">N3+M3</f>
        <v>0</v>
      </c>
      <c r="P3" s="17">
        <f t="shared" ref="P3:P16" si="3">M3-N3</f>
        <v>0</v>
      </c>
      <c r="Q3" s="16">
        <f t="shared" ref="Q3:Q11" si="4">IFERROR(L3-N3-M3,0)</f>
        <v>409605000</v>
      </c>
      <c r="R3" s="18">
        <f>IFERROR((K3/G3),0)</f>
        <v>1</v>
      </c>
      <c r="S3" s="18">
        <f t="shared" ref="S3:S21" si="5">IFERROR(1-(O3/L3),0)</f>
        <v>1</v>
      </c>
      <c r="T3" s="18">
        <f t="shared" ref="T3:T21" si="6">IFERROR(1-(P3/L3),0)</f>
        <v>1</v>
      </c>
      <c r="U3" s="19">
        <v>1E-3</v>
      </c>
      <c r="V3" s="20">
        <f>IFERROR(I3/G3,0)</f>
        <v>0</v>
      </c>
      <c r="W3" s="20">
        <f>IFERROR(J3/G3,0)</f>
        <v>0</v>
      </c>
      <c r="X3" s="11" t="s">
        <v>28</v>
      </c>
    </row>
    <row r="4" spans="1:25" ht="15">
      <c r="A4" s="9">
        <f t="shared" ref="A4:A20" si="7">A3+1</f>
        <v>2</v>
      </c>
      <c r="B4" s="10">
        <v>44986</v>
      </c>
      <c r="C4" s="21" t="s">
        <v>29</v>
      </c>
      <c r="D4" s="11" t="s">
        <v>26</v>
      </c>
      <c r="E4" s="11" t="s">
        <v>27</v>
      </c>
      <c r="F4" s="22">
        <v>7151</v>
      </c>
      <c r="G4" s="22">
        <v>7151</v>
      </c>
      <c r="H4" s="14">
        <f t="shared" si="0"/>
        <v>1</v>
      </c>
      <c r="I4" s="22"/>
      <c r="J4" s="22"/>
      <c r="K4" s="16">
        <f t="shared" si="1"/>
        <v>7151</v>
      </c>
      <c r="L4" s="12">
        <v>287787745</v>
      </c>
      <c r="M4" s="13"/>
      <c r="N4" s="13"/>
      <c r="O4" s="17">
        <f t="shared" si="2"/>
        <v>0</v>
      </c>
      <c r="P4" s="17">
        <f t="shared" si="3"/>
        <v>0</v>
      </c>
      <c r="Q4" s="16">
        <f t="shared" si="4"/>
        <v>287787745</v>
      </c>
      <c r="R4" s="18">
        <f t="shared" ref="R4:R5" si="8">IFERROR((K4/G5),0)</f>
        <v>24.077441077441076</v>
      </c>
      <c r="S4" s="18">
        <f t="shared" si="5"/>
        <v>1</v>
      </c>
      <c r="T4" s="18">
        <f t="shared" si="6"/>
        <v>1</v>
      </c>
      <c r="U4" s="19">
        <v>1.5E-3</v>
      </c>
      <c r="V4" s="20">
        <f>IFERROR(I5/G5,0)</f>
        <v>0</v>
      </c>
      <c r="W4" s="20">
        <f>IFERROR(J5/G5,0)</f>
        <v>0</v>
      </c>
      <c r="X4" s="11" t="s">
        <v>28</v>
      </c>
    </row>
    <row r="5" spans="1:25" ht="23.25">
      <c r="A5" s="9">
        <f t="shared" si="7"/>
        <v>3</v>
      </c>
      <c r="B5" s="10">
        <v>44986</v>
      </c>
      <c r="C5" s="21" t="s">
        <v>30</v>
      </c>
      <c r="D5" s="11" t="s">
        <v>26</v>
      </c>
      <c r="E5" s="11" t="s">
        <v>27</v>
      </c>
      <c r="F5" s="12">
        <v>297</v>
      </c>
      <c r="G5" s="13">
        <v>297</v>
      </c>
      <c r="H5" s="14">
        <f t="shared" si="0"/>
        <v>1</v>
      </c>
      <c r="I5" s="15">
        <v>0</v>
      </c>
      <c r="J5" s="15">
        <v>0</v>
      </c>
      <c r="K5" s="16">
        <f t="shared" si="1"/>
        <v>297</v>
      </c>
      <c r="L5" s="12">
        <v>11425288</v>
      </c>
      <c r="M5" s="13">
        <v>0</v>
      </c>
      <c r="N5" s="13">
        <v>0</v>
      </c>
      <c r="O5" s="17">
        <f t="shared" si="2"/>
        <v>0</v>
      </c>
      <c r="P5" s="17">
        <f t="shared" si="3"/>
        <v>0</v>
      </c>
      <c r="Q5" s="16">
        <f t="shared" si="4"/>
        <v>11425288</v>
      </c>
      <c r="R5" s="18">
        <f t="shared" si="8"/>
        <v>1.6875</v>
      </c>
      <c r="S5" s="18">
        <f t="shared" si="5"/>
        <v>1</v>
      </c>
      <c r="T5" s="18">
        <f t="shared" si="6"/>
        <v>1</v>
      </c>
      <c r="U5" s="19">
        <v>0</v>
      </c>
      <c r="V5" s="20">
        <f t="shared" ref="V5:W5" si="9">IFERROR(#REF!/#REF!,0)</f>
        <v>0</v>
      </c>
      <c r="W5" s="20">
        <f t="shared" si="9"/>
        <v>0</v>
      </c>
      <c r="X5" s="11" t="s">
        <v>28</v>
      </c>
    </row>
    <row r="6" spans="1:25" ht="15">
      <c r="A6" s="9">
        <f t="shared" si="7"/>
        <v>4</v>
      </c>
      <c r="B6" s="10">
        <v>44986</v>
      </c>
      <c r="C6" s="21" t="s">
        <v>31</v>
      </c>
      <c r="D6" s="11" t="s">
        <v>26</v>
      </c>
      <c r="E6" s="11" t="s">
        <v>27</v>
      </c>
      <c r="F6" s="12">
        <v>176</v>
      </c>
      <c r="G6" s="13">
        <v>176</v>
      </c>
      <c r="H6" s="14">
        <f t="shared" si="0"/>
        <v>1</v>
      </c>
      <c r="I6" s="15"/>
      <c r="J6" s="15"/>
      <c r="K6" s="16">
        <f t="shared" si="1"/>
        <v>176</v>
      </c>
      <c r="L6" s="23">
        <v>318652575</v>
      </c>
      <c r="M6" s="13"/>
      <c r="N6" s="13"/>
      <c r="O6" s="17">
        <f t="shared" si="2"/>
        <v>0</v>
      </c>
      <c r="P6" s="17">
        <f t="shared" si="3"/>
        <v>0</v>
      </c>
      <c r="Q6" s="16">
        <f t="shared" si="4"/>
        <v>318652575</v>
      </c>
      <c r="R6" s="18">
        <f t="shared" ref="R6:R21" si="10">IFERROR((K6/G6),0)</f>
        <v>1</v>
      </c>
      <c r="S6" s="18">
        <f t="shared" si="5"/>
        <v>1</v>
      </c>
      <c r="T6" s="18">
        <f t="shared" si="6"/>
        <v>1</v>
      </c>
      <c r="U6" s="19">
        <v>1.5E-3</v>
      </c>
      <c r="V6" s="20">
        <f t="shared" ref="V6:V21" si="11">IFERROR(I6/G6,0)</f>
        <v>0</v>
      </c>
      <c r="W6" s="20">
        <f t="shared" ref="W6:W21" si="12">IFERROR(J6/G6,0)</f>
        <v>0</v>
      </c>
      <c r="X6" s="11" t="s">
        <v>28</v>
      </c>
    </row>
    <row r="7" spans="1:25" ht="15">
      <c r="A7" s="9">
        <f t="shared" si="7"/>
        <v>5</v>
      </c>
      <c r="B7" s="10">
        <v>44986</v>
      </c>
      <c r="C7" s="21" t="s">
        <v>32</v>
      </c>
      <c r="D7" s="11" t="s">
        <v>26</v>
      </c>
      <c r="E7" s="11" t="s">
        <v>27</v>
      </c>
      <c r="F7" s="12">
        <v>2150</v>
      </c>
      <c r="G7" s="13">
        <v>2113</v>
      </c>
      <c r="H7" s="14">
        <f t="shared" si="0"/>
        <v>0.98279069767441862</v>
      </c>
      <c r="I7" s="15">
        <v>0</v>
      </c>
      <c r="J7" s="15">
        <v>0</v>
      </c>
      <c r="K7" s="16">
        <f t="shared" si="1"/>
        <v>2113</v>
      </c>
      <c r="L7" s="12">
        <v>414193211</v>
      </c>
      <c r="M7" s="13">
        <v>0</v>
      </c>
      <c r="N7" s="13">
        <v>0</v>
      </c>
      <c r="O7" s="17">
        <f t="shared" si="2"/>
        <v>0</v>
      </c>
      <c r="P7" s="17">
        <f t="shared" si="3"/>
        <v>0</v>
      </c>
      <c r="Q7" s="16">
        <f t="shared" si="4"/>
        <v>414193211</v>
      </c>
      <c r="R7" s="18">
        <f t="shared" si="10"/>
        <v>1</v>
      </c>
      <c r="S7" s="18">
        <f t="shared" si="5"/>
        <v>1</v>
      </c>
      <c r="T7" s="18">
        <f t="shared" si="6"/>
        <v>1</v>
      </c>
      <c r="U7" s="19">
        <v>1.5E-3</v>
      </c>
      <c r="V7" s="20">
        <f t="shared" si="11"/>
        <v>0</v>
      </c>
      <c r="W7" s="20">
        <f t="shared" si="12"/>
        <v>0</v>
      </c>
      <c r="X7" s="11" t="s">
        <v>33</v>
      </c>
    </row>
    <row r="8" spans="1:25" ht="23.25">
      <c r="A8" s="9">
        <f t="shared" si="7"/>
        <v>6</v>
      </c>
      <c r="B8" s="10">
        <v>44986</v>
      </c>
      <c r="C8" s="21" t="s">
        <v>34</v>
      </c>
      <c r="D8" s="11" t="s">
        <v>26</v>
      </c>
      <c r="E8" s="11" t="s">
        <v>27</v>
      </c>
      <c r="F8" s="12"/>
      <c r="G8" s="12"/>
      <c r="H8" s="14">
        <f t="shared" si="0"/>
        <v>0</v>
      </c>
      <c r="I8" s="15"/>
      <c r="J8" s="15"/>
      <c r="K8" s="16">
        <f t="shared" si="1"/>
        <v>0</v>
      </c>
      <c r="L8" s="12"/>
      <c r="M8" s="13"/>
      <c r="N8" s="13"/>
      <c r="O8" s="17">
        <f t="shared" si="2"/>
        <v>0</v>
      </c>
      <c r="P8" s="17">
        <f t="shared" si="3"/>
        <v>0</v>
      </c>
      <c r="Q8" s="16">
        <f t="shared" si="4"/>
        <v>0</v>
      </c>
      <c r="R8" s="18">
        <f t="shared" si="10"/>
        <v>0</v>
      </c>
      <c r="S8" s="18">
        <f t="shared" si="5"/>
        <v>0</v>
      </c>
      <c r="T8" s="18">
        <f t="shared" si="6"/>
        <v>0</v>
      </c>
      <c r="U8" s="19">
        <v>0</v>
      </c>
      <c r="V8" s="20">
        <f t="shared" si="11"/>
        <v>0</v>
      </c>
      <c r="W8" s="20">
        <f t="shared" si="12"/>
        <v>0</v>
      </c>
      <c r="X8" s="11" t="s">
        <v>35</v>
      </c>
      <c r="Y8" s="24" t="s">
        <v>36</v>
      </c>
    </row>
    <row r="9" spans="1:25" ht="15">
      <c r="A9" s="9">
        <f t="shared" si="7"/>
        <v>7</v>
      </c>
      <c r="B9" s="10">
        <v>44986</v>
      </c>
      <c r="C9" s="21" t="s">
        <v>37</v>
      </c>
      <c r="D9" s="11" t="s">
        <v>26</v>
      </c>
      <c r="E9" s="11" t="s">
        <v>27</v>
      </c>
      <c r="F9" s="12"/>
      <c r="G9" s="13"/>
      <c r="H9" s="14">
        <f t="shared" si="0"/>
        <v>0</v>
      </c>
      <c r="I9" s="15"/>
      <c r="J9" s="15"/>
      <c r="K9" s="16">
        <f t="shared" si="1"/>
        <v>0</v>
      </c>
      <c r="L9" s="12"/>
      <c r="M9" s="13"/>
      <c r="N9" s="13"/>
      <c r="O9" s="17">
        <f t="shared" si="2"/>
        <v>0</v>
      </c>
      <c r="P9" s="17">
        <f t="shared" si="3"/>
        <v>0</v>
      </c>
      <c r="Q9" s="16">
        <f t="shared" si="4"/>
        <v>0</v>
      </c>
      <c r="R9" s="18">
        <f t="shared" si="10"/>
        <v>0</v>
      </c>
      <c r="S9" s="18">
        <f t="shared" si="5"/>
        <v>0</v>
      </c>
      <c r="T9" s="18">
        <f t="shared" si="6"/>
        <v>0</v>
      </c>
      <c r="U9" s="19">
        <v>5.0000000000000001E-4</v>
      </c>
      <c r="V9" s="20">
        <f t="shared" si="11"/>
        <v>0</v>
      </c>
      <c r="W9" s="20">
        <f t="shared" si="12"/>
        <v>0</v>
      </c>
      <c r="X9" s="11" t="s">
        <v>28</v>
      </c>
    </row>
    <row r="10" spans="1:25" ht="15">
      <c r="A10" s="9">
        <f t="shared" si="7"/>
        <v>8</v>
      </c>
      <c r="B10" s="10">
        <v>44986</v>
      </c>
      <c r="C10" s="21" t="s">
        <v>38</v>
      </c>
      <c r="D10" s="11" t="s">
        <v>26</v>
      </c>
      <c r="E10" s="11" t="s">
        <v>27</v>
      </c>
      <c r="F10" s="12">
        <v>889</v>
      </c>
      <c r="G10" s="13">
        <v>889</v>
      </c>
      <c r="H10" s="14">
        <f t="shared" si="0"/>
        <v>1</v>
      </c>
      <c r="I10" s="15">
        <v>0</v>
      </c>
      <c r="J10" s="15">
        <v>0</v>
      </c>
      <c r="K10" s="16">
        <f t="shared" si="1"/>
        <v>889</v>
      </c>
      <c r="L10" s="12">
        <v>6286107</v>
      </c>
      <c r="M10" s="13"/>
      <c r="N10" s="13"/>
      <c r="O10" s="17">
        <f t="shared" si="2"/>
        <v>0</v>
      </c>
      <c r="P10" s="17">
        <f t="shared" si="3"/>
        <v>0</v>
      </c>
      <c r="Q10" s="16">
        <f t="shared" si="4"/>
        <v>6286107</v>
      </c>
      <c r="R10" s="18">
        <f t="shared" si="10"/>
        <v>1</v>
      </c>
      <c r="S10" s="18">
        <f t="shared" si="5"/>
        <v>1</v>
      </c>
      <c r="T10" s="18">
        <f t="shared" si="6"/>
        <v>1</v>
      </c>
      <c r="U10" s="19">
        <v>0</v>
      </c>
      <c r="V10" s="20">
        <f t="shared" si="11"/>
        <v>0</v>
      </c>
      <c r="W10" s="20">
        <f t="shared" si="12"/>
        <v>0</v>
      </c>
      <c r="X10" s="11" t="s">
        <v>28</v>
      </c>
    </row>
    <row r="11" spans="1:25" ht="15">
      <c r="A11" s="9">
        <f t="shared" si="7"/>
        <v>9</v>
      </c>
      <c r="B11" s="10">
        <v>44986</v>
      </c>
      <c r="C11" s="21" t="s">
        <v>39</v>
      </c>
      <c r="D11" s="11" t="s">
        <v>26</v>
      </c>
      <c r="E11" s="11" t="s">
        <v>27</v>
      </c>
      <c r="F11" s="12">
        <v>797</v>
      </c>
      <c r="G11" s="13">
        <v>797</v>
      </c>
      <c r="H11" s="14">
        <f t="shared" si="0"/>
        <v>1</v>
      </c>
      <c r="I11" s="15">
        <v>0</v>
      </c>
      <c r="J11" s="15">
        <v>1</v>
      </c>
      <c r="K11" s="16">
        <f t="shared" si="1"/>
        <v>796</v>
      </c>
      <c r="L11" s="12">
        <v>8995387</v>
      </c>
      <c r="M11" s="13">
        <v>0</v>
      </c>
      <c r="N11" s="13">
        <v>173</v>
      </c>
      <c r="O11" s="17">
        <f t="shared" si="2"/>
        <v>173</v>
      </c>
      <c r="P11" s="17">
        <f t="shared" si="3"/>
        <v>-173</v>
      </c>
      <c r="Q11" s="16">
        <f t="shared" si="4"/>
        <v>8995214</v>
      </c>
      <c r="R11" s="18">
        <f t="shared" si="10"/>
        <v>0.99874529485570895</v>
      </c>
      <c r="S11" s="18">
        <f t="shared" si="5"/>
        <v>0.99998076792026847</v>
      </c>
      <c r="T11" s="18">
        <f t="shared" si="6"/>
        <v>1.0000192320797314</v>
      </c>
      <c r="U11" s="19">
        <v>0</v>
      </c>
      <c r="V11" s="20">
        <f t="shared" si="11"/>
        <v>0</v>
      </c>
      <c r="W11" s="20">
        <f t="shared" si="12"/>
        <v>1.2547051442910915E-3</v>
      </c>
      <c r="X11" s="11" t="s">
        <v>28</v>
      </c>
    </row>
    <row r="12" spans="1:25" ht="34.5">
      <c r="A12" s="9">
        <f t="shared" si="7"/>
        <v>10</v>
      </c>
      <c r="B12" s="10">
        <v>44986</v>
      </c>
      <c r="C12" s="21" t="s">
        <v>40</v>
      </c>
      <c r="D12" s="11" t="s">
        <v>26</v>
      </c>
      <c r="E12" s="11" t="s">
        <v>27</v>
      </c>
      <c r="F12" s="12">
        <v>722</v>
      </c>
      <c r="G12" s="13">
        <v>722</v>
      </c>
      <c r="H12" s="14">
        <f t="shared" si="0"/>
        <v>1</v>
      </c>
      <c r="I12" s="15">
        <v>0</v>
      </c>
      <c r="J12" s="15">
        <v>0</v>
      </c>
      <c r="K12" s="16">
        <f>G12-I12-I12</f>
        <v>722</v>
      </c>
      <c r="L12" s="12" t="s">
        <v>54</v>
      </c>
      <c r="M12" s="13"/>
      <c r="N12" s="13">
        <v>0</v>
      </c>
      <c r="O12" s="17">
        <f t="shared" si="2"/>
        <v>0</v>
      </c>
      <c r="P12" s="17">
        <f t="shared" si="3"/>
        <v>0</v>
      </c>
      <c r="Q12" s="16" t="str">
        <f>L12</f>
        <v>27,30,53,757</v>
      </c>
      <c r="R12" s="18">
        <f t="shared" si="10"/>
        <v>1</v>
      </c>
      <c r="S12" s="18">
        <f t="shared" si="5"/>
        <v>0</v>
      </c>
      <c r="T12" s="18">
        <f t="shared" si="6"/>
        <v>0</v>
      </c>
      <c r="U12" s="19">
        <v>0</v>
      </c>
      <c r="V12" s="20">
        <f t="shared" si="11"/>
        <v>0</v>
      </c>
      <c r="W12" s="20">
        <f t="shared" si="12"/>
        <v>0</v>
      </c>
      <c r="X12" s="11" t="s">
        <v>41</v>
      </c>
    </row>
    <row r="13" spans="1:25" ht="23.25">
      <c r="A13" s="9">
        <f t="shared" si="7"/>
        <v>11</v>
      </c>
      <c r="B13" s="10">
        <v>44986</v>
      </c>
      <c r="C13" s="21" t="s">
        <v>42</v>
      </c>
      <c r="D13" s="11" t="s">
        <v>26</v>
      </c>
      <c r="E13" s="11" t="s">
        <v>27</v>
      </c>
      <c r="F13" s="12">
        <v>10000</v>
      </c>
      <c r="G13" s="13">
        <v>10457</v>
      </c>
      <c r="H13" s="14">
        <f t="shared" si="0"/>
        <v>1.0457000000000001</v>
      </c>
      <c r="I13" s="15">
        <v>0</v>
      </c>
      <c r="J13" s="15">
        <v>0</v>
      </c>
      <c r="K13" s="16">
        <f t="shared" ref="K13:K21" si="13">G13-I13-J13</f>
        <v>10457</v>
      </c>
      <c r="L13" s="12" t="s">
        <v>55</v>
      </c>
      <c r="M13" s="13">
        <v>0</v>
      </c>
      <c r="N13" s="13">
        <v>0</v>
      </c>
      <c r="O13" s="17">
        <f t="shared" si="2"/>
        <v>0</v>
      </c>
      <c r="P13" s="17">
        <f t="shared" si="3"/>
        <v>0</v>
      </c>
      <c r="Q13" s="16">
        <f>IFERROR(L13-N13-M13,0)</f>
        <v>0</v>
      </c>
      <c r="R13" s="18">
        <f t="shared" si="10"/>
        <v>1</v>
      </c>
      <c r="S13" s="18">
        <f t="shared" si="5"/>
        <v>0</v>
      </c>
      <c r="T13" s="18">
        <f t="shared" si="6"/>
        <v>0</v>
      </c>
      <c r="U13" s="19">
        <v>0</v>
      </c>
      <c r="V13" s="20">
        <f t="shared" si="11"/>
        <v>0</v>
      </c>
      <c r="W13" s="20">
        <f t="shared" si="12"/>
        <v>0</v>
      </c>
      <c r="X13" s="11" t="s">
        <v>43</v>
      </c>
    </row>
    <row r="14" spans="1:25" ht="15">
      <c r="A14" s="9">
        <f t="shared" si="7"/>
        <v>12</v>
      </c>
      <c r="B14" s="10">
        <v>44986</v>
      </c>
      <c r="C14" s="21" t="s">
        <v>44</v>
      </c>
      <c r="D14" s="11" t="s">
        <v>26</v>
      </c>
      <c r="E14" s="11" t="s">
        <v>27</v>
      </c>
      <c r="F14" s="12">
        <v>1543</v>
      </c>
      <c r="G14" s="12">
        <v>1543</v>
      </c>
      <c r="H14" s="14">
        <f t="shared" si="0"/>
        <v>1</v>
      </c>
      <c r="I14" s="15">
        <v>0</v>
      </c>
      <c r="J14" s="15">
        <v>0</v>
      </c>
      <c r="K14" s="16">
        <f t="shared" si="13"/>
        <v>1543</v>
      </c>
      <c r="L14" s="12">
        <v>288392827</v>
      </c>
      <c r="M14" s="13"/>
      <c r="N14" s="13"/>
      <c r="O14" s="17">
        <f t="shared" si="2"/>
        <v>0</v>
      </c>
      <c r="P14" s="17">
        <f t="shared" si="3"/>
        <v>0</v>
      </c>
      <c r="Q14" s="16">
        <f>L14</f>
        <v>288392827</v>
      </c>
      <c r="R14" s="18">
        <f t="shared" si="10"/>
        <v>1</v>
      </c>
      <c r="S14" s="18">
        <f t="shared" si="5"/>
        <v>1</v>
      </c>
      <c r="T14" s="18">
        <f t="shared" si="6"/>
        <v>1</v>
      </c>
      <c r="U14" s="19">
        <v>0</v>
      </c>
      <c r="V14" s="20">
        <f t="shared" si="11"/>
        <v>0</v>
      </c>
      <c r="W14" s="20">
        <f t="shared" si="12"/>
        <v>0</v>
      </c>
      <c r="X14" s="11" t="s">
        <v>28</v>
      </c>
    </row>
    <row r="15" spans="1:25" ht="15">
      <c r="A15" s="9">
        <f t="shared" si="7"/>
        <v>13</v>
      </c>
      <c r="B15" s="10">
        <v>44986</v>
      </c>
      <c r="C15" s="21" t="s">
        <v>45</v>
      </c>
      <c r="D15" s="11" t="s">
        <v>26</v>
      </c>
      <c r="E15" s="11" t="s">
        <v>27</v>
      </c>
      <c r="F15" s="12">
        <v>26</v>
      </c>
      <c r="G15" s="12">
        <v>26</v>
      </c>
      <c r="H15" s="14">
        <f t="shared" si="0"/>
        <v>1</v>
      </c>
      <c r="I15" s="15">
        <v>0</v>
      </c>
      <c r="J15" s="15">
        <v>0</v>
      </c>
      <c r="K15" s="16">
        <f t="shared" si="13"/>
        <v>26</v>
      </c>
      <c r="L15" s="12">
        <f>9107*15000</f>
        <v>136605000</v>
      </c>
      <c r="M15" s="13">
        <v>0</v>
      </c>
      <c r="N15" s="13">
        <v>0</v>
      </c>
      <c r="O15" s="17">
        <f t="shared" si="2"/>
        <v>0</v>
      </c>
      <c r="P15" s="17">
        <f t="shared" si="3"/>
        <v>0</v>
      </c>
      <c r="Q15" s="16">
        <f t="shared" ref="Q15:Q21" si="14">IFERROR(L15-N15-M15,0)</f>
        <v>136605000</v>
      </c>
      <c r="R15" s="18">
        <f t="shared" si="10"/>
        <v>1</v>
      </c>
      <c r="S15" s="18">
        <f t="shared" si="5"/>
        <v>1</v>
      </c>
      <c r="T15" s="18">
        <f t="shared" si="6"/>
        <v>1</v>
      </c>
      <c r="U15" s="19">
        <v>0</v>
      </c>
      <c r="V15" s="20">
        <f t="shared" si="11"/>
        <v>0</v>
      </c>
      <c r="W15" s="20">
        <f t="shared" si="12"/>
        <v>0</v>
      </c>
      <c r="X15" s="25" t="s">
        <v>46</v>
      </c>
    </row>
    <row r="16" spans="1:25" ht="15">
      <c r="A16" s="9">
        <f t="shared" si="7"/>
        <v>14</v>
      </c>
      <c r="B16" s="10">
        <v>44986</v>
      </c>
      <c r="C16" s="21" t="s">
        <v>47</v>
      </c>
      <c r="D16" s="11" t="s">
        <v>26</v>
      </c>
      <c r="E16" s="11" t="s">
        <v>27</v>
      </c>
      <c r="F16" s="12">
        <v>2</v>
      </c>
      <c r="G16" s="12">
        <v>2</v>
      </c>
      <c r="H16" s="14">
        <f t="shared" si="0"/>
        <v>1</v>
      </c>
      <c r="I16" s="15">
        <v>0</v>
      </c>
      <c r="J16" s="15">
        <v>0</v>
      </c>
      <c r="K16" s="16">
        <f t="shared" si="13"/>
        <v>2</v>
      </c>
      <c r="L16" s="12">
        <f>384*100000</f>
        <v>38400000</v>
      </c>
      <c r="M16" s="13">
        <v>0</v>
      </c>
      <c r="N16" s="13">
        <v>0</v>
      </c>
      <c r="O16" s="17">
        <f t="shared" si="2"/>
        <v>0</v>
      </c>
      <c r="P16" s="17">
        <f t="shared" si="3"/>
        <v>0</v>
      </c>
      <c r="Q16" s="16">
        <f t="shared" si="14"/>
        <v>38400000</v>
      </c>
      <c r="R16" s="18">
        <f t="shared" si="10"/>
        <v>1</v>
      </c>
      <c r="S16" s="18">
        <f t="shared" si="5"/>
        <v>1</v>
      </c>
      <c r="T16" s="18">
        <f t="shared" si="6"/>
        <v>1</v>
      </c>
      <c r="U16" s="19">
        <v>0</v>
      </c>
      <c r="V16" s="20">
        <f t="shared" si="11"/>
        <v>0</v>
      </c>
      <c r="W16" s="20">
        <f t="shared" si="12"/>
        <v>0</v>
      </c>
      <c r="X16" s="25" t="s">
        <v>46</v>
      </c>
    </row>
    <row r="17" spans="1:24" ht="15">
      <c r="A17" s="9">
        <f t="shared" si="7"/>
        <v>15</v>
      </c>
      <c r="B17" s="10">
        <v>44986</v>
      </c>
      <c r="C17" s="21" t="s">
        <v>48</v>
      </c>
      <c r="D17" s="11" t="s">
        <v>26</v>
      </c>
      <c r="E17" s="11" t="s">
        <v>27</v>
      </c>
      <c r="F17" s="12">
        <v>940</v>
      </c>
      <c r="G17" s="12">
        <v>940</v>
      </c>
      <c r="H17" s="14">
        <f t="shared" si="0"/>
        <v>1</v>
      </c>
      <c r="I17" s="15">
        <v>0</v>
      </c>
      <c r="J17" s="15">
        <v>0</v>
      </c>
      <c r="K17" s="16">
        <f t="shared" si="13"/>
        <v>940</v>
      </c>
      <c r="L17" s="26">
        <v>35480988</v>
      </c>
      <c r="M17" s="13">
        <v>0</v>
      </c>
      <c r="N17" s="13">
        <v>0</v>
      </c>
      <c r="O17" s="17">
        <v>0</v>
      </c>
      <c r="P17" s="17">
        <v>0</v>
      </c>
      <c r="Q17" s="16">
        <f t="shared" si="14"/>
        <v>35480988</v>
      </c>
      <c r="R17" s="18">
        <f t="shared" si="10"/>
        <v>1</v>
      </c>
      <c r="S17" s="18">
        <f t="shared" si="5"/>
        <v>1</v>
      </c>
      <c r="T17" s="18">
        <f t="shared" si="6"/>
        <v>1</v>
      </c>
      <c r="U17" s="19">
        <v>0</v>
      </c>
      <c r="V17" s="20">
        <f t="shared" si="11"/>
        <v>0</v>
      </c>
      <c r="W17" s="20">
        <f t="shared" si="12"/>
        <v>0</v>
      </c>
      <c r="X17" s="11" t="s">
        <v>28</v>
      </c>
    </row>
    <row r="18" spans="1:24" ht="15">
      <c r="A18" s="9">
        <f t="shared" si="7"/>
        <v>16</v>
      </c>
      <c r="B18" s="10">
        <v>44986</v>
      </c>
      <c r="C18" s="21" t="s">
        <v>49</v>
      </c>
      <c r="D18" s="11" t="s">
        <v>26</v>
      </c>
      <c r="E18" s="11" t="s">
        <v>27</v>
      </c>
      <c r="F18" s="27">
        <v>197</v>
      </c>
      <c r="G18" s="27">
        <v>197</v>
      </c>
      <c r="H18" s="14">
        <f t="shared" si="0"/>
        <v>1</v>
      </c>
      <c r="I18" s="15">
        <v>0</v>
      </c>
      <c r="J18" s="15">
        <v>0</v>
      </c>
      <c r="K18" s="16">
        <f t="shared" si="13"/>
        <v>197</v>
      </c>
      <c r="L18" s="28"/>
      <c r="M18" s="13"/>
      <c r="N18" s="13"/>
      <c r="O18" s="17">
        <f t="shared" ref="O18:O21" si="15">N18+M18</f>
        <v>0</v>
      </c>
      <c r="P18" s="17">
        <f t="shared" ref="P18:P21" si="16">M18-N18</f>
        <v>0</v>
      </c>
      <c r="Q18" s="16">
        <f t="shared" si="14"/>
        <v>0</v>
      </c>
      <c r="R18" s="18">
        <f t="shared" si="10"/>
        <v>1</v>
      </c>
      <c r="S18" s="18">
        <f t="shared" si="5"/>
        <v>0</v>
      </c>
      <c r="T18" s="18">
        <f t="shared" si="6"/>
        <v>0</v>
      </c>
      <c r="U18" s="19">
        <v>0</v>
      </c>
      <c r="V18" s="20">
        <f t="shared" si="11"/>
        <v>0</v>
      </c>
      <c r="W18" s="20">
        <f t="shared" si="12"/>
        <v>0</v>
      </c>
      <c r="X18" s="25" t="s">
        <v>46</v>
      </c>
    </row>
    <row r="19" spans="1:24" ht="15">
      <c r="A19" s="9">
        <f t="shared" si="7"/>
        <v>17</v>
      </c>
      <c r="B19" s="10">
        <v>44986</v>
      </c>
      <c r="C19" s="21" t="s">
        <v>50</v>
      </c>
      <c r="D19" s="11" t="s">
        <v>26</v>
      </c>
      <c r="E19" s="11" t="s">
        <v>27</v>
      </c>
      <c r="F19" s="27"/>
      <c r="G19" s="27"/>
      <c r="H19" s="14">
        <f t="shared" si="0"/>
        <v>0</v>
      </c>
      <c r="I19" s="15"/>
      <c r="J19" s="15"/>
      <c r="K19" s="16">
        <f t="shared" si="13"/>
        <v>0</v>
      </c>
      <c r="L19" s="29"/>
      <c r="M19" s="13"/>
      <c r="N19" s="13"/>
      <c r="O19" s="17">
        <f t="shared" si="15"/>
        <v>0</v>
      </c>
      <c r="P19" s="17">
        <f t="shared" si="16"/>
        <v>0</v>
      </c>
      <c r="Q19" s="16">
        <f t="shared" si="14"/>
        <v>0</v>
      </c>
      <c r="R19" s="18">
        <f t="shared" si="10"/>
        <v>0</v>
      </c>
      <c r="S19" s="18">
        <f t="shared" si="5"/>
        <v>0</v>
      </c>
      <c r="T19" s="18">
        <f t="shared" si="6"/>
        <v>0</v>
      </c>
      <c r="U19" s="19">
        <v>0</v>
      </c>
      <c r="V19" s="20">
        <f t="shared" si="11"/>
        <v>0</v>
      </c>
      <c r="W19" s="20">
        <f t="shared" si="12"/>
        <v>0</v>
      </c>
      <c r="X19" s="25" t="s">
        <v>46</v>
      </c>
    </row>
    <row r="20" spans="1:24" ht="15">
      <c r="A20" s="9">
        <f t="shared" si="7"/>
        <v>18</v>
      </c>
      <c r="B20" s="10">
        <v>44986</v>
      </c>
      <c r="C20" s="21" t="s">
        <v>51</v>
      </c>
      <c r="D20" s="11" t="s">
        <v>26</v>
      </c>
      <c r="E20" s="11" t="s">
        <v>27</v>
      </c>
      <c r="F20" s="27">
        <v>1972</v>
      </c>
      <c r="G20" s="27">
        <v>1972</v>
      </c>
      <c r="H20" s="14">
        <f t="shared" si="0"/>
        <v>1</v>
      </c>
      <c r="I20" s="15">
        <v>78</v>
      </c>
      <c r="J20" s="15">
        <v>38</v>
      </c>
      <c r="K20" s="16">
        <f t="shared" si="13"/>
        <v>1856</v>
      </c>
      <c r="L20" s="29">
        <v>42795461</v>
      </c>
      <c r="M20" s="13">
        <v>324569</v>
      </c>
      <c r="N20" s="13">
        <v>73380</v>
      </c>
      <c r="O20" s="17">
        <f t="shared" si="15"/>
        <v>397949</v>
      </c>
      <c r="P20" s="17">
        <f t="shared" si="16"/>
        <v>251189</v>
      </c>
      <c r="Q20" s="16">
        <f t="shared" si="14"/>
        <v>42397512</v>
      </c>
      <c r="R20" s="18">
        <f t="shared" si="10"/>
        <v>0.94117647058823528</v>
      </c>
      <c r="S20" s="18">
        <f t="shared" si="5"/>
        <v>0.99070114001108667</v>
      </c>
      <c r="T20" s="18">
        <f t="shared" si="6"/>
        <v>0.99413047565955648</v>
      </c>
      <c r="U20" s="19">
        <v>0</v>
      </c>
      <c r="V20" s="20">
        <f t="shared" si="11"/>
        <v>3.9553752535496957E-2</v>
      </c>
      <c r="W20" s="20">
        <f t="shared" si="12"/>
        <v>1.9269776876267748E-2</v>
      </c>
      <c r="X20" s="25" t="s">
        <v>46</v>
      </c>
    </row>
    <row r="21" spans="1:24" ht="15">
      <c r="A21" s="30" t="s">
        <v>52</v>
      </c>
      <c r="B21" s="31"/>
      <c r="C21" s="31"/>
      <c r="D21" s="32"/>
      <c r="E21" s="32"/>
      <c r="F21" s="33">
        <f t="shared" ref="F21:G21" si="17">SUM(F3:F20)</f>
        <v>27377</v>
      </c>
      <c r="G21" s="33">
        <f t="shared" si="17"/>
        <v>27797</v>
      </c>
      <c r="H21" s="34">
        <f t="shared" si="0"/>
        <v>1.0153413449245716</v>
      </c>
      <c r="I21" s="33">
        <f t="shared" ref="I21:J21" si="18">SUM(I3:I20)</f>
        <v>78</v>
      </c>
      <c r="J21" s="33">
        <f t="shared" si="18"/>
        <v>39</v>
      </c>
      <c r="K21" s="35">
        <f t="shared" si="13"/>
        <v>27680</v>
      </c>
      <c r="L21" s="36">
        <f t="shared" ref="L21:N21" si="19">SUM(L3:L20)</f>
        <v>1998619589</v>
      </c>
      <c r="M21" s="37">
        <f t="shared" si="19"/>
        <v>324569</v>
      </c>
      <c r="N21" s="37">
        <f t="shared" si="19"/>
        <v>73553</v>
      </c>
      <c r="O21" s="38">
        <f t="shared" si="15"/>
        <v>398122</v>
      </c>
      <c r="P21" s="38">
        <f t="shared" si="16"/>
        <v>251016</v>
      </c>
      <c r="Q21" s="39">
        <f t="shared" si="14"/>
        <v>1998221467</v>
      </c>
      <c r="R21" s="40">
        <f t="shared" si="10"/>
        <v>0.99579091268841957</v>
      </c>
      <c r="S21" s="40">
        <f t="shared" si="5"/>
        <v>0.99980080151210804</v>
      </c>
      <c r="T21" s="40">
        <f t="shared" si="6"/>
        <v>0.99987440531385685</v>
      </c>
      <c r="U21" s="31"/>
      <c r="V21" s="40">
        <f t="shared" si="11"/>
        <v>2.8060582077202574E-3</v>
      </c>
      <c r="W21" s="40">
        <f t="shared" si="12"/>
        <v>1.4030291038601287E-3</v>
      </c>
      <c r="X21" s="31"/>
    </row>
    <row r="22" spans="1:24" ht="1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4" ht="1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4" ht="15">
      <c r="A24" s="41"/>
      <c r="B24" s="5"/>
      <c r="C24" s="5"/>
      <c r="D24" s="5"/>
      <c r="E24" s="5"/>
      <c r="F24" s="5"/>
      <c r="G24" s="5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51.75">
      <c r="A25" s="43"/>
      <c r="B25" s="44" t="s">
        <v>53</v>
      </c>
      <c r="C25" s="45" t="s">
        <v>3</v>
      </c>
      <c r="D25" s="45" t="str">
        <f t="shared" ref="D25:D43" si="20">H2</f>
        <v>CC Adherance %</v>
      </c>
      <c r="E25" s="45" t="str">
        <f t="shared" ref="E25:G25" si="21">R2</f>
        <v>Inventory Record Accuracy (IRA)</v>
      </c>
      <c r="F25" s="45" t="str">
        <f t="shared" si="21"/>
        <v>Inventory Value Accuracy -GROSS
 (IVA)</v>
      </c>
      <c r="G25" s="45" t="str">
        <f t="shared" si="21"/>
        <v>Inventory Value Accuracy -NET 
 (IVA)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">
      <c r="A26" s="43"/>
      <c r="B26" s="46">
        <v>1</v>
      </c>
      <c r="C26" s="47" t="str">
        <f t="shared" ref="C26:C43" si="22">C3</f>
        <v>Bic Cello</v>
      </c>
      <c r="D26" s="48">
        <f t="shared" si="20"/>
        <v>1</v>
      </c>
      <c r="E26" s="49">
        <f t="shared" ref="E26:G26" si="23">R3</f>
        <v>1</v>
      </c>
      <c r="F26" s="49">
        <f t="shared" si="23"/>
        <v>1</v>
      </c>
      <c r="G26" s="49">
        <f t="shared" si="23"/>
        <v>1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15">
      <c r="A27" s="43"/>
      <c r="B27" s="46">
        <f t="shared" ref="B27:B43" si="24">B26+1</f>
        <v>2</v>
      </c>
      <c r="C27" s="47" t="str">
        <f t="shared" si="22"/>
        <v>Siemens Ind BGR</v>
      </c>
      <c r="D27" s="48">
        <f t="shared" si="20"/>
        <v>1</v>
      </c>
      <c r="E27" s="49">
        <f t="shared" ref="E27:G27" si="25">R4</f>
        <v>24.077441077441076</v>
      </c>
      <c r="F27" s="49">
        <f t="shared" si="25"/>
        <v>1</v>
      </c>
      <c r="G27" s="49">
        <f t="shared" si="25"/>
        <v>1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f t="shared" si="24"/>
        <v>3</v>
      </c>
      <c r="C28" s="47" t="str">
        <f t="shared" si="22"/>
        <v>Siemens SWGR Kalwa</v>
      </c>
      <c r="D28" s="48">
        <f t="shared" si="20"/>
        <v>1</v>
      </c>
      <c r="E28" s="49">
        <f t="shared" ref="E28:G28" si="26">R5</f>
        <v>1.6875</v>
      </c>
      <c r="F28" s="49">
        <f t="shared" si="26"/>
        <v>1</v>
      </c>
      <c r="G28" s="49">
        <f t="shared" si="26"/>
        <v>1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si="24"/>
        <v>4</v>
      </c>
      <c r="C29" s="47" t="str">
        <f t="shared" si="22"/>
        <v>Siemens Vapi</v>
      </c>
      <c r="D29" s="48">
        <f t="shared" si="20"/>
        <v>1</v>
      </c>
      <c r="E29" s="49">
        <f t="shared" ref="E29:G29" si="27">R6</f>
        <v>1</v>
      </c>
      <c r="F29" s="49">
        <f t="shared" si="27"/>
        <v>1</v>
      </c>
      <c r="G29" s="49">
        <f t="shared" si="27"/>
        <v>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24"/>
        <v>5</v>
      </c>
      <c r="C30" s="47" t="str">
        <f t="shared" si="22"/>
        <v>Siemens Medical</v>
      </c>
      <c r="D30" s="48">
        <f t="shared" si="20"/>
        <v>0.98279069767441862</v>
      </c>
      <c r="E30" s="49">
        <f t="shared" ref="E30:G30" si="28">R7</f>
        <v>1</v>
      </c>
      <c r="F30" s="49">
        <f t="shared" si="28"/>
        <v>1</v>
      </c>
      <c r="G30" s="49">
        <f t="shared" si="28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24"/>
        <v>6</v>
      </c>
      <c r="C31" s="47" t="str">
        <f t="shared" si="22"/>
        <v>Godrej Interio</v>
      </c>
      <c r="D31" s="48">
        <f t="shared" si="20"/>
        <v>0</v>
      </c>
      <c r="E31" s="49">
        <f t="shared" ref="E31:G31" si="29">R8</f>
        <v>0</v>
      </c>
      <c r="F31" s="49">
        <f t="shared" si="29"/>
        <v>0</v>
      </c>
      <c r="G31" s="49">
        <f t="shared" si="29"/>
        <v>0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24"/>
        <v>7</v>
      </c>
      <c r="C32" s="47" t="str">
        <f t="shared" si="22"/>
        <v>Godrej Branch</v>
      </c>
      <c r="D32" s="48">
        <f t="shared" si="20"/>
        <v>0</v>
      </c>
      <c r="E32" s="49">
        <f t="shared" ref="E32:G32" si="30">R9</f>
        <v>0</v>
      </c>
      <c r="F32" s="49">
        <f t="shared" si="30"/>
        <v>0</v>
      </c>
      <c r="G32" s="49">
        <f t="shared" si="30"/>
        <v>0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24"/>
        <v>8</v>
      </c>
      <c r="C33" s="47" t="str">
        <f t="shared" si="22"/>
        <v>Godrej spare</v>
      </c>
      <c r="D33" s="48">
        <f t="shared" si="20"/>
        <v>1</v>
      </c>
      <c r="E33" s="49">
        <f t="shared" ref="E33:G33" si="31">R10</f>
        <v>1</v>
      </c>
      <c r="F33" s="49">
        <f t="shared" si="31"/>
        <v>1</v>
      </c>
      <c r="G33" s="49">
        <f t="shared" si="31"/>
        <v>1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24"/>
        <v>9</v>
      </c>
      <c r="C34" s="47" t="str">
        <f t="shared" si="22"/>
        <v>Godrej MHE</v>
      </c>
      <c r="D34" s="48">
        <f t="shared" si="20"/>
        <v>1</v>
      </c>
      <c r="E34" s="49">
        <f t="shared" ref="E34:G34" si="32">R11</f>
        <v>0.99874529485570895</v>
      </c>
      <c r="F34" s="49">
        <f t="shared" si="32"/>
        <v>0.99998076792026847</v>
      </c>
      <c r="G34" s="49">
        <f t="shared" si="32"/>
        <v>1.0000192320797314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24"/>
        <v>10</v>
      </c>
      <c r="C35" s="47" t="str">
        <f t="shared" si="22"/>
        <v>Osram-BGR</v>
      </c>
      <c r="D35" s="48">
        <f t="shared" si="20"/>
        <v>1</v>
      </c>
      <c r="E35" s="49">
        <f t="shared" ref="E35:G35" si="33">R12</f>
        <v>1</v>
      </c>
      <c r="F35" s="49">
        <f t="shared" si="33"/>
        <v>0</v>
      </c>
      <c r="G35" s="49">
        <f t="shared" si="33"/>
        <v>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24"/>
        <v>11</v>
      </c>
      <c r="C36" s="47" t="str">
        <f t="shared" si="22"/>
        <v>Celio</v>
      </c>
      <c r="D36" s="48">
        <f t="shared" si="20"/>
        <v>1.0457000000000001</v>
      </c>
      <c r="E36" s="49">
        <f t="shared" ref="E36:G36" si="34">R13</f>
        <v>1</v>
      </c>
      <c r="F36" s="49">
        <f t="shared" si="34"/>
        <v>0</v>
      </c>
      <c r="G36" s="49">
        <f t="shared" si="34"/>
        <v>0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24"/>
        <v>12</v>
      </c>
      <c r="C37" s="47" t="str">
        <f t="shared" si="22"/>
        <v>Hansgrohe-BGR</v>
      </c>
      <c r="D37" s="48">
        <f t="shared" si="20"/>
        <v>1</v>
      </c>
      <c r="E37" s="49">
        <f t="shared" ref="E37:G37" si="35">R14</f>
        <v>1</v>
      </c>
      <c r="F37" s="49">
        <f t="shared" si="35"/>
        <v>1</v>
      </c>
      <c r="G37" s="49">
        <f t="shared" si="35"/>
        <v>1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24"/>
        <v>13</v>
      </c>
      <c r="C38" s="47" t="str">
        <f t="shared" si="22"/>
        <v>Roquette-BGR</v>
      </c>
      <c r="D38" s="48">
        <f t="shared" si="20"/>
        <v>1</v>
      </c>
      <c r="E38" s="49">
        <f t="shared" ref="E38:G38" si="36">R15</f>
        <v>1</v>
      </c>
      <c r="F38" s="49">
        <f t="shared" si="36"/>
        <v>1</v>
      </c>
      <c r="G38" s="49">
        <f t="shared" si="36"/>
        <v>1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24"/>
        <v>14</v>
      </c>
      <c r="C39" s="47" t="str">
        <f t="shared" si="22"/>
        <v>Jubilant-BGR</v>
      </c>
      <c r="D39" s="48">
        <f t="shared" si="20"/>
        <v>1</v>
      </c>
      <c r="E39" s="49">
        <f t="shared" ref="E39:G39" si="37">R16</f>
        <v>1</v>
      </c>
      <c r="F39" s="49">
        <f t="shared" si="37"/>
        <v>1</v>
      </c>
      <c r="G39" s="49">
        <f t="shared" si="37"/>
        <v>1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>
      <c r="A40" s="43"/>
      <c r="B40" s="46">
        <f t="shared" si="24"/>
        <v>15</v>
      </c>
      <c r="C40" s="47" t="str">
        <f t="shared" si="22"/>
        <v>Siemens BT-BGR</v>
      </c>
      <c r="D40" s="48">
        <f t="shared" si="20"/>
        <v>1</v>
      </c>
      <c r="E40" s="49">
        <f t="shared" ref="E40:G40" si="38">R17</f>
        <v>1</v>
      </c>
      <c r="F40" s="49">
        <f t="shared" si="38"/>
        <v>1</v>
      </c>
      <c r="G40" s="49">
        <f t="shared" si="38"/>
        <v>1</v>
      </c>
    </row>
    <row r="41" spans="1:24" ht="15">
      <c r="A41" s="43"/>
      <c r="B41" s="46">
        <f t="shared" si="24"/>
        <v>16</v>
      </c>
      <c r="C41" s="47" t="str">
        <f t="shared" si="22"/>
        <v>PVMI-BGR</v>
      </c>
      <c r="D41" s="48">
        <f t="shared" si="20"/>
        <v>1</v>
      </c>
      <c r="E41" s="49">
        <f t="shared" ref="E41:G41" si="39">R18</f>
        <v>1</v>
      </c>
      <c r="F41" s="49">
        <f t="shared" si="39"/>
        <v>0</v>
      </c>
      <c r="G41" s="49">
        <f t="shared" si="39"/>
        <v>0</v>
      </c>
    </row>
    <row r="42" spans="1:24" ht="15">
      <c r="A42" s="43"/>
      <c r="B42" s="46">
        <f t="shared" si="24"/>
        <v>17</v>
      </c>
      <c r="C42" s="47" t="str">
        <f t="shared" si="22"/>
        <v>RBL</v>
      </c>
      <c r="D42" s="48">
        <f t="shared" si="20"/>
        <v>0</v>
      </c>
      <c r="E42" s="49">
        <f t="shared" ref="E42:G42" si="40">R19</f>
        <v>0</v>
      </c>
      <c r="F42" s="49">
        <f t="shared" si="40"/>
        <v>0</v>
      </c>
      <c r="G42" s="49">
        <f t="shared" si="40"/>
        <v>0</v>
      </c>
    </row>
    <row r="43" spans="1:24" ht="15">
      <c r="A43" s="43"/>
      <c r="B43" s="46">
        <f t="shared" si="24"/>
        <v>18</v>
      </c>
      <c r="C43" s="47" t="str">
        <f t="shared" si="22"/>
        <v>Pepe Jeans</v>
      </c>
      <c r="D43" s="48">
        <f t="shared" si="20"/>
        <v>1</v>
      </c>
      <c r="E43" s="49">
        <f t="shared" ref="E43:G43" si="41">R20</f>
        <v>0.94117647058823528</v>
      </c>
      <c r="F43" s="49">
        <f t="shared" si="41"/>
        <v>0.99070114001108667</v>
      </c>
      <c r="G43" s="49">
        <f t="shared" si="41"/>
        <v>0.99413047565955648</v>
      </c>
    </row>
  </sheetData>
  <mergeCells count="2">
    <mergeCell ref="A1:C1"/>
    <mergeCell ref="F1:H1"/>
  </mergeCells>
  <pageMargins left="0.7" right="0.7" top="0.75" bottom="0.75" header="0.3" footer="0.3"/>
  <headerFooter>
    <oddHeader>&amp;C&amp;"Calibri"&amp;10&amp;K000000 Public&amp;1#_x000D_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43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6.28515625" customWidth="1"/>
    <col min="2" max="2" width="5" customWidth="1"/>
    <col min="3" max="3" width="13.85546875" customWidth="1"/>
    <col min="4" max="4" width="12.140625" customWidth="1"/>
    <col min="5" max="5" width="10.5703125" customWidth="1"/>
    <col min="6" max="6" width="13.140625" customWidth="1"/>
    <col min="7" max="7" width="11.85546875" customWidth="1"/>
    <col min="8" max="8" width="10.5703125" customWidth="1"/>
    <col min="9" max="9" width="8" customWidth="1"/>
    <col min="10" max="10" width="7.85546875" customWidth="1"/>
    <col min="11" max="11" width="11" customWidth="1"/>
    <col min="12" max="12" width="12.5703125" customWidth="1"/>
    <col min="13" max="13" width="11.85546875" customWidth="1"/>
    <col min="14" max="14" width="11.5703125" customWidth="1"/>
    <col min="15" max="15" width="9.140625" customWidth="1"/>
    <col min="16" max="16" width="8.5703125" customWidth="1"/>
    <col min="17" max="19" width="10.42578125" customWidth="1"/>
    <col min="20" max="20" width="9.7109375" customWidth="1"/>
    <col min="21" max="21" width="12.28515625" customWidth="1"/>
    <col min="22" max="22" width="10.42578125" customWidth="1"/>
    <col min="23" max="23" width="9.85546875" customWidth="1"/>
    <col min="24" max="24" width="13.85546875" customWidth="1"/>
  </cols>
  <sheetData>
    <row r="1" spans="1:25" ht="37.5" customHeight="1">
      <c r="A1" s="115"/>
      <c r="B1" s="116"/>
      <c r="C1" s="117"/>
      <c r="D1" s="1"/>
      <c r="E1" s="2"/>
      <c r="F1" s="118" t="s">
        <v>56</v>
      </c>
      <c r="G1" s="116"/>
      <c r="H1" s="116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5" ht="56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7" t="s">
        <v>22</v>
      </c>
      <c r="W2" s="7" t="s">
        <v>23</v>
      </c>
      <c r="X2" s="6" t="s">
        <v>24</v>
      </c>
    </row>
    <row r="3" spans="1:25" ht="15">
      <c r="A3" s="9">
        <v>1</v>
      </c>
      <c r="B3" s="10">
        <v>44958</v>
      </c>
      <c r="C3" s="11" t="s">
        <v>25</v>
      </c>
      <c r="D3" s="11" t="s">
        <v>26</v>
      </c>
      <c r="E3" s="11" t="s">
        <v>27</v>
      </c>
      <c r="F3" s="12">
        <v>771</v>
      </c>
      <c r="G3" s="13">
        <v>771</v>
      </c>
      <c r="H3" s="14">
        <f t="shared" ref="H3:H21" si="0">IFERROR(G3/F3,0)</f>
        <v>1</v>
      </c>
      <c r="I3" s="15">
        <v>0</v>
      </c>
      <c r="J3" s="15">
        <v>0</v>
      </c>
      <c r="K3" s="16">
        <f t="shared" ref="K3:K9" si="1">G3-I3-J3</f>
        <v>771</v>
      </c>
      <c r="L3" s="12">
        <f>47894*7000</f>
        <v>335258000</v>
      </c>
      <c r="M3" s="13">
        <v>0</v>
      </c>
      <c r="N3" s="13">
        <v>0</v>
      </c>
      <c r="O3" s="17">
        <f t="shared" ref="O3:O16" si="2">N3+M3</f>
        <v>0</v>
      </c>
      <c r="P3" s="17">
        <f t="shared" ref="P3:P16" si="3">M3-N3</f>
        <v>0</v>
      </c>
      <c r="Q3" s="16">
        <f t="shared" ref="Q3:Q11" si="4">IFERROR(L3-N3-M3,0)</f>
        <v>335258000</v>
      </c>
      <c r="R3" s="18">
        <f>IFERROR((K3/G3),0)</f>
        <v>1</v>
      </c>
      <c r="S3" s="18">
        <f t="shared" ref="S3:S21" si="5">IFERROR(1-(O3/L3),0)</f>
        <v>1</v>
      </c>
      <c r="T3" s="18">
        <f t="shared" ref="T3:T21" si="6">IFERROR(1-(P3/L3),0)</f>
        <v>1</v>
      </c>
      <c r="U3" s="19">
        <v>1E-3</v>
      </c>
      <c r="V3" s="20">
        <f>IFERROR(I3/G3,0)</f>
        <v>0</v>
      </c>
      <c r="W3" s="20">
        <f>IFERROR(J3/G3,0)</f>
        <v>0</v>
      </c>
      <c r="X3" s="11" t="s">
        <v>28</v>
      </c>
    </row>
    <row r="4" spans="1:25" ht="15">
      <c r="A4" s="9">
        <f t="shared" ref="A4:A20" si="7">A3+1</f>
        <v>2</v>
      </c>
      <c r="B4" s="10">
        <v>44958</v>
      </c>
      <c r="C4" s="21" t="s">
        <v>29</v>
      </c>
      <c r="D4" s="11" t="s">
        <v>26</v>
      </c>
      <c r="E4" s="11" t="s">
        <v>27</v>
      </c>
      <c r="F4" s="22">
        <v>6191</v>
      </c>
      <c r="G4" s="22">
        <v>6191</v>
      </c>
      <c r="H4" s="14">
        <f t="shared" si="0"/>
        <v>1</v>
      </c>
      <c r="I4" s="22">
        <v>0</v>
      </c>
      <c r="J4" s="22">
        <v>0</v>
      </c>
      <c r="K4" s="16">
        <f t="shared" si="1"/>
        <v>6191</v>
      </c>
      <c r="L4" s="12">
        <v>2825940402</v>
      </c>
      <c r="M4" s="13"/>
      <c r="N4" s="13"/>
      <c r="O4" s="17">
        <f t="shared" si="2"/>
        <v>0</v>
      </c>
      <c r="P4" s="17">
        <f t="shared" si="3"/>
        <v>0</v>
      </c>
      <c r="Q4" s="16">
        <f t="shared" si="4"/>
        <v>2825940402</v>
      </c>
      <c r="R4" s="18">
        <f t="shared" ref="R4:R5" si="8">IFERROR((K4/G5),0)</f>
        <v>22.032028469750891</v>
      </c>
      <c r="S4" s="18">
        <f t="shared" si="5"/>
        <v>1</v>
      </c>
      <c r="T4" s="18">
        <f t="shared" si="6"/>
        <v>1</v>
      </c>
      <c r="U4" s="19">
        <v>1.5E-3</v>
      </c>
      <c r="V4" s="20">
        <f>IFERROR(I5/G5,0)</f>
        <v>0</v>
      </c>
      <c r="W4" s="20">
        <f>IFERROR(J5/G5,0)</f>
        <v>0</v>
      </c>
      <c r="X4" s="11" t="s">
        <v>28</v>
      </c>
    </row>
    <row r="5" spans="1:25" ht="23.25">
      <c r="A5" s="9">
        <f t="shared" si="7"/>
        <v>3</v>
      </c>
      <c r="B5" s="10">
        <v>44958</v>
      </c>
      <c r="C5" s="21" t="s">
        <v>30</v>
      </c>
      <c r="D5" s="11" t="s">
        <v>26</v>
      </c>
      <c r="E5" s="11" t="s">
        <v>27</v>
      </c>
      <c r="F5" s="12">
        <v>300</v>
      </c>
      <c r="G5" s="13">
        <v>281</v>
      </c>
      <c r="H5" s="14">
        <f t="shared" si="0"/>
        <v>0.93666666666666665</v>
      </c>
      <c r="I5" s="15">
        <v>0</v>
      </c>
      <c r="J5" s="15">
        <v>0</v>
      </c>
      <c r="K5" s="16">
        <f t="shared" si="1"/>
        <v>281</v>
      </c>
      <c r="L5" s="12">
        <v>11673197</v>
      </c>
      <c r="M5" s="13">
        <v>0</v>
      </c>
      <c r="N5" s="13">
        <v>0</v>
      </c>
      <c r="O5" s="17">
        <f t="shared" si="2"/>
        <v>0</v>
      </c>
      <c r="P5" s="17">
        <f t="shared" si="3"/>
        <v>0</v>
      </c>
      <c r="Q5" s="16">
        <f t="shared" si="4"/>
        <v>11673197</v>
      </c>
      <c r="R5" s="18">
        <f t="shared" si="8"/>
        <v>1.6337209302325582</v>
      </c>
      <c r="S5" s="18">
        <f t="shared" si="5"/>
        <v>1</v>
      </c>
      <c r="T5" s="18">
        <f t="shared" si="6"/>
        <v>1</v>
      </c>
      <c r="U5" s="19">
        <v>0</v>
      </c>
      <c r="V5" s="20">
        <f t="shared" ref="V5:W5" si="9">IFERROR(#REF!/#REF!,0)</f>
        <v>0</v>
      </c>
      <c r="W5" s="20">
        <f t="shared" si="9"/>
        <v>0</v>
      </c>
      <c r="X5" s="11" t="s">
        <v>28</v>
      </c>
    </row>
    <row r="6" spans="1:25" ht="15">
      <c r="A6" s="9">
        <f t="shared" si="7"/>
        <v>4</v>
      </c>
      <c r="B6" s="10">
        <v>44958</v>
      </c>
      <c r="C6" s="21" t="s">
        <v>31</v>
      </c>
      <c r="D6" s="11" t="s">
        <v>26</v>
      </c>
      <c r="E6" s="11" t="s">
        <v>27</v>
      </c>
      <c r="F6" s="12">
        <v>172</v>
      </c>
      <c r="G6" s="13">
        <v>172</v>
      </c>
      <c r="H6" s="14">
        <f t="shared" si="0"/>
        <v>1</v>
      </c>
      <c r="I6" s="15">
        <v>0</v>
      </c>
      <c r="J6" s="15">
        <v>0</v>
      </c>
      <c r="K6" s="16">
        <f t="shared" si="1"/>
        <v>172</v>
      </c>
      <c r="L6" s="23">
        <v>238873380.40000001</v>
      </c>
      <c r="M6" s="13"/>
      <c r="N6" s="13"/>
      <c r="O6" s="17">
        <f t="shared" si="2"/>
        <v>0</v>
      </c>
      <c r="P6" s="17">
        <f t="shared" si="3"/>
        <v>0</v>
      </c>
      <c r="Q6" s="16">
        <f t="shared" si="4"/>
        <v>238873380.40000001</v>
      </c>
      <c r="R6" s="18">
        <f t="shared" ref="R6:R21" si="10">IFERROR((K6/G6),0)</f>
        <v>1</v>
      </c>
      <c r="S6" s="18">
        <f t="shared" si="5"/>
        <v>1</v>
      </c>
      <c r="T6" s="18">
        <f t="shared" si="6"/>
        <v>1</v>
      </c>
      <c r="U6" s="19">
        <v>1.5E-3</v>
      </c>
      <c r="V6" s="20">
        <f t="shared" ref="V6:V21" si="11">IFERROR(I6/G6,0)</f>
        <v>0</v>
      </c>
      <c r="W6" s="20">
        <f t="shared" ref="W6:W21" si="12">IFERROR(J6/G6,0)</f>
        <v>0</v>
      </c>
      <c r="X6" s="11" t="s">
        <v>28</v>
      </c>
    </row>
    <row r="7" spans="1:25" ht="15">
      <c r="A7" s="9">
        <f t="shared" si="7"/>
        <v>5</v>
      </c>
      <c r="B7" s="10">
        <v>44958</v>
      </c>
      <c r="C7" s="21" t="s">
        <v>32</v>
      </c>
      <c r="D7" s="11" t="s">
        <v>26</v>
      </c>
      <c r="E7" s="11" t="s">
        <v>27</v>
      </c>
      <c r="F7" s="12">
        <v>6800</v>
      </c>
      <c r="G7" s="13">
        <v>6705</v>
      </c>
      <c r="H7" s="14">
        <f t="shared" si="0"/>
        <v>0.98602941176470593</v>
      </c>
      <c r="I7" s="15">
        <v>0</v>
      </c>
      <c r="J7" s="15">
        <v>0</v>
      </c>
      <c r="K7" s="16">
        <f t="shared" si="1"/>
        <v>6705</v>
      </c>
      <c r="L7" s="12">
        <v>477583485</v>
      </c>
      <c r="M7" s="13">
        <v>0</v>
      </c>
      <c r="N7" s="13">
        <v>0</v>
      </c>
      <c r="O7" s="17">
        <f t="shared" si="2"/>
        <v>0</v>
      </c>
      <c r="P7" s="17">
        <f t="shared" si="3"/>
        <v>0</v>
      </c>
      <c r="Q7" s="16">
        <f t="shared" si="4"/>
        <v>477583485</v>
      </c>
      <c r="R7" s="18">
        <f t="shared" si="10"/>
        <v>1</v>
      </c>
      <c r="S7" s="18">
        <f t="shared" si="5"/>
        <v>1</v>
      </c>
      <c r="T7" s="18">
        <f t="shared" si="6"/>
        <v>1</v>
      </c>
      <c r="U7" s="19">
        <v>1.5E-3</v>
      </c>
      <c r="V7" s="20">
        <f t="shared" si="11"/>
        <v>0</v>
      </c>
      <c r="W7" s="20">
        <f t="shared" si="12"/>
        <v>0</v>
      </c>
      <c r="X7" s="11" t="s">
        <v>33</v>
      </c>
    </row>
    <row r="8" spans="1:25" ht="23.25">
      <c r="A8" s="9">
        <f t="shared" si="7"/>
        <v>6</v>
      </c>
      <c r="B8" s="10">
        <v>44958</v>
      </c>
      <c r="C8" s="21" t="s">
        <v>34</v>
      </c>
      <c r="D8" s="11" t="s">
        <v>26</v>
      </c>
      <c r="E8" s="11" t="s">
        <v>27</v>
      </c>
      <c r="F8" s="12">
        <v>832</v>
      </c>
      <c r="G8" s="12">
        <v>832</v>
      </c>
      <c r="H8" s="14">
        <f t="shared" si="0"/>
        <v>1</v>
      </c>
      <c r="I8" s="15">
        <v>1</v>
      </c>
      <c r="J8" s="15">
        <v>9</v>
      </c>
      <c r="K8" s="16">
        <f t="shared" si="1"/>
        <v>822</v>
      </c>
      <c r="L8" s="12">
        <v>19794026.030000001</v>
      </c>
      <c r="M8" s="13">
        <v>4593.8999999999996</v>
      </c>
      <c r="N8" s="13">
        <v>231638.36</v>
      </c>
      <c r="O8" s="17">
        <f t="shared" si="2"/>
        <v>236232.25999999998</v>
      </c>
      <c r="P8" s="17">
        <f t="shared" si="3"/>
        <v>-227044.46</v>
      </c>
      <c r="Q8" s="16">
        <f t="shared" si="4"/>
        <v>19557793.770000003</v>
      </c>
      <c r="R8" s="18">
        <f t="shared" si="10"/>
        <v>0.98798076923076927</v>
      </c>
      <c r="S8" s="18">
        <f t="shared" si="5"/>
        <v>0.98806547694531854</v>
      </c>
      <c r="T8" s="18">
        <f t="shared" si="6"/>
        <v>1.0114703527041891</v>
      </c>
      <c r="U8" s="19">
        <v>0</v>
      </c>
      <c r="V8" s="20">
        <f t="shared" si="11"/>
        <v>1.201923076923077E-3</v>
      </c>
      <c r="W8" s="20">
        <f t="shared" si="12"/>
        <v>1.0817307692307692E-2</v>
      </c>
      <c r="X8" s="11" t="s">
        <v>35</v>
      </c>
      <c r="Y8" s="24" t="s">
        <v>36</v>
      </c>
    </row>
    <row r="9" spans="1:25" ht="15">
      <c r="A9" s="9">
        <f t="shared" si="7"/>
        <v>7</v>
      </c>
      <c r="B9" s="10">
        <v>44958</v>
      </c>
      <c r="C9" s="21" t="s">
        <v>37</v>
      </c>
      <c r="D9" s="11" t="s">
        <v>26</v>
      </c>
      <c r="E9" s="11" t="s">
        <v>27</v>
      </c>
      <c r="F9" s="12">
        <v>2200</v>
      </c>
      <c r="G9" s="13">
        <v>2200</v>
      </c>
      <c r="H9" s="14">
        <f t="shared" si="0"/>
        <v>1</v>
      </c>
      <c r="I9" s="15">
        <v>5</v>
      </c>
      <c r="J9" s="15">
        <v>10</v>
      </c>
      <c r="K9" s="16">
        <f t="shared" si="1"/>
        <v>2185</v>
      </c>
      <c r="L9" s="12">
        <v>12643552</v>
      </c>
      <c r="M9" s="13">
        <v>8124</v>
      </c>
      <c r="N9" s="13">
        <v>7004</v>
      </c>
      <c r="O9" s="17">
        <f t="shared" si="2"/>
        <v>15128</v>
      </c>
      <c r="P9" s="17">
        <f t="shared" si="3"/>
        <v>1120</v>
      </c>
      <c r="Q9" s="16">
        <f t="shared" si="4"/>
        <v>12628424</v>
      </c>
      <c r="R9" s="18">
        <f t="shared" si="10"/>
        <v>0.99318181818181817</v>
      </c>
      <c r="S9" s="18">
        <f t="shared" si="5"/>
        <v>0.99880350078838609</v>
      </c>
      <c r="T9" s="18">
        <f t="shared" si="6"/>
        <v>0.99991141729792388</v>
      </c>
      <c r="U9" s="19">
        <v>5.0000000000000001E-4</v>
      </c>
      <c r="V9" s="20">
        <f t="shared" si="11"/>
        <v>2.2727272727272726E-3</v>
      </c>
      <c r="W9" s="20">
        <f t="shared" si="12"/>
        <v>4.5454545454545452E-3</v>
      </c>
      <c r="X9" s="11" t="s">
        <v>28</v>
      </c>
    </row>
    <row r="10" spans="1:25" ht="15">
      <c r="A10" s="9">
        <f t="shared" si="7"/>
        <v>8</v>
      </c>
      <c r="B10" s="10">
        <v>44958</v>
      </c>
      <c r="C10" s="21" t="s">
        <v>38</v>
      </c>
      <c r="D10" s="11" t="s">
        <v>26</v>
      </c>
      <c r="E10" s="11" t="s">
        <v>27</v>
      </c>
      <c r="F10" s="12">
        <v>915</v>
      </c>
      <c r="G10" s="13">
        <v>915</v>
      </c>
      <c r="H10" s="14">
        <f t="shared" si="0"/>
        <v>1</v>
      </c>
      <c r="I10" s="13">
        <v>0</v>
      </c>
      <c r="J10" s="13">
        <v>0</v>
      </c>
      <c r="K10" s="16">
        <f>G10-I10-K11</f>
        <v>199</v>
      </c>
      <c r="L10" s="12">
        <v>8135894</v>
      </c>
      <c r="M10" s="13">
        <v>0</v>
      </c>
      <c r="N10" s="13">
        <v>0</v>
      </c>
      <c r="O10" s="17">
        <f t="shared" si="2"/>
        <v>0</v>
      </c>
      <c r="P10" s="17">
        <f t="shared" si="3"/>
        <v>0</v>
      </c>
      <c r="Q10" s="16">
        <f t="shared" si="4"/>
        <v>8135894</v>
      </c>
      <c r="R10" s="18">
        <f t="shared" si="10"/>
        <v>0.2174863387978142</v>
      </c>
      <c r="S10" s="18">
        <f t="shared" si="5"/>
        <v>1</v>
      </c>
      <c r="T10" s="18">
        <f t="shared" si="6"/>
        <v>1</v>
      </c>
      <c r="U10" s="19">
        <v>0</v>
      </c>
      <c r="V10" s="20">
        <f t="shared" si="11"/>
        <v>0</v>
      </c>
      <c r="W10" s="20">
        <f t="shared" si="12"/>
        <v>0</v>
      </c>
      <c r="X10" s="11" t="s">
        <v>28</v>
      </c>
    </row>
    <row r="11" spans="1:25" ht="15">
      <c r="A11" s="9">
        <f t="shared" si="7"/>
        <v>9</v>
      </c>
      <c r="B11" s="10">
        <v>44958</v>
      </c>
      <c r="C11" s="21" t="s">
        <v>39</v>
      </c>
      <c r="D11" s="11" t="s">
        <v>26</v>
      </c>
      <c r="E11" s="11" t="s">
        <v>27</v>
      </c>
      <c r="F11" s="12">
        <v>719</v>
      </c>
      <c r="G11" s="13">
        <v>719</v>
      </c>
      <c r="H11" s="14">
        <f t="shared" si="0"/>
        <v>1</v>
      </c>
      <c r="I11" s="15">
        <v>0</v>
      </c>
      <c r="J11" s="15">
        <v>3</v>
      </c>
      <c r="K11" s="16">
        <f>G11-I11-J11</f>
        <v>716</v>
      </c>
      <c r="L11" s="12">
        <v>7243377</v>
      </c>
      <c r="M11" s="13">
        <v>0</v>
      </c>
      <c r="N11" s="13">
        <v>312</v>
      </c>
      <c r="O11" s="17">
        <f t="shared" si="2"/>
        <v>312</v>
      </c>
      <c r="P11" s="17">
        <f t="shared" si="3"/>
        <v>-312</v>
      </c>
      <c r="Q11" s="16">
        <f t="shared" si="4"/>
        <v>7243065</v>
      </c>
      <c r="R11" s="18">
        <f t="shared" si="10"/>
        <v>0.99582753824756609</v>
      </c>
      <c r="S11" s="18">
        <f t="shared" si="5"/>
        <v>0.99995692616855369</v>
      </c>
      <c r="T11" s="18">
        <f t="shared" si="6"/>
        <v>1.0000430738314463</v>
      </c>
      <c r="U11" s="19">
        <v>0</v>
      </c>
      <c r="V11" s="20">
        <f t="shared" si="11"/>
        <v>0</v>
      </c>
      <c r="W11" s="20">
        <f t="shared" si="12"/>
        <v>4.172461752433936E-3</v>
      </c>
      <c r="X11" s="11" t="s">
        <v>28</v>
      </c>
    </row>
    <row r="12" spans="1:25" ht="15">
      <c r="A12" s="9">
        <f t="shared" si="7"/>
        <v>10</v>
      </c>
      <c r="B12" s="10">
        <v>44958</v>
      </c>
      <c r="C12" s="21" t="s">
        <v>40</v>
      </c>
      <c r="D12" s="11" t="s">
        <v>26</v>
      </c>
      <c r="E12" s="11" t="s">
        <v>27</v>
      </c>
      <c r="F12" s="12">
        <v>447</v>
      </c>
      <c r="G12" s="13">
        <v>447</v>
      </c>
      <c r="H12" s="14">
        <f t="shared" si="0"/>
        <v>1</v>
      </c>
      <c r="I12" s="15"/>
      <c r="J12" s="15"/>
      <c r="K12" s="16">
        <f>G12-I12-I12</f>
        <v>447</v>
      </c>
      <c r="L12" s="12" t="s">
        <v>57</v>
      </c>
      <c r="M12" s="13"/>
      <c r="N12" s="13"/>
      <c r="O12" s="17">
        <f t="shared" si="2"/>
        <v>0</v>
      </c>
      <c r="P12" s="17">
        <f t="shared" si="3"/>
        <v>0</v>
      </c>
      <c r="Q12" s="16" t="str">
        <f>L12</f>
        <v>11,20,34,194.24</v>
      </c>
      <c r="R12" s="18">
        <f t="shared" si="10"/>
        <v>1</v>
      </c>
      <c r="S12" s="18">
        <f t="shared" si="5"/>
        <v>0</v>
      </c>
      <c r="T12" s="18">
        <f t="shared" si="6"/>
        <v>0</v>
      </c>
      <c r="U12" s="19">
        <v>0</v>
      </c>
      <c r="V12" s="20">
        <f t="shared" si="11"/>
        <v>0</v>
      </c>
      <c r="W12" s="20">
        <f t="shared" si="12"/>
        <v>0</v>
      </c>
      <c r="X12" s="11" t="s">
        <v>28</v>
      </c>
    </row>
    <row r="13" spans="1:25" ht="23.25">
      <c r="A13" s="9">
        <f t="shared" si="7"/>
        <v>11</v>
      </c>
      <c r="B13" s="10">
        <v>44958</v>
      </c>
      <c r="C13" s="21" t="s">
        <v>42</v>
      </c>
      <c r="D13" s="11" t="s">
        <v>26</v>
      </c>
      <c r="E13" s="11" t="s">
        <v>27</v>
      </c>
      <c r="F13" s="12">
        <v>10000</v>
      </c>
      <c r="G13" s="13">
        <v>11196</v>
      </c>
      <c r="H13" s="14">
        <f t="shared" si="0"/>
        <v>1.1195999999999999</v>
      </c>
      <c r="I13" s="13">
        <v>0</v>
      </c>
      <c r="J13" s="13">
        <v>0</v>
      </c>
      <c r="K13" s="16">
        <f t="shared" ref="K13:K21" si="13">G13-I13-J13</f>
        <v>11196</v>
      </c>
      <c r="L13" s="12" t="s">
        <v>55</v>
      </c>
      <c r="M13" s="13"/>
      <c r="N13" s="13"/>
      <c r="O13" s="17">
        <f t="shared" si="2"/>
        <v>0</v>
      </c>
      <c r="P13" s="17">
        <f t="shared" si="3"/>
        <v>0</v>
      </c>
      <c r="Q13" s="16">
        <f>IFERROR(L13-N13-M13,0)</f>
        <v>0</v>
      </c>
      <c r="R13" s="18">
        <f t="shared" si="10"/>
        <v>1</v>
      </c>
      <c r="S13" s="18">
        <f t="shared" si="5"/>
        <v>0</v>
      </c>
      <c r="T13" s="18">
        <f t="shared" si="6"/>
        <v>0</v>
      </c>
      <c r="U13" s="19">
        <v>0</v>
      </c>
      <c r="V13" s="20">
        <f t="shared" si="11"/>
        <v>0</v>
      </c>
      <c r="W13" s="20">
        <f t="shared" si="12"/>
        <v>0</v>
      </c>
      <c r="X13" s="11" t="s">
        <v>43</v>
      </c>
    </row>
    <row r="14" spans="1:25" ht="15">
      <c r="A14" s="9">
        <f t="shared" si="7"/>
        <v>12</v>
      </c>
      <c r="B14" s="10">
        <v>44958</v>
      </c>
      <c r="C14" s="21" t="s">
        <v>44</v>
      </c>
      <c r="D14" s="11" t="s">
        <v>26</v>
      </c>
      <c r="E14" s="11" t="s">
        <v>27</v>
      </c>
      <c r="F14" s="12">
        <v>1872</v>
      </c>
      <c r="G14" s="12">
        <v>1872</v>
      </c>
      <c r="H14" s="14">
        <f t="shared" si="0"/>
        <v>1</v>
      </c>
      <c r="I14" s="15">
        <v>0</v>
      </c>
      <c r="J14" s="15">
        <v>0</v>
      </c>
      <c r="K14" s="16">
        <f t="shared" si="13"/>
        <v>1872</v>
      </c>
      <c r="L14" s="12" t="s">
        <v>58</v>
      </c>
      <c r="M14" s="13">
        <v>0</v>
      </c>
      <c r="N14" s="13"/>
      <c r="O14" s="17">
        <f t="shared" si="2"/>
        <v>0</v>
      </c>
      <c r="P14" s="17">
        <f t="shared" si="3"/>
        <v>0</v>
      </c>
      <c r="Q14" s="16" t="str">
        <f>L14</f>
        <v>24,12,63,748.26</v>
      </c>
      <c r="R14" s="18">
        <f t="shared" si="10"/>
        <v>1</v>
      </c>
      <c r="S14" s="18">
        <f t="shared" si="5"/>
        <v>0</v>
      </c>
      <c r="T14" s="18">
        <f t="shared" si="6"/>
        <v>0</v>
      </c>
      <c r="U14" s="19">
        <v>0</v>
      </c>
      <c r="V14" s="20">
        <f t="shared" si="11"/>
        <v>0</v>
      </c>
      <c r="W14" s="20">
        <f t="shared" si="12"/>
        <v>0</v>
      </c>
      <c r="X14" s="11" t="s">
        <v>28</v>
      </c>
    </row>
    <row r="15" spans="1:25" ht="15">
      <c r="A15" s="9">
        <f t="shared" si="7"/>
        <v>13</v>
      </c>
      <c r="B15" s="10">
        <v>44958</v>
      </c>
      <c r="C15" s="21" t="s">
        <v>45</v>
      </c>
      <c r="D15" s="11" t="s">
        <v>26</v>
      </c>
      <c r="E15" s="11" t="s">
        <v>27</v>
      </c>
      <c r="F15" s="12">
        <v>28</v>
      </c>
      <c r="G15" s="12">
        <v>28</v>
      </c>
      <c r="H15" s="14">
        <f t="shared" si="0"/>
        <v>1</v>
      </c>
      <c r="I15" s="15"/>
      <c r="J15" s="15"/>
      <c r="K15" s="16">
        <f t="shared" si="13"/>
        <v>28</v>
      </c>
      <c r="L15" s="12">
        <v>204720000</v>
      </c>
      <c r="M15" s="13"/>
      <c r="N15" s="13"/>
      <c r="O15" s="17">
        <f t="shared" si="2"/>
        <v>0</v>
      </c>
      <c r="P15" s="17">
        <f t="shared" si="3"/>
        <v>0</v>
      </c>
      <c r="Q15" s="16">
        <f t="shared" ref="Q15:Q21" si="14">IFERROR(L15-N15-M15,0)</f>
        <v>204720000</v>
      </c>
      <c r="R15" s="18">
        <f t="shared" si="10"/>
        <v>1</v>
      </c>
      <c r="S15" s="18">
        <f t="shared" si="5"/>
        <v>1</v>
      </c>
      <c r="T15" s="18">
        <f t="shared" si="6"/>
        <v>1</v>
      </c>
      <c r="U15" s="19">
        <v>0</v>
      </c>
      <c r="V15" s="20">
        <f t="shared" si="11"/>
        <v>0</v>
      </c>
      <c r="W15" s="20">
        <f t="shared" si="12"/>
        <v>0</v>
      </c>
      <c r="X15" s="25" t="s">
        <v>46</v>
      </c>
    </row>
    <row r="16" spans="1:25" ht="15">
      <c r="A16" s="9">
        <f t="shared" si="7"/>
        <v>14</v>
      </c>
      <c r="B16" s="10">
        <v>44958</v>
      </c>
      <c r="C16" s="21" t="s">
        <v>47</v>
      </c>
      <c r="D16" s="11" t="s">
        <v>26</v>
      </c>
      <c r="E16" s="11" t="s">
        <v>27</v>
      </c>
      <c r="F16" s="12">
        <v>2</v>
      </c>
      <c r="G16" s="12">
        <v>2</v>
      </c>
      <c r="H16" s="14">
        <f t="shared" si="0"/>
        <v>1</v>
      </c>
      <c r="I16" s="15"/>
      <c r="J16" s="15"/>
      <c r="K16" s="16">
        <f t="shared" si="13"/>
        <v>2</v>
      </c>
      <c r="L16" s="12">
        <v>44800000</v>
      </c>
      <c r="M16" s="13"/>
      <c r="N16" s="13"/>
      <c r="O16" s="17">
        <f t="shared" si="2"/>
        <v>0</v>
      </c>
      <c r="P16" s="17">
        <f t="shared" si="3"/>
        <v>0</v>
      </c>
      <c r="Q16" s="16">
        <f t="shared" si="14"/>
        <v>44800000</v>
      </c>
      <c r="R16" s="18">
        <f t="shared" si="10"/>
        <v>1</v>
      </c>
      <c r="S16" s="18">
        <f t="shared" si="5"/>
        <v>1</v>
      </c>
      <c r="T16" s="18">
        <f t="shared" si="6"/>
        <v>1</v>
      </c>
      <c r="U16" s="19">
        <v>0</v>
      </c>
      <c r="V16" s="20">
        <f t="shared" si="11"/>
        <v>0</v>
      </c>
      <c r="W16" s="20">
        <f t="shared" si="12"/>
        <v>0</v>
      </c>
      <c r="X16" s="25" t="s">
        <v>46</v>
      </c>
    </row>
    <row r="17" spans="1:24" ht="15">
      <c r="A17" s="9">
        <f t="shared" si="7"/>
        <v>15</v>
      </c>
      <c r="B17" s="10">
        <v>44958</v>
      </c>
      <c r="C17" s="21" t="s">
        <v>48</v>
      </c>
      <c r="D17" s="11" t="s">
        <v>26</v>
      </c>
      <c r="E17" s="11" t="s">
        <v>27</v>
      </c>
      <c r="F17" s="12">
        <v>821</v>
      </c>
      <c r="G17" s="12">
        <v>821</v>
      </c>
      <c r="H17" s="14">
        <f t="shared" si="0"/>
        <v>1</v>
      </c>
      <c r="I17" s="15"/>
      <c r="J17" s="12"/>
      <c r="K17" s="16">
        <f t="shared" si="13"/>
        <v>821</v>
      </c>
      <c r="L17" s="26">
        <v>36480988</v>
      </c>
      <c r="M17" s="13"/>
      <c r="N17" s="13"/>
      <c r="O17" s="17">
        <v>0</v>
      </c>
      <c r="P17" s="17">
        <v>0</v>
      </c>
      <c r="Q17" s="16">
        <f t="shared" si="14"/>
        <v>36480988</v>
      </c>
      <c r="R17" s="18">
        <f t="shared" si="10"/>
        <v>1</v>
      </c>
      <c r="S17" s="18">
        <f t="shared" si="5"/>
        <v>1</v>
      </c>
      <c r="T17" s="18">
        <f t="shared" si="6"/>
        <v>1</v>
      </c>
      <c r="U17" s="19">
        <v>0</v>
      </c>
      <c r="V17" s="20">
        <f t="shared" si="11"/>
        <v>0</v>
      </c>
      <c r="W17" s="20">
        <f t="shared" si="12"/>
        <v>0</v>
      </c>
      <c r="X17" s="11" t="s">
        <v>28</v>
      </c>
    </row>
    <row r="18" spans="1:24" ht="15">
      <c r="A18" s="9">
        <f t="shared" si="7"/>
        <v>16</v>
      </c>
      <c r="B18" s="10">
        <v>44958</v>
      </c>
      <c r="C18" s="21" t="s">
        <v>49</v>
      </c>
      <c r="D18" s="11" t="s">
        <v>26</v>
      </c>
      <c r="E18" s="11" t="s">
        <v>27</v>
      </c>
      <c r="F18" s="27"/>
      <c r="G18" s="27"/>
      <c r="H18" s="14">
        <f t="shared" si="0"/>
        <v>0</v>
      </c>
      <c r="I18" s="15"/>
      <c r="J18" s="15"/>
      <c r="K18" s="16">
        <f t="shared" si="13"/>
        <v>0</v>
      </c>
      <c r="L18" s="28"/>
      <c r="M18" s="13"/>
      <c r="N18" s="13"/>
      <c r="O18" s="17">
        <f t="shared" ref="O18:O21" si="15">N18+M18</f>
        <v>0</v>
      </c>
      <c r="P18" s="17">
        <f t="shared" ref="P18:P21" si="16">M18-N18</f>
        <v>0</v>
      </c>
      <c r="Q18" s="16">
        <f t="shared" si="14"/>
        <v>0</v>
      </c>
      <c r="R18" s="18">
        <f t="shared" si="10"/>
        <v>0</v>
      </c>
      <c r="S18" s="18">
        <f t="shared" si="5"/>
        <v>0</v>
      </c>
      <c r="T18" s="18">
        <f t="shared" si="6"/>
        <v>0</v>
      </c>
      <c r="U18" s="19">
        <v>0</v>
      </c>
      <c r="V18" s="20">
        <f t="shared" si="11"/>
        <v>0</v>
      </c>
      <c r="W18" s="20">
        <f t="shared" si="12"/>
        <v>0</v>
      </c>
      <c r="X18" s="25" t="s">
        <v>46</v>
      </c>
    </row>
    <row r="19" spans="1:24" ht="15">
      <c r="A19" s="9">
        <f t="shared" si="7"/>
        <v>17</v>
      </c>
      <c r="B19" s="10">
        <v>44958</v>
      </c>
      <c r="C19" s="21" t="s">
        <v>50</v>
      </c>
      <c r="D19" s="11" t="s">
        <v>26</v>
      </c>
      <c r="E19" s="11" t="s">
        <v>27</v>
      </c>
      <c r="F19" s="27"/>
      <c r="G19" s="27"/>
      <c r="H19" s="14">
        <f t="shared" si="0"/>
        <v>0</v>
      </c>
      <c r="I19" s="15"/>
      <c r="J19" s="15"/>
      <c r="K19" s="16">
        <f t="shared" si="13"/>
        <v>0</v>
      </c>
      <c r="L19" s="29"/>
      <c r="M19" s="13"/>
      <c r="N19" s="13"/>
      <c r="O19" s="17">
        <f t="shared" si="15"/>
        <v>0</v>
      </c>
      <c r="P19" s="17">
        <f t="shared" si="16"/>
        <v>0</v>
      </c>
      <c r="Q19" s="16">
        <f t="shared" si="14"/>
        <v>0</v>
      </c>
      <c r="R19" s="18">
        <f t="shared" si="10"/>
        <v>0</v>
      </c>
      <c r="S19" s="18">
        <f t="shared" si="5"/>
        <v>0</v>
      </c>
      <c r="T19" s="18">
        <f t="shared" si="6"/>
        <v>0</v>
      </c>
      <c r="U19" s="19">
        <v>0</v>
      </c>
      <c r="V19" s="20">
        <f t="shared" si="11"/>
        <v>0</v>
      </c>
      <c r="W19" s="20">
        <f t="shared" si="12"/>
        <v>0</v>
      </c>
      <c r="X19" s="25" t="s">
        <v>46</v>
      </c>
    </row>
    <row r="20" spans="1:24" ht="15">
      <c r="A20" s="9">
        <f t="shared" si="7"/>
        <v>18</v>
      </c>
      <c r="B20" s="10">
        <v>44958</v>
      </c>
      <c r="C20" s="21" t="s">
        <v>51</v>
      </c>
      <c r="D20" s="11" t="s">
        <v>26</v>
      </c>
      <c r="E20" s="11" t="s">
        <v>27</v>
      </c>
      <c r="F20" s="27">
        <v>3715</v>
      </c>
      <c r="G20" s="27">
        <v>3711</v>
      </c>
      <c r="H20" s="14">
        <f t="shared" si="0"/>
        <v>0.99892328398384922</v>
      </c>
      <c r="I20" s="15">
        <v>159</v>
      </c>
      <c r="J20" s="15">
        <v>91</v>
      </c>
      <c r="K20" s="16">
        <f t="shared" si="13"/>
        <v>3461</v>
      </c>
      <c r="L20" s="29">
        <v>267990005</v>
      </c>
      <c r="M20" s="13">
        <v>5411950</v>
      </c>
      <c r="N20" s="13">
        <v>4035918</v>
      </c>
      <c r="O20" s="17">
        <f t="shared" si="15"/>
        <v>9447868</v>
      </c>
      <c r="P20" s="17">
        <f t="shared" si="16"/>
        <v>1376032</v>
      </c>
      <c r="Q20" s="16">
        <f t="shared" si="14"/>
        <v>258542137</v>
      </c>
      <c r="R20" s="18">
        <f t="shared" si="10"/>
        <v>0.932632713554298</v>
      </c>
      <c r="S20" s="18">
        <f t="shared" si="5"/>
        <v>0.96474544638334558</v>
      </c>
      <c r="T20" s="18">
        <f t="shared" si="6"/>
        <v>0.99486536074358445</v>
      </c>
      <c r="U20" s="19">
        <v>0</v>
      </c>
      <c r="V20" s="20">
        <f t="shared" si="11"/>
        <v>4.2845594179466449E-2</v>
      </c>
      <c r="W20" s="20">
        <f t="shared" si="12"/>
        <v>2.4521692266235517E-2</v>
      </c>
      <c r="X20" s="25" t="s">
        <v>46</v>
      </c>
    </row>
    <row r="21" spans="1:24" ht="15">
      <c r="A21" s="30" t="s">
        <v>52</v>
      </c>
      <c r="B21" s="31"/>
      <c r="C21" s="31"/>
      <c r="D21" s="32"/>
      <c r="E21" s="32"/>
      <c r="F21" s="33">
        <f t="shared" ref="F21:G21" si="17">SUM(F3:F20)</f>
        <v>35785</v>
      </c>
      <c r="G21" s="33">
        <f t="shared" si="17"/>
        <v>36863</v>
      </c>
      <c r="H21" s="34">
        <f t="shared" si="0"/>
        <v>1.0301243537795166</v>
      </c>
      <c r="I21" s="33">
        <f t="shared" ref="I21:J21" si="18">SUM(I3:I20)</f>
        <v>165</v>
      </c>
      <c r="J21" s="33">
        <f t="shared" si="18"/>
        <v>113</v>
      </c>
      <c r="K21" s="35">
        <f t="shared" si="13"/>
        <v>36585</v>
      </c>
      <c r="L21" s="36">
        <f t="shared" ref="L21:N21" si="19">SUM(L3:L20)</f>
        <v>4491136306.4300003</v>
      </c>
      <c r="M21" s="37">
        <f t="shared" si="19"/>
        <v>5424667.9000000004</v>
      </c>
      <c r="N21" s="37">
        <f t="shared" si="19"/>
        <v>4274872.3600000003</v>
      </c>
      <c r="O21" s="38">
        <f t="shared" si="15"/>
        <v>9699540.2600000016</v>
      </c>
      <c r="P21" s="38">
        <f t="shared" si="16"/>
        <v>1149795.54</v>
      </c>
      <c r="Q21" s="39">
        <f t="shared" si="14"/>
        <v>4481436766.170001</v>
      </c>
      <c r="R21" s="40">
        <f t="shared" si="10"/>
        <v>0.99245856278653388</v>
      </c>
      <c r="S21" s="40">
        <f t="shared" si="5"/>
        <v>0.99784029261233664</v>
      </c>
      <c r="T21" s="40">
        <f t="shared" si="6"/>
        <v>0.99974398560596933</v>
      </c>
      <c r="U21" s="31"/>
      <c r="V21" s="40">
        <f t="shared" si="11"/>
        <v>4.4760328784960533E-3</v>
      </c>
      <c r="W21" s="40">
        <f t="shared" si="12"/>
        <v>3.0654043349700242E-3</v>
      </c>
      <c r="X21" s="31"/>
    </row>
    <row r="22" spans="1:24" ht="1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4" ht="1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4" ht="15">
      <c r="A24" s="41"/>
      <c r="B24" s="5"/>
      <c r="C24" s="5"/>
      <c r="D24" s="5"/>
      <c r="E24" s="5"/>
      <c r="F24" s="5"/>
      <c r="G24" s="5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51.75">
      <c r="A25" s="43"/>
      <c r="B25" s="44" t="s">
        <v>53</v>
      </c>
      <c r="C25" s="45" t="s">
        <v>3</v>
      </c>
      <c r="D25" s="45" t="str">
        <f t="shared" ref="D25:D43" si="20">H2</f>
        <v>CC Adherance %</v>
      </c>
      <c r="E25" s="45" t="str">
        <f t="shared" ref="E25:G25" si="21">R2</f>
        <v>Inventory Record Accuracy (IRA)</v>
      </c>
      <c r="F25" s="45" t="str">
        <f t="shared" si="21"/>
        <v>Inventory Value Accuracy -GROSS
 (IVA)</v>
      </c>
      <c r="G25" s="45" t="str">
        <f t="shared" si="21"/>
        <v>Inventory Value Accuracy -NET 
 (IVA)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">
      <c r="A26" s="43"/>
      <c r="B26" s="46">
        <v>1</v>
      </c>
      <c r="C26" s="47" t="str">
        <f t="shared" ref="C26:C43" si="22">C3</f>
        <v>Bic Cello</v>
      </c>
      <c r="D26" s="48">
        <f t="shared" si="20"/>
        <v>1</v>
      </c>
      <c r="E26" s="49">
        <f t="shared" ref="E26:G26" si="23">R3</f>
        <v>1</v>
      </c>
      <c r="F26" s="49">
        <f t="shared" si="23"/>
        <v>1</v>
      </c>
      <c r="G26" s="49">
        <f t="shared" si="23"/>
        <v>1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15">
      <c r="A27" s="43"/>
      <c r="B27" s="46">
        <f t="shared" ref="B27:B43" si="24">B26+1</f>
        <v>2</v>
      </c>
      <c r="C27" s="47" t="str">
        <f t="shared" si="22"/>
        <v>Siemens Ind BGR</v>
      </c>
      <c r="D27" s="48">
        <f t="shared" si="20"/>
        <v>1</v>
      </c>
      <c r="E27" s="49">
        <f t="shared" ref="E27:G27" si="25">R4</f>
        <v>22.032028469750891</v>
      </c>
      <c r="F27" s="49">
        <f t="shared" si="25"/>
        <v>1</v>
      </c>
      <c r="G27" s="49">
        <f t="shared" si="25"/>
        <v>1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f t="shared" si="24"/>
        <v>3</v>
      </c>
      <c r="C28" s="47" t="str">
        <f t="shared" si="22"/>
        <v>Siemens SWGR Kalwa</v>
      </c>
      <c r="D28" s="48">
        <f t="shared" si="20"/>
        <v>0.93666666666666665</v>
      </c>
      <c r="E28" s="49">
        <f t="shared" ref="E28:G28" si="26">R5</f>
        <v>1.6337209302325582</v>
      </c>
      <c r="F28" s="49">
        <f t="shared" si="26"/>
        <v>1</v>
      </c>
      <c r="G28" s="49">
        <f t="shared" si="26"/>
        <v>1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si="24"/>
        <v>4</v>
      </c>
      <c r="C29" s="47" t="str">
        <f t="shared" si="22"/>
        <v>Siemens Vapi</v>
      </c>
      <c r="D29" s="48">
        <f t="shared" si="20"/>
        <v>1</v>
      </c>
      <c r="E29" s="49">
        <f t="shared" ref="E29:G29" si="27">R6</f>
        <v>1</v>
      </c>
      <c r="F29" s="49">
        <f t="shared" si="27"/>
        <v>1</v>
      </c>
      <c r="G29" s="49">
        <f t="shared" si="27"/>
        <v>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24"/>
        <v>5</v>
      </c>
      <c r="C30" s="47" t="str">
        <f t="shared" si="22"/>
        <v>Siemens Medical</v>
      </c>
      <c r="D30" s="48">
        <f t="shared" si="20"/>
        <v>0.98602941176470593</v>
      </c>
      <c r="E30" s="49">
        <f t="shared" ref="E30:G30" si="28">R7</f>
        <v>1</v>
      </c>
      <c r="F30" s="49">
        <f t="shared" si="28"/>
        <v>1</v>
      </c>
      <c r="G30" s="49">
        <f t="shared" si="28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24"/>
        <v>6</v>
      </c>
      <c r="C31" s="47" t="str">
        <f t="shared" si="22"/>
        <v>Godrej Interio</v>
      </c>
      <c r="D31" s="48">
        <f t="shared" si="20"/>
        <v>1</v>
      </c>
      <c r="E31" s="49">
        <f t="shared" ref="E31:G31" si="29">R8</f>
        <v>0.98798076923076927</v>
      </c>
      <c r="F31" s="49">
        <f t="shared" si="29"/>
        <v>0.98806547694531854</v>
      </c>
      <c r="G31" s="49">
        <f t="shared" si="29"/>
        <v>1.0114703527041891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24"/>
        <v>7</v>
      </c>
      <c r="C32" s="47" t="str">
        <f t="shared" si="22"/>
        <v>Godrej Branch</v>
      </c>
      <c r="D32" s="48">
        <f t="shared" si="20"/>
        <v>1</v>
      </c>
      <c r="E32" s="49">
        <f t="shared" ref="E32:G32" si="30">R9</f>
        <v>0.99318181818181817</v>
      </c>
      <c r="F32" s="49">
        <f t="shared" si="30"/>
        <v>0.99880350078838609</v>
      </c>
      <c r="G32" s="49">
        <f t="shared" si="30"/>
        <v>0.99991141729792388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24"/>
        <v>8</v>
      </c>
      <c r="C33" s="47" t="str">
        <f t="shared" si="22"/>
        <v>Godrej spare</v>
      </c>
      <c r="D33" s="48">
        <f t="shared" si="20"/>
        <v>1</v>
      </c>
      <c r="E33" s="49">
        <f t="shared" ref="E33:G33" si="31">R10</f>
        <v>0.2174863387978142</v>
      </c>
      <c r="F33" s="49">
        <f t="shared" si="31"/>
        <v>1</v>
      </c>
      <c r="G33" s="49">
        <f t="shared" si="31"/>
        <v>1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24"/>
        <v>9</v>
      </c>
      <c r="C34" s="47" t="str">
        <f t="shared" si="22"/>
        <v>Godrej MHE</v>
      </c>
      <c r="D34" s="48">
        <f t="shared" si="20"/>
        <v>1</v>
      </c>
      <c r="E34" s="49">
        <f t="shared" ref="E34:G34" si="32">R11</f>
        <v>0.99582753824756609</v>
      </c>
      <c r="F34" s="49">
        <f t="shared" si="32"/>
        <v>0.99995692616855369</v>
      </c>
      <c r="G34" s="49">
        <f t="shared" si="32"/>
        <v>1.0000430738314463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24"/>
        <v>10</v>
      </c>
      <c r="C35" s="47" t="str">
        <f t="shared" si="22"/>
        <v>Osram-BGR</v>
      </c>
      <c r="D35" s="48">
        <f t="shared" si="20"/>
        <v>1</v>
      </c>
      <c r="E35" s="49">
        <f t="shared" ref="E35:G35" si="33">R12</f>
        <v>1</v>
      </c>
      <c r="F35" s="49">
        <f t="shared" si="33"/>
        <v>0</v>
      </c>
      <c r="G35" s="49">
        <f t="shared" si="33"/>
        <v>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24"/>
        <v>11</v>
      </c>
      <c r="C36" s="47" t="str">
        <f t="shared" si="22"/>
        <v>Celio</v>
      </c>
      <c r="D36" s="48">
        <f t="shared" si="20"/>
        <v>1.1195999999999999</v>
      </c>
      <c r="E36" s="49">
        <f t="shared" ref="E36:G36" si="34">R13</f>
        <v>1</v>
      </c>
      <c r="F36" s="49">
        <f t="shared" si="34"/>
        <v>0</v>
      </c>
      <c r="G36" s="49">
        <f t="shared" si="34"/>
        <v>0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24"/>
        <v>12</v>
      </c>
      <c r="C37" s="47" t="str">
        <f t="shared" si="22"/>
        <v>Hansgrohe-BGR</v>
      </c>
      <c r="D37" s="48">
        <f t="shared" si="20"/>
        <v>1</v>
      </c>
      <c r="E37" s="49">
        <f t="shared" ref="E37:G37" si="35">R14</f>
        <v>1</v>
      </c>
      <c r="F37" s="49">
        <f t="shared" si="35"/>
        <v>0</v>
      </c>
      <c r="G37" s="49">
        <f t="shared" si="35"/>
        <v>0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24"/>
        <v>13</v>
      </c>
      <c r="C38" s="47" t="str">
        <f t="shared" si="22"/>
        <v>Roquette-BGR</v>
      </c>
      <c r="D38" s="48">
        <f t="shared" si="20"/>
        <v>1</v>
      </c>
      <c r="E38" s="49">
        <f t="shared" ref="E38:G38" si="36">R15</f>
        <v>1</v>
      </c>
      <c r="F38" s="49">
        <f t="shared" si="36"/>
        <v>1</v>
      </c>
      <c r="G38" s="49">
        <f t="shared" si="36"/>
        <v>1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24"/>
        <v>14</v>
      </c>
      <c r="C39" s="47" t="str">
        <f t="shared" si="22"/>
        <v>Jubilant-BGR</v>
      </c>
      <c r="D39" s="48">
        <f t="shared" si="20"/>
        <v>1</v>
      </c>
      <c r="E39" s="49">
        <f t="shared" ref="E39:G39" si="37">R16</f>
        <v>1</v>
      </c>
      <c r="F39" s="49">
        <f t="shared" si="37"/>
        <v>1</v>
      </c>
      <c r="G39" s="49">
        <f t="shared" si="37"/>
        <v>1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>
      <c r="A40" s="43"/>
      <c r="B40" s="46">
        <f t="shared" si="24"/>
        <v>15</v>
      </c>
      <c r="C40" s="47" t="str">
        <f t="shared" si="22"/>
        <v>Siemens BT-BGR</v>
      </c>
      <c r="D40" s="48">
        <f t="shared" si="20"/>
        <v>1</v>
      </c>
      <c r="E40" s="49">
        <f t="shared" ref="E40:G40" si="38">R17</f>
        <v>1</v>
      </c>
      <c r="F40" s="49">
        <f t="shared" si="38"/>
        <v>1</v>
      </c>
      <c r="G40" s="49">
        <f t="shared" si="38"/>
        <v>1</v>
      </c>
    </row>
    <row r="41" spans="1:24" ht="15">
      <c r="A41" s="43"/>
      <c r="B41" s="46">
        <f t="shared" si="24"/>
        <v>16</v>
      </c>
      <c r="C41" s="47" t="str">
        <f t="shared" si="22"/>
        <v>PVMI-BGR</v>
      </c>
      <c r="D41" s="48">
        <f t="shared" si="20"/>
        <v>0</v>
      </c>
      <c r="E41" s="49">
        <f t="shared" ref="E41:G41" si="39">R18</f>
        <v>0</v>
      </c>
      <c r="F41" s="49">
        <f t="shared" si="39"/>
        <v>0</v>
      </c>
      <c r="G41" s="49">
        <f t="shared" si="39"/>
        <v>0</v>
      </c>
    </row>
    <row r="42" spans="1:24" ht="15">
      <c r="A42" s="43"/>
      <c r="B42" s="46">
        <f t="shared" si="24"/>
        <v>17</v>
      </c>
      <c r="C42" s="47" t="str">
        <f t="shared" si="22"/>
        <v>RBL</v>
      </c>
      <c r="D42" s="48">
        <f t="shared" si="20"/>
        <v>0</v>
      </c>
      <c r="E42" s="49">
        <f t="shared" ref="E42:G42" si="40">R19</f>
        <v>0</v>
      </c>
      <c r="F42" s="49">
        <f t="shared" si="40"/>
        <v>0</v>
      </c>
      <c r="G42" s="49">
        <f t="shared" si="40"/>
        <v>0</v>
      </c>
    </row>
    <row r="43" spans="1:24" ht="15">
      <c r="A43" s="43"/>
      <c r="B43" s="46">
        <f t="shared" si="24"/>
        <v>18</v>
      </c>
      <c r="C43" s="47" t="str">
        <f t="shared" si="22"/>
        <v>Pepe Jeans</v>
      </c>
      <c r="D43" s="48">
        <f t="shared" si="20"/>
        <v>0.99892328398384922</v>
      </c>
      <c r="E43" s="49">
        <f t="shared" ref="E43:G43" si="41">R20</f>
        <v>0.932632713554298</v>
      </c>
      <c r="F43" s="49">
        <f t="shared" si="41"/>
        <v>0.96474544638334558</v>
      </c>
      <c r="G43" s="49">
        <f t="shared" si="41"/>
        <v>0.99486536074358445</v>
      </c>
    </row>
  </sheetData>
  <mergeCells count="2">
    <mergeCell ref="A1:C1"/>
    <mergeCell ref="F1:H1"/>
  </mergeCells>
  <pageMargins left="0.7" right="0.7" top="0.75" bottom="0.75" header="0.3" footer="0.3"/>
  <headerFooter>
    <oddHeader>&amp;C&amp;"Calibri"&amp;10&amp;K000000 Public&amp;1#_x000D_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41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6.28515625" customWidth="1"/>
    <col min="2" max="2" width="5" customWidth="1"/>
    <col min="3" max="3" width="13.85546875" customWidth="1"/>
    <col min="4" max="4" width="12.140625" customWidth="1"/>
    <col min="5" max="5" width="10.5703125" customWidth="1"/>
    <col min="6" max="6" width="13.140625" customWidth="1"/>
    <col min="7" max="7" width="11.85546875" customWidth="1"/>
    <col min="8" max="8" width="10.5703125" customWidth="1"/>
    <col min="9" max="9" width="8" customWidth="1"/>
    <col min="10" max="10" width="7.85546875" customWidth="1"/>
    <col min="11" max="11" width="11" customWidth="1"/>
    <col min="12" max="12" width="12.5703125" customWidth="1"/>
    <col min="13" max="13" width="11.85546875" customWidth="1"/>
    <col min="14" max="14" width="11.5703125" customWidth="1"/>
    <col min="15" max="15" width="9.140625" customWidth="1"/>
    <col min="16" max="16" width="8.5703125" customWidth="1"/>
    <col min="17" max="19" width="10.42578125" customWidth="1"/>
    <col min="20" max="20" width="9.7109375" customWidth="1"/>
    <col min="21" max="21" width="12.28515625" customWidth="1"/>
    <col min="22" max="22" width="10.42578125" customWidth="1"/>
    <col min="23" max="23" width="9.85546875" customWidth="1"/>
    <col min="24" max="24" width="13.85546875" customWidth="1"/>
  </cols>
  <sheetData>
    <row r="1" spans="1:24" ht="37.5" customHeight="1">
      <c r="A1" s="115"/>
      <c r="B1" s="116"/>
      <c r="C1" s="117"/>
      <c r="D1" s="1"/>
      <c r="E1" s="2"/>
      <c r="F1" s="118" t="s">
        <v>59</v>
      </c>
      <c r="G1" s="116"/>
      <c r="H1" s="116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4" ht="56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7" t="s">
        <v>22</v>
      </c>
      <c r="W2" s="7" t="s">
        <v>23</v>
      </c>
      <c r="X2" s="6" t="s">
        <v>24</v>
      </c>
    </row>
    <row r="3" spans="1:24" ht="15">
      <c r="A3" s="9">
        <v>1</v>
      </c>
      <c r="B3" s="10">
        <v>44927</v>
      </c>
      <c r="C3" s="11" t="s">
        <v>25</v>
      </c>
      <c r="D3" s="11" t="s">
        <v>26</v>
      </c>
      <c r="E3" s="11" t="s">
        <v>27</v>
      </c>
      <c r="F3" s="12">
        <v>889</v>
      </c>
      <c r="G3" s="13">
        <v>889</v>
      </c>
      <c r="H3" s="14">
        <f t="shared" ref="H3:H21" si="0">IFERROR(G3/F3,0)</f>
        <v>1</v>
      </c>
      <c r="I3" s="15">
        <v>0</v>
      </c>
      <c r="J3" s="15">
        <v>0</v>
      </c>
      <c r="K3" s="16">
        <f t="shared" ref="K3:K15" si="1">G3-I3-J3</f>
        <v>889</v>
      </c>
      <c r="L3" s="12">
        <f>55469*5000</f>
        <v>277345000</v>
      </c>
      <c r="M3" s="12">
        <v>0</v>
      </c>
      <c r="N3" s="13">
        <v>0</v>
      </c>
      <c r="O3" s="17">
        <f t="shared" ref="O3:O17" si="2">N3+M3</f>
        <v>0</v>
      </c>
      <c r="P3" s="17">
        <f t="shared" ref="P3:P17" si="3">M3-N3</f>
        <v>0</v>
      </c>
      <c r="Q3" s="16">
        <f t="shared" ref="Q3:Q11" si="4">IFERROR(L3-N3-M3,0)</f>
        <v>277345000</v>
      </c>
      <c r="R3" s="18">
        <f t="shared" ref="R3:R21" si="5">IFERROR((K3/G3),0)</f>
        <v>1</v>
      </c>
      <c r="S3" s="18">
        <f t="shared" ref="S3:S21" si="6">IFERROR(1-(O3/L3),0)</f>
        <v>1</v>
      </c>
      <c r="T3" s="18">
        <f t="shared" ref="T3:T21" si="7">IFERROR(1-(P3/L3),0)</f>
        <v>1</v>
      </c>
      <c r="U3" s="19">
        <v>1E-3</v>
      </c>
      <c r="V3" s="20">
        <f t="shared" ref="V3:V21" si="8">IFERROR(I3/G3,0)</f>
        <v>0</v>
      </c>
      <c r="W3" s="20">
        <f t="shared" ref="W3:W21" si="9">IFERROR(J3/G3,0)</f>
        <v>0</v>
      </c>
      <c r="X3" s="11" t="s">
        <v>28</v>
      </c>
    </row>
    <row r="4" spans="1:24" ht="15">
      <c r="A4" s="9">
        <f t="shared" ref="A4:A20" si="10">A3+1</f>
        <v>2</v>
      </c>
      <c r="B4" s="10">
        <v>44927</v>
      </c>
      <c r="C4" s="21" t="s">
        <v>29</v>
      </c>
      <c r="D4" s="11" t="s">
        <v>26</v>
      </c>
      <c r="E4" s="11" t="s">
        <v>27</v>
      </c>
      <c r="F4" s="12">
        <v>6386</v>
      </c>
      <c r="G4" s="13">
        <v>6386</v>
      </c>
      <c r="H4" s="14">
        <f t="shared" si="0"/>
        <v>1</v>
      </c>
      <c r="I4" s="15"/>
      <c r="J4" s="15"/>
      <c r="K4" s="16">
        <f t="shared" si="1"/>
        <v>6386</v>
      </c>
      <c r="L4" s="12">
        <v>2781562277</v>
      </c>
      <c r="M4" s="13">
        <v>0</v>
      </c>
      <c r="N4" s="13">
        <v>0</v>
      </c>
      <c r="O4" s="17">
        <f t="shared" si="2"/>
        <v>0</v>
      </c>
      <c r="P4" s="17">
        <f t="shared" si="3"/>
        <v>0</v>
      </c>
      <c r="Q4" s="16">
        <f t="shared" si="4"/>
        <v>2781562277</v>
      </c>
      <c r="R4" s="18">
        <f t="shared" si="5"/>
        <v>1</v>
      </c>
      <c r="S4" s="18">
        <f t="shared" si="6"/>
        <v>1</v>
      </c>
      <c r="T4" s="18">
        <f t="shared" si="7"/>
        <v>1</v>
      </c>
      <c r="U4" s="19">
        <v>1.5E-3</v>
      </c>
      <c r="V4" s="20">
        <f t="shared" si="8"/>
        <v>0</v>
      </c>
      <c r="W4" s="20">
        <f t="shared" si="9"/>
        <v>0</v>
      </c>
      <c r="X4" s="11" t="s">
        <v>28</v>
      </c>
    </row>
    <row r="5" spans="1:24" ht="23.25">
      <c r="A5" s="9">
        <f t="shared" si="10"/>
        <v>3</v>
      </c>
      <c r="B5" s="10">
        <v>44927</v>
      </c>
      <c r="C5" s="21" t="s">
        <v>30</v>
      </c>
      <c r="D5" s="11" t="s">
        <v>26</v>
      </c>
      <c r="E5" s="11" t="s">
        <v>27</v>
      </c>
      <c r="F5" s="27"/>
      <c r="G5" s="13"/>
      <c r="H5" s="14">
        <f t="shared" si="0"/>
        <v>0</v>
      </c>
      <c r="I5" s="15"/>
      <c r="J5" s="15"/>
      <c r="K5" s="16">
        <f t="shared" si="1"/>
        <v>0</v>
      </c>
      <c r="L5" s="12"/>
      <c r="M5" s="13"/>
      <c r="N5" s="13"/>
      <c r="O5" s="17">
        <f t="shared" si="2"/>
        <v>0</v>
      </c>
      <c r="P5" s="17">
        <f t="shared" si="3"/>
        <v>0</v>
      </c>
      <c r="Q5" s="16">
        <f t="shared" si="4"/>
        <v>0</v>
      </c>
      <c r="R5" s="18">
        <f t="shared" si="5"/>
        <v>0</v>
      </c>
      <c r="S5" s="18">
        <f t="shared" si="6"/>
        <v>0</v>
      </c>
      <c r="T5" s="18">
        <f t="shared" si="7"/>
        <v>0</v>
      </c>
      <c r="U5" s="19">
        <v>0</v>
      </c>
      <c r="V5" s="20">
        <f t="shared" si="8"/>
        <v>0</v>
      </c>
      <c r="W5" s="20">
        <f t="shared" si="9"/>
        <v>0</v>
      </c>
      <c r="X5" s="11" t="s">
        <v>28</v>
      </c>
    </row>
    <row r="6" spans="1:24" ht="15">
      <c r="A6" s="9">
        <f t="shared" si="10"/>
        <v>4</v>
      </c>
      <c r="B6" s="10">
        <v>44927</v>
      </c>
      <c r="C6" s="21" t="s">
        <v>31</v>
      </c>
      <c r="D6" s="11" t="s">
        <v>26</v>
      </c>
      <c r="E6" s="11" t="s">
        <v>27</v>
      </c>
      <c r="F6" s="12">
        <v>172</v>
      </c>
      <c r="G6" s="13">
        <v>172</v>
      </c>
      <c r="H6" s="14">
        <f t="shared" si="0"/>
        <v>1</v>
      </c>
      <c r="I6" s="15"/>
      <c r="J6" s="15"/>
      <c r="K6" s="16">
        <f t="shared" si="1"/>
        <v>172</v>
      </c>
      <c r="L6" s="26">
        <v>193177284</v>
      </c>
      <c r="M6" s="13">
        <v>0</v>
      </c>
      <c r="N6" s="13">
        <v>0</v>
      </c>
      <c r="O6" s="17">
        <f t="shared" si="2"/>
        <v>0</v>
      </c>
      <c r="P6" s="17">
        <f t="shared" si="3"/>
        <v>0</v>
      </c>
      <c r="Q6" s="16">
        <f t="shared" si="4"/>
        <v>193177284</v>
      </c>
      <c r="R6" s="18">
        <f t="shared" si="5"/>
        <v>1</v>
      </c>
      <c r="S6" s="18">
        <f t="shared" si="6"/>
        <v>1</v>
      </c>
      <c r="T6" s="18">
        <f t="shared" si="7"/>
        <v>1</v>
      </c>
      <c r="U6" s="19">
        <v>1.5E-3</v>
      </c>
      <c r="V6" s="20">
        <f t="shared" si="8"/>
        <v>0</v>
      </c>
      <c r="W6" s="20">
        <f t="shared" si="9"/>
        <v>0</v>
      </c>
      <c r="X6" s="11" t="s">
        <v>28</v>
      </c>
    </row>
    <row r="7" spans="1:24" ht="15">
      <c r="A7" s="9">
        <f t="shared" si="10"/>
        <v>5</v>
      </c>
      <c r="B7" s="10">
        <v>44927</v>
      </c>
      <c r="C7" s="21" t="s">
        <v>32</v>
      </c>
      <c r="D7" s="11" t="s">
        <v>26</v>
      </c>
      <c r="E7" s="11" t="s">
        <v>27</v>
      </c>
      <c r="F7" s="12">
        <v>2597</v>
      </c>
      <c r="G7" s="13">
        <v>2597</v>
      </c>
      <c r="H7" s="14">
        <f t="shared" si="0"/>
        <v>1</v>
      </c>
      <c r="I7" s="15">
        <v>0</v>
      </c>
      <c r="J7" s="15">
        <v>0</v>
      </c>
      <c r="K7" s="16">
        <f t="shared" si="1"/>
        <v>2597</v>
      </c>
      <c r="L7" s="12">
        <v>4076185947</v>
      </c>
      <c r="M7" s="13">
        <v>0</v>
      </c>
      <c r="N7" s="13">
        <v>0</v>
      </c>
      <c r="O7" s="17">
        <f t="shared" si="2"/>
        <v>0</v>
      </c>
      <c r="P7" s="17">
        <f t="shared" si="3"/>
        <v>0</v>
      </c>
      <c r="Q7" s="16">
        <f t="shared" si="4"/>
        <v>4076185947</v>
      </c>
      <c r="R7" s="18">
        <f t="shared" si="5"/>
        <v>1</v>
      </c>
      <c r="S7" s="18">
        <f t="shared" si="6"/>
        <v>1</v>
      </c>
      <c r="T7" s="18">
        <f t="shared" si="7"/>
        <v>1</v>
      </c>
      <c r="U7" s="19">
        <v>1.5E-3</v>
      </c>
      <c r="V7" s="20">
        <f t="shared" si="8"/>
        <v>0</v>
      </c>
      <c r="W7" s="20">
        <f t="shared" si="9"/>
        <v>0</v>
      </c>
      <c r="X7" s="11" t="s">
        <v>33</v>
      </c>
    </row>
    <row r="8" spans="1:24" ht="23.25">
      <c r="A8" s="9">
        <f t="shared" si="10"/>
        <v>6</v>
      </c>
      <c r="B8" s="10">
        <v>44927</v>
      </c>
      <c r="C8" s="21" t="s">
        <v>34</v>
      </c>
      <c r="D8" s="11" t="s">
        <v>26</v>
      </c>
      <c r="E8" s="11" t="s">
        <v>27</v>
      </c>
      <c r="F8" s="12">
        <v>1839</v>
      </c>
      <c r="G8" s="12">
        <v>1839</v>
      </c>
      <c r="H8" s="14">
        <f t="shared" si="0"/>
        <v>1</v>
      </c>
      <c r="I8" s="15">
        <v>0</v>
      </c>
      <c r="J8" s="15">
        <v>1</v>
      </c>
      <c r="K8" s="16">
        <f t="shared" si="1"/>
        <v>1838</v>
      </c>
      <c r="L8" s="12">
        <v>421401814.91000003</v>
      </c>
      <c r="M8" s="13">
        <v>0</v>
      </c>
      <c r="N8" s="13">
        <v>1</v>
      </c>
      <c r="O8" s="17">
        <f t="shared" si="2"/>
        <v>1</v>
      </c>
      <c r="P8" s="17">
        <f t="shared" si="3"/>
        <v>-1</v>
      </c>
      <c r="Q8" s="16">
        <f t="shared" si="4"/>
        <v>421401813.91000003</v>
      </c>
      <c r="R8" s="18">
        <f t="shared" si="5"/>
        <v>0.99945622620989671</v>
      </c>
      <c r="S8" s="18">
        <f t="shared" si="6"/>
        <v>0.99999999762696801</v>
      </c>
      <c r="T8" s="18">
        <f t="shared" si="7"/>
        <v>1.000000002373032</v>
      </c>
      <c r="U8" s="19">
        <v>0</v>
      </c>
      <c r="V8" s="20">
        <f t="shared" si="8"/>
        <v>0</v>
      </c>
      <c r="W8" s="20">
        <f t="shared" si="9"/>
        <v>5.4377379010331697E-4</v>
      </c>
      <c r="X8" s="11" t="s">
        <v>35</v>
      </c>
    </row>
    <row r="9" spans="1:24" ht="15">
      <c r="A9" s="9">
        <f t="shared" si="10"/>
        <v>7</v>
      </c>
      <c r="B9" s="10">
        <v>44927</v>
      </c>
      <c r="C9" s="21" t="s">
        <v>37</v>
      </c>
      <c r="D9" s="11" t="s">
        <v>26</v>
      </c>
      <c r="E9" s="11" t="s">
        <v>27</v>
      </c>
      <c r="F9" s="12">
        <v>2104</v>
      </c>
      <c r="G9" s="13">
        <v>2104</v>
      </c>
      <c r="H9" s="14">
        <f t="shared" si="0"/>
        <v>1</v>
      </c>
      <c r="I9" s="15">
        <v>2</v>
      </c>
      <c r="J9" s="15">
        <v>5</v>
      </c>
      <c r="K9" s="16">
        <f t="shared" si="1"/>
        <v>2097</v>
      </c>
      <c r="L9" s="12">
        <v>11450953</v>
      </c>
      <c r="M9" s="13">
        <v>324</v>
      </c>
      <c r="N9" s="13">
        <v>1190</v>
      </c>
      <c r="O9" s="17">
        <f t="shared" si="2"/>
        <v>1514</v>
      </c>
      <c r="P9" s="17">
        <f t="shared" si="3"/>
        <v>-866</v>
      </c>
      <c r="Q9" s="16">
        <f t="shared" si="4"/>
        <v>11449439</v>
      </c>
      <c r="R9" s="18">
        <f t="shared" si="5"/>
        <v>0.99667300380228141</v>
      </c>
      <c r="S9" s="18">
        <f t="shared" si="6"/>
        <v>0.99986778393029818</v>
      </c>
      <c r="T9" s="18">
        <f t="shared" si="7"/>
        <v>1.0000756268932376</v>
      </c>
      <c r="U9" s="19">
        <v>5.0000000000000001E-4</v>
      </c>
      <c r="V9" s="20">
        <f t="shared" si="8"/>
        <v>9.5057034220532319E-4</v>
      </c>
      <c r="W9" s="20">
        <f t="shared" si="9"/>
        <v>2.3764258555133079E-3</v>
      </c>
      <c r="X9" s="11" t="s">
        <v>28</v>
      </c>
    </row>
    <row r="10" spans="1:24" ht="15">
      <c r="A10" s="9">
        <f t="shared" si="10"/>
        <v>8</v>
      </c>
      <c r="B10" s="10">
        <v>44927</v>
      </c>
      <c r="C10" s="21" t="s">
        <v>38</v>
      </c>
      <c r="D10" s="11" t="s">
        <v>26</v>
      </c>
      <c r="E10" s="11" t="s">
        <v>27</v>
      </c>
      <c r="F10" s="12">
        <v>875</v>
      </c>
      <c r="G10" s="13">
        <v>875</v>
      </c>
      <c r="H10" s="14">
        <f t="shared" si="0"/>
        <v>1</v>
      </c>
      <c r="I10" s="13">
        <v>0</v>
      </c>
      <c r="J10" s="13">
        <v>0</v>
      </c>
      <c r="K10" s="16">
        <f t="shared" si="1"/>
        <v>875</v>
      </c>
      <c r="L10" s="12">
        <v>10332020</v>
      </c>
      <c r="M10" s="13">
        <v>0</v>
      </c>
      <c r="N10" s="13">
        <v>0</v>
      </c>
      <c r="O10" s="17">
        <f t="shared" si="2"/>
        <v>0</v>
      </c>
      <c r="P10" s="17">
        <f t="shared" si="3"/>
        <v>0</v>
      </c>
      <c r="Q10" s="16">
        <f t="shared" si="4"/>
        <v>10332020</v>
      </c>
      <c r="R10" s="18">
        <f t="shared" si="5"/>
        <v>1</v>
      </c>
      <c r="S10" s="18">
        <f t="shared" si="6"/>
        <v>1</v>
      </c>
      <c r="T10" s="18">
        <f t="shared" si="7"/>
        <v>1</v>
      </c>
      <c r="U10" s="19">
        <v>0</v>
      </c>
      <c r="V10" s="20">
        <f t="shared" si="8"/>
        <v>0</v>
      </c>
      <c r="W10" s="20">
        <f t="shared" si="9"/>
        <v>0</v>
      </c>
      <c r="X10" s="11" t="s">
        <v>28</v>
      </c>
    </row>
    <row r="11" spans="1:24" ht="15">
      <c r="A11" s="9">
        <f t="shared" si="10"/>
        <v>9</v>
      </c>
      <c r="B11" s="10">
        <v>44927</v>
      </c>
      <c r="C11" s="21" t="s">
        <v>39</v>
      </c>
      <c r="D11" s="11" t="s">
        <v>26</v>
      </c>
      <c r="E11" s="11" t="s">
        <v>27</v>
      </c>
      <c r="F11" s="12"/>
      <c r="G11" s="13"/>
      <c r="H11" s="14">
        <f t="shared" si="0"/>
        <v>0</v>
      </c>
      <c r="I11" s="15"/>
      <c r="J11" s="15"/>
      <c r="K11" s="16">
        <f t="shared" si="1"/>
        <v>0</v>
      </c>
      <c r="L11" s="12"/>
      <c r="M11" s="13"/>
      <c r="N11" s="13"/>
      <c r="O11" s="17">
        <f t="shared" si="2"/>
        <v>0</v>
      </c>
      <c r="P11" s="17">
        <f t="shared" si="3"/>
        <v>0</v>
      </c>
      <c r="Q11" s="16">
        <f t="shared" si="4"/>
        <v>0</v>
      </c>
      <c r="R11" s="18">
        <f t="shared" si="5"/>
        <v>0</v>
      </c>
      <c r="S11" s="18">
        <f t="shared" si="6"/>
        <v>0</v>
      </c>
      <c r="T11" s="18">
        <f t="shared" si="7"/>
        <v>0</v>
      </c>
      <c r="U11" s="19">
        <v>0</v>
      </c>
      <c r="V11" s="20">
        <f t="shared" si="8"/>
        <v>0</v>
      </c>
      <c r="W11" s="20">
        <f t="shared" si="9"/>
        <v>0</v>
      </c>
      <c r="X11" s="11" t="s">
        <v>28</v>
      </c>
    </row>
    <row r="12" spans="1:24" ht="15">
      <c r="A12" s="9">
        <f t="shared" si="10"/>
        <v>10</v>
      </c>
      <c r="B12" s="10">
        <v>44927</v>
      </c>
      <c r="C12" s="21" t="s">
        <v>40</v>
      </c>
      <c r="D12" s="11" t="s">
        <v>26</v>
      </c>
      <c r="E12" s="11" t="s">
        <v>27</v>
      </c>
      <c r="F12" s="12">
        <v>526</v>
      </c>
      <c r="G12" s="13">
        <v>526</v>
      </c>
      <c r="H12" s="14">
        <f t="shared" si="0"/>
        <v>1</v>
      </c>
      <c r="I12" s="15">
        <v>0</v>
      </c>
      <c r="J12" s="15">
        <v>0</v>
      </c>
      <c r="K12" s="16">
        <f t="shared" si="1"/>
        <v>526</v>
      </c>
      <c r="L12" s="12">
        <v>227182563</v>
      </c>
      <c r="M12" s="13">
        <v>0</v>
      </c>
      <c r="N12" s="13">
        <v>0</v>
      </c>
      <c r="O12" s="17">
        <f t="shared" si="2"/>
        <v>0</v>
      </c>
      <c r="P12" s="17">
        <f t="shared" si="3"/>
        <v>0</v>
      </c>
      <c r="Q12" s="16">
        <f>L12</f>
        <v>227182563</v>
      </c>
      <c r="R12" s="18">
        <f t="shared" si="5"/>
        <v>1</v>
      </c>
      <c r="S12" s="18">
        <f t="shared" si="6"/>
        <v>1</v>
      </c>
      <c r="T12" s="18">
        <f t="shared" si="7"/>
        <v>1</v>
      </c>
      <c r="U12" s="19">
        <v>0</v>
      </c>
      <c r="V12" s="20">
        <f t="shared" si="8"/>
        <v>0</v>
      </c>
      <c r="W12" s="20">
        <f t="shared" si="9"/>
        <v>0</v>
      </c>
      <c r="X12" s="11" t="s">
        <v>28</v>
      </c>
    </row>
    <row r="13" spans="1:24" ht="15">
      <c r="A13" s="9">
        <f t="shared" si="10"/>
        <v>11</v>
      </c>
      <c r="B13" s="10">
        <v>44927</v>
      </c>
      <c r="C13" s="21" t="s">
        <v>42</v>
      </c>
      <c r="D13" s="11" t="s">
        <v>26</v>
      </c>
      <c r="E13" s="11" t="s">
        <v>27</v>
      </c>
      <c r="F13" s="12">
        <v>7500</v>
      </c>
      <c r="G13" s="13">
        <v>7644</v>
      </c>
      <c r="H13" s="14">
        <f t="shared" si="0"/>
        <v>1.0192000000000001</v>
      </c>
      <c r="I13" s="13">
        <v>0</v>
      </c>
      <c r="J13" s="13">
        <v>0</v>
      </c>
      <c r="K13" s="16">
        <f t="shared" si="1"/>
        <v>7644</v>
      </c>
      <c r="L13" s="12" t="s">
        <v>55</v>
      </c>
      <c r="M13" s="13"/>
      <c r="N13" s="13"/>
      <c r="O13" s="17">
        <f t="shared" si="2"/>
        <v>0</v>
      </c>
      <c r="P13" s="17">
        <f t="shared" si="3"/>
        <v>0</v>
      </c>
      <c r="Q13" s="16">
        <f t="shared" ref="Q13:Q21" si="11">IFERROR(L13-N13-M13,0)</f>
        <v>0</v>
      </c>
      <c r="R13" s="18">
        <f t="shared" si="5"/>
        <v>1</v>
      </c>
      <c r="S13" s="18">
        <f t="shared" si="6"/>
        <v>0</v>
      </c>
      <c r="T13" s="18">
        <f t="shared" si="7"/>
        <v>0</v>
      </c>
      <c r="U13" s="19">
        <v>0</v>
      </c>
      <c r="V13" s="20">
        <f t="shared" si="8"/>
        <v>0</v>
      </c>
      <c r="W13" s="20">
        <f t="shared" si="9"/>
        <v>0</v>
      </c>
      <c r="X13" s="11" t="s">
        <v>28</v>
      </c>
    </row>
    <row r="14" spans="1:24" ht="15">
      <c r="A14" s="9">
        <f t="shared" si="10"/>
        <v>12</v>
      </c>
      <c r="B14" s="10">
        <v>44927</v>
      </c>
      <c r="C14" s="21" t="s">
        <v>60</v>
      </c>
      <c r="D14" s="11" t="s">
        <v>26</v>
      </c>
      <c r="E14" s="11" t="s">
        <v>27</v>
      </c>
      <c r="F14" s="12" t="s">
        <v>61</v>
      </c>
      <c r="G14" s="12" t="s">
        <v>61</v>
      </c>
      <c r="H14" s="14">
        <f t="shared" si="0"/>
        <v>0</v>
      </c>
      <c r="I14" s="15" t="s">
        <v>61</v>
      </c>
      <c r="J14" s="15" t="s">
        <v>61</v>
      </c>
      <c r="K14" s="16" t="e">
        <f t="shared" si="1"/>
        <v>#VALUE!</v>
      </c>
      <c r="L14" s="15" t="s">
        <v>61</v>
      </c>
      <c r="M14" s="15" t="s">
        <v>61</v>
      </c>
      <c r="N14" s="15" t="s">
        <v>61</v>
      </c>
      <c r="O14" s="17" t="e">
        <f t="shared" si="2"/>
        <v>#VALUE!</v>
      </c>
      <c r="P14" s="17" t="e">
        <f t="shared" si="3"/>
        <v>#VALUE!</v>
      </c>
      <c r="Q14" s="16">
        <f t="shared" si="11"/>
        <v>0</v>
      </c>
      <c r="R14" s="18">
        <f t="shared" si="5"/>
        <v>0</v>
      </c>
      <c r="S14" s="18">
        <f t="shared" si="6"/>
        <v>0</v>
      </c>
      <c r="T14" s="18">
        <f t="shared" si="7"/>
        <v>0</v>
      </c>
      <c r="U14" s="19">
        <v>3.0000000000000001E-3</v>
      </c>
      <c r="V14" s="20">
        <f t="shared" si="8"/>
        <v>0</v>
      </c>
      <c r="W14" s="20">
        <f t="shared" si="9"/>
        <v>0</v>
      </c>
      <c r="X14" s="11" t="s">
        <v>28</v>
      </c>
    </row>
    <row r="15" spans="1:24" ht="15">
      <c r="A15" s="9">
        <f t="shared" si="10"/>
        <v>13</v>
      </c>
      <c r="B15" s="10">
        <v>44927</v>
      </c>
      <c r="C15" s="21" t="s">
        <v>44</v>
      </c>
      <c r="D15" s="11" t="s">
        <v>26</v>
      </c>
      <c r="E15" s="11" t="s">
        <v>27</v>
      </c>
      <c r="F15" s="12">
        <v>1851</v>
      </c>
      <c r="G15" s="12">
        <v>1851</v>
      </c>
      <c r="H15" s="14">
        <f t="shared" si="0"/>
        <v>1</v>
      </c>
      <c r="I15" s="15"/>
      <c r="J15" s="15"/>
      <c r="K15" s="16">
        <f t="shared" si="1"/>
        <v>1851</v>
      </c>
      <c r="L15" s="12">
        <v>350156944</v>
      </c>
      <c r="M15" s="13"/>
      <c r="N15" s="13"/>
      <c r="O15" s="17">
        <f t="shared" si="2"/>
        <v>0</v>
      </c>
      <c r="P15" s="17">
        <f t="shared" si="3"/>
        <v>0</v>
      </c>
      <c r="Q15" s="16">
        <f t="shared" si="11"/>
        <v>350156944</v>
      </c>
      <c r="R15" s="18">
        <f t="shared" si="5"/>
        <v>1</v>
      </c>
      <c r="S15" s="18">
        <f t="shared" si="6"/>
        <v>1</v>
      </c>
      <c r="T15" s="18">
        <f t="shared" si="7"/>
        <v>1</v>
      </c>
      <c r="U15" s="19">
        <v>0</v>
      </c>
      <c r="V15" s="20">
        <f t="shared" si="8"/>
        <v>0</v>
      </c>
      <c r="W15" s="20">
        <f t="shared" si="9"/>
        <v>0</v>
      </c>
      <c r="X15" s="11" t="s">
        <v>28</v>
      </c>
    </row>
    <row r="16" spans="1:24" ht="15">
      <c r="A16" s="9">
        <f t="shared" si="10"/>
        <v>14</v>
      </c>
      <c r="B16" s="10">
        <v>44927</v>
      </c>
      <c r="C16" s="21" t="s">
        <v>45</v>
      </c>
      <c r="D16" s="11" t="s">
        <v>26</v>
      </c>
      <c r="E16" s="11" t="s">
        <v>27</v>
      </c>
      <c r="F16" s="12">
        <v>29</v>
      </c>
      <c r="G16" s="12">
        <v>29</v>
      </c>
      <c r="H16" s="14">
        <f t="shared" si="0"/>
        <v>1</v>
      </c>
      <c r="I16" s="15">
        <v>0</v>
      </c>
      <c r="J16" s="15">
        <v>0</v>
      </c>
      <c r="K16" s="16"/>
      <c r="L16" s="12">
        <v>163584100</v>
      </c>
      <c r="M16" s="13">
        <v>0</v>
      </c>
      <c r="N16" s="13">
        <v>0</v>
      </c>
      <c r="O16" s="17">
        <f t="shared" si="2"/>
        <v>0</v>
      </c>
      <c r="P16" s="17">
        <f t="shared" si="3"/>
        <v>0</v>
      </c>
      <c r="Q16" s="16">
        <f t="shared" si="11"/>
        <v>163584100</v>
      </c>
      <c r="R16" s="18">
        <f t="shared" si="5"/>
        <v>0</v>
      </c>
      <c r="S16" s="18">
        <f t="shared" si="6"/>
        <v>1</v>
      </c>
      <c r="T16" s="18">
        <f t="shared" si="7"/>
        <v>1</v>
      </c>
      <c r="U16" s="19">
        <v>0</v>
      </c>
      <c r="V16" s="20">
        <f t="shared" si="8"/>
        <v>0</v>
      </c>
      <c r="W16" s="20">
        <f t="shared" si="9"/>
        <v>0</v>
      </c>
      <c r="X16" s="11" t="s">
        <v>28</v>
      </c>
    </row>
    <row r="17" spans="1:24" ht="15">
      <c r="A17" s="9">
        <f t="shared" si="10"/>
        <v>15</v>
      </c>
      <c r="B17" s="10">
        <v>44927</v>
      </c>
      <c r="C17" s="21" t="s">
        <v>47</v>
      </c>
      <c r="D17" s="11" t="s">
        <v>26</v>
      </c>
      <c r="E17" s="11" t="s">
        <v>27</v>
      </c>
      <c r="F17" s="12">
        <v>2</v>
      </c>
      <c r="G17" s="12">
        <v>2</v>
      </c>
      <c r="H17" s="14">
        <f t="shared" si="0"/>
        <v>1</v>
      </c>
      <c r="I17" s="15">
        <v>0</v>
      </c>
      <c r="J17" s="15">
        <v>0</v>
      </c>
      <c r="K17" s="16">
        <f t="shared" ref="K17:K21" si="12">G17-I17-J17</f>
        <v>2</v>
      </c>
      <c r="L17" s="12">
        <f>480*100000</f>
        <v>48000000</v>
      </c>
      <c r="M17" s="13">
        <v>0</v>
      </c>
      <c r="N17" s="13">
        <v>0</v>
      </c>
      <c r="O17" s="17">
        <f t="shared" si="2"/>
        <v>0</v>
      </c>
      <c r="P17" s="17">
        <f t="shared" si="3"/>
        <v>0</v>
      </c>
      <c r="Q17" s="16">
        <f t="shared" si="11"/>
        <v>48000000</v>
      </c>
      <c r="R17" s="18">
        <f t="shared" si="5"/>
        <v>1</v>
      </c>
      <c r="S17" s="18">
        <f t="shared" si="6"/>
        <v>1</v>
      </c>
      <c r="T17" s="18">
        <f t="shared" si="7"/>
        <v>1</v>
      </c>
      <c r="U17" s="19">
        <v>0</v>
      </c>
      <c r="V17" s="20">
        <f t="shared" si="8"/>
        <v>0</v>
      </c>
      <c r="W17" s="20">
        <f t="shared" si="9"/>
        <v>0</v>
      </c>
      <c r="X17" s="11" t="s">
        <v>28</v>
      </c>
    </row>
    <row r="18" spans="1:24" ht="15">
      <c r="A18" s="9">
        <f t="shared" si="10"/>
        <v>16</v>
      </c>
      <c r="B18" s="10">
        <v>44927</v>
      </c>
      <c r="C18" s="21" t="s">
        <v>48</v>
      </c>
      <c r="D18" s="11" t="s">
        <v>26</v>
      </c>
      <c r="E18" s="11" t="s">
        <v>27</v>
      </c>
      <c r="F18" s="12">
        <v>1109</v>
      </c>
      <c r="G18" s="12">
        <v>1109</v>
      </c>
      <c r="H18" s="14">
        <f t="shared" si="0"/>
        <v>1</v>
      </c>
      <c r="I18" s="15"/>
      <c r="J18" s="12"/>
      <c r="K18" s="16">
        <f t="shared" si="12"/>
        <v>1109</v>
      </c>
      <c r="L18" s="26">
        <v>38540988</v>
      </c>
      <c r="M18" s="13">
        <v>0</v>
      </c>
      <c r="N18" s="13">
        <v>0</v>
      </c>
      <c r="O18" s="17">
        <v>0</v>
      </c>
      <c r="P18" s="17">
        <v>0</v>
      </c>
      <c r="Q18" s="16">
        <f t="shared" si="11"/>
        <v>38540988</v>
      </c>
      <c r="R18" s="18">
        <f t="shared" si="5"/>
        <v>1</v>
      </c>
      <c r="S18" s="18">
        <f t="shared" si="6"/>
        <v>1</v>
      </c>
      <c r="T18" s="18">
        <f t="shared" si="7"/>
        <v>1</v>
      </c>
      <c r="U18" s="19">
        <v>0</v>
      </c>
      <c r="V18" s="20">
        <f t="shared" si="8"/>
        <v>0</v>
      </c>
      <c r="W18" s="20">
        <f t="shared" si="9"/>
        <v>0</v>
      </c>
      <c r="X18" s="11" t="s">
        <v>28</v>
      </c>
    </row>
    <row r="19" spans="1:24" ht="15">
      <c r="A19" s="9">
        <f t="shared" si="10"/>
        <v>17</v>
      </c>
      <c r="B19" s="10">
        <v>44927</v>
      </c>
      <c r="C19" s="21" t="s">
        <v>49</v>
      </c>
      <c r="D19" s="11" t="s">
        <v>26</v>
      </c>
      <c r="E19" s="11" t="s">
        <v>27</v>
      </c>
      <c r="F19" s="27">
        <v>0</v>
      </c>
      <c r="G19" s="27">
        <v>0</v>
      </c>
      <c r="H19" s="14">
        <f t="shared" si="0"/>
        <v>0</v>
      </c>
      <c r="I19" s="15">
        <v>0</v>
      </c>
      <c r="J19" s="15">
        <v>0</v>
      </c>
      <c r="K19" s="16">
        <f t="shared" si="12"/>
        <v>0</v>
      </c>
      <c r="L19" s="28">
        <v>0</v>
      </c>
      <c r="M19" s="13">
        <v>0</v>
      </c>
      <c r="N19" s="13">
        <v>0</v>
      </c>
      <c r="O19" s="17">
        <f t="shared" ref="O19:O21" si="13">N19+M19</f>
        <v>0</v>
      </c>
      <c r="P19" s="17">
        <f t="shared" ref="P19:P21" si="14">M19-N19</f>
        <v>0</v>
      </c>
      <c r="Q19" s="16">
        <f t="shared" si="11"/>
        <v>0</v>
      </c>
      <c r="R19" s="18">
        <f t="shared" si="5"/>
        <v>0</v>
      </c>
      <c r="S19" s="18">
        <f t="shared" si="6"/>
        <v>0</v>
      </c>
      <c r="T19" s="18">
        <f t="shared" si="7"/>
        <v>0</v>
      </c>
      <c r="U19" s="19">
        <v>0</v>
      </c>
      <c r="V19" s="20">
        <f t="shared" si="8"/>
        <v>0</v>
      </c>
      <c r="W19" s="20">
        <f t="shared" si="9"/>
        <v>0</v>
      </c>
      <c r="X19" s="25" t="s">
        <v>46</v>
      </c>
    </row>
    <row r="20" spans="1:24" ht="15">
      <c r="A20" s="9">
        <f t="shared" si="10"/>
        <v>18</v>
      </c>
      <c r="B20" s="10">
        <v>44927</v>
      </c>
      <c r="C20" s="21" t="s">
        <v>50</v>
      </c>
      <c r="D20" s="11" t="s">
        <v>26</v>
      </c>
      <c r="E20" s="11" t="s">
        <v>27</v>
      </c>
      <c r="F20" s="27"/>
      <c r="G20" s="27"/>
      <c r="H20" s="14">
        <f t="shared" si="0"/>
        <v>0</v>
      </c>
      <c r="I20" s="15"/>
      <c r="J20" s="15"/>
      <c r="K20" s="16">
        <f t="shared" si="12"/>
        <v>0</v>
      </c>
      <c r="L20" s="29"/>
      <c r="M20" s="13"/>
      <c r="N20" s="13"/>
      <c r="O20" s="17">
        <f t="shared" si="13"/>
        <v>0</v>
      </c>
      <c r="P20" s="17">
        <f t="shared" si="14"/>
        <v>0</v>
      </c>
      <c r="Q20" s="16">
        <f t="shared" si="11"/>
        <v>0</v>
      </c>
      <c r="R20" s="18">
        <f t="shared" si="5"/>
        <v>0</v>
      </c>
      <c r="S20" s="18">
        <f t="shared" si="6"/>
        <v>0</v>
      </c>
      <c r="T20" s="18">
        <f t="shared" si="7"/>
        <v>0</v>
      </c>
      <c r="U20" s="19">
        <v>0</v>
      </c>
      <c r="V20" s="20">
        <f t="shared" si="8"/>
        <v>0</v>
      </c>
      <c r="W20" s="20">
        <f t="shared" si="9"/>
        <v>0</v>
      </c>
      <c r="X20" s="25" t="s">
        <v>46</v>
      </c>
    </row>
    <row r="21" spans="1:24" ht="15">
      <c r="A21" s="30" t="s">
        <v>52</v>
      </c>
      <c r="B21" s="31"/>
      <c r="C21" s="31"/>
      <c r="D21" s="32"/>
      <c r="E21" s="32"/>
      <c r="F21" s="33">
        <f t="shared" ref="F21:G21" si="15">SUM(F3:F20)</f>
        <v>25879</v>
      </c>
      <c r="G21" s="33">
        <f t="shared" si="15"/>
        <v>26023</v>
      </c>
      <c r="H21" s="34">
        <f t="shared" si="0"/>
        <v>1.0055643572008193</v>
      </c>
      <c r="I21" s="33">
        <f t="shared" ref="I21:J21" si="16">SUM(I3:I20)</f>
        <v>2</v>
      </c>
      <c r="J21" s="33">
        <f t="shared" si="16"/>
        <v>6</v>
      </c>
      <c r="K21" s="35">
        <f t="shared" si="12"/>
        <v>26015</v>
      </c>
      <c r="L21" s="36">
        <f t="shared" ref="L21:N21" si="17">SUM(L3:L20)</f>
        <v>8598919890.9099998</v>
      </c>
      <c r="M21" s="37">
        <f t="shared" si="17"/>
        <v>324</v>
      </c>
      <c r="N21" s="37">
        <f t="shared" si="17"/>
        <v>1191</v>
      </c>
      <c r="O21" s="38">
        <f t="shared" si="13"/>
        <v>1515</v>
      </c>
      <c r="P21" s="38">
        <f t="shared" si="14"/>
        <v>-867</v>
      </c>
      <c r="Q21" s="39">
        <f t="shared" si="11"/>
        <v>8598918375.9099998</v>
      </c>
      <c r="R21" s="40">
        <f t="shared" si="5"/>
        <v>0.99969257964108671</v>
      </c>
      <c r="S21" s="40">
        <f t="shared" si="6"/>
        <v>0.99999982381508157</v>
      </c>
      <c r="T21" s="40">
        <f t="shared" si="7"/>
        <v>1.0000001008266166</v>
      </c>
      <c r="U21" s="31"/>
      <c r="V21" s="40">
        <f t="shared" si="8"/>
        <v>7.685508972831726E-5</v>
      </c>
      <c r="W21" s="40">
        <f t="shared" si="9"/>
        <v>2.3056526918495177E-4</v>
      </c>
      <c r="X21" s="31"/>
    </row>
    <row r="22" spans="1:24" ht="1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4" ht="1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4" ht="15">
      <c r="A24" s="41"/>
      <c r="B24" s="5"/>
      <c r="C24" s="5"/>
      <c r="D24" s="5"/>
      <c r="E24" s="5"/>
      <c r="F24" s="5"/>
      <c r="G24" s="5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51.75">
      <c r="A25" s="43"/>
      <c r="B25" s="44" t="s">
        <v>53</v>
      </c>
      <c r="C25" s="45" t="s">
        <v>3</v>
      </c>
      <c r="D25" s="45" t="str">
        <f t="shared" ref="D25:D33" si="18">H2</f>
        <v>CC Adherance %</v>
      </c>
      <c r="E25" s="45" t="str">
        <f t="shared" ref="E25:G25" si="19">R2</f>
        <v>Inventory Record Accuracy (IRA)</v>
      </c>
      <c r="F25" s="45" t="str">
        <f t="shared" si="19"/>
        <v>Inventory Value Accuracy -GROSS
 (IVA)</v>
      </c>
      <c r="G25" s="45" t="str">
        <f t="shared" si="19"/>
        <v>Inventory Value Accuracy -NET 
 (IVA)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">
      <c r="A26" s="43"/>
      <c r="B26" s="46">
        <v>1</v>
      </c>
      <c r="C26" s="47" t="str">
        <f t="shared" ref="C26:C33" si="20">C3</f>
        <v>Bic Cello</v>
      </c>
      <c r="D26" s="48">
        <f t="shared" si="18"/>
        <v>1</v>
      </c>
      <c r="E26" s="49">
        <f t="shared" ref="E26:G26" si="21">R3</f>
        <v>1</v>
      </c>
      <c r="F26" s="49">
        <f t="shared" si="21"/>
        <v>1</v>
      </c>
      <c r="G26" s="49">
        <f t="shared" si="21"/>
        <v>1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15">
      <c r="A27" s="43"/>
      <c r="B27" s="46">
        <f t="shared" ref="B27:B40" si="22">B26+1</f>
        <v>2</v>
      </c>
      <c r="C27" s="47" t="str">
        <f t="shared" si="20"/>
        <v>Siemens Ind BGR</v>
      </c>
      <c r="D27" s="48">
        <f t="shared" si="18"/>
        <v>1</v>
      </c>
      <c r="E27" s="49">
        <f t="shared" ref="E27:G27" si="23">R4</f>
        <v>1</v>
      </c>
      <c r="F27" s="49">
        <f t="shared" si="23"/>
        <v>1</v>
      </c>
      <c r="G27" s="49">
        <f t="shared" si="23"/>
        <v>1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f t="shared" si="22"/>
        <v>3</v>
      </c>
      <c r="C28" s="47" t="str">
        <f t="shared" si="20"/>
        <v>Siemens SWGR Kalwa</v>
      </c>
      <c r="D28" s="48">
        <f t="shared" si="18"/>
        <v>0</v>
      </c>
      <c r="E28" s="49">
        <f t="shared" ref="E28:G28" si="24">R5</f>
        <v>0</v>
      </c>
      <c r="F28" s="49">
        <f t="shared" si="24"/>
        <v>0</v>
      </c>
      <c r="G28" s="49">
        <f t="shared" si="24"/>
        <v>0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si="22"/>
        <v>4</v>
      </c>
      <c r="C29" s="47" t="str">
        <f t="shared" si="20"/>
        <v>Siemens Vapi</v>
      </c>
      <c r="D29" s="48">
        <f t="shared" si="18"/>
        <v>1</v>
      </c>
      <c r="E29" s="49">
        <f t="shared" ref="E29:G29" si="25">R6</f>
        <v>1</v>
      </c>
      <c r="F29" s="49">
        <f t="shared" si="25"/>
        <v>1</v>
      </c>
      <c r="G29" s="49">
        <f t="shared" si="25"/>
        <v>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22"/>
        <v>5</v>
      </c>
      <c r="C30" s="47" t="str">
        <f t="shared" si="20"/>
        <v>Siemens Medical</v>
      </c>
      <c r="D30" s="48">
        <f t="shared" si="18"/>
        <v>1</v>
      </c>
      <c r="E30" s="49">
        <f t="shared" ref="E30:G30" si="26">R7</f>
        <v>1</v>
      </c>
      <c r="F30" s="49">
        <f t="shared" si="26"/>
        <v>1</v>
      </c>
      <c r="G30" s="49">
        <f t="shared" si="26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22"/>
        <v>6</v>
      </c>
      <c r="C31" s="47" t="str">
        <f t="shared" si="20"/>
        <v>Godrej Interio</v>
      </c>
      <c r="D31" s="48">
        <f t="shared" si="18"/>
        <v>1</v>
      </c>
      <c r="E31" s="49">
        <f t="shared" ref="E31:G31" si="27">R8</f>
        <v>0.99945622620989671</v>
      </c>
      <c r="F31" s="49">
        <f t="shared" si="27"/>
        <v>0.99999999762696801</v>
      </c>
      <c r="G31" s="49">
        <f t="shared" si="27"/>
        <v>1.000000002373032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22"/>
        <v>7</v>
      </c>
      <c r="C32" s="47" t="str">
        <f t="shared" si="20"/>
        <v>Godrej Branch</v>
      </c>
      <c r="D32" s="48">
        <f t="shared" si="18"/>
        <v>1</v>
      </c>
      <c r="E32" s="49">
        <f t="shared" ref="E32:G32" si="28">R9</f>
        <v>0.99667300380228141</v>
      </c>
      <c r="F32" s="49">
        <f t="shared" si="28"/>
        <v>0.99986778393029818</v>
      </c>
      <c r="G32" s="49">
        <f t="shared" si="28"/>
        <v>1.0000756268932376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22"/>
        <v>8</v>
      </c>
      <c r="C33" s="47" t="str">
        <f t="shared" si="20"/>
        <v>Godrej spare</v>
      </c>
      <c r="D33" s="48">
        <f t="shared" si="18"/>
        <v>1</v>
      </c>
      <c r="E33" s="49">
        <f t="shared" ref="E33:G33" si="29">R10</f>
        <v>1</v>
      </c>
      <c r="F33" s="49">
        <f t="shared" si="29"/>
        <v>1</v>
      </c>
      <c r="G33" s="49">
        <f t="shared" si="29"/>
        <v>1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22"/>
        <v>9</v>
      </c>
      <c r="C34" s="47" t="str">
        <f t="shared" ref="C34:C37" si="30">C12</f>
        <v>Osram-BGR</v>
      </c>
      <c r="D34" s="48">
        <f t="shared" ref="D34:D37" si="31">H12</f>
        <v>1</v>
      </c>
      <c r="E34" s="49">
        <f t="shared" ref="E34:G34" si="32">R12</f>
        <v>1</v>
      </c>
      <c r="F34" s="49">
        <f t="shared" si="32"/>
        <v>1</v>
      </c>
      <c r="G34" s="49">
        <f t="shared" si="32"/>
        <v>1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22"/>
        <v>10</v>
      </c>
      <c r="C35" s="47" t="str">
        <f t="shared" si="30"/>
        <v>Celio</v>
      </c>
      <c r="D35" s="48">
        <f t="shared" si="31"/>
        <v>1.0192000000000001</v>
      </c>
      <c r="E35" s="49">
        <f t="shared" ref="E35:G35" si="33">R13</f>
        <v>1</v>
      </c>
      <c r="F35" s="49">
        <f t="shared" si="33"/>
        <v>0</v>
      </c>
      <c r="G35" s="49">
        <f t="shared" si="33"/>
        <v>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22"/>
        <v>11</v>
      </c>
      <c r="C36" s="47" t="str">
        <f t="shared" si="30"/>
        <v>Welspun-BGR</v>
      </c>
      <c r="D36" s="48">
        <f t="shared" si="31"/>
        <v>0</v>
      </c>
      <c r="E36" s="49">
        <f t="shared" ref="E36:G36" si="34">R14</f>
        <v>0</v>
      </c>
      <c r="F36" s="49">
        <f t="shared" si="34"/>
        <v>0</v>
      </c>
      <c r="G36" s="49">
        <f t="shared" si="34"/>
        <v>0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22"/>
        <v>12</v>
      </c>
      <c r="C37" s="47" t="str">
        <f t="shared" si="30"/>
        <v>Hansgrohe-BGR</v>
      </c>
      <c r="D37" s="48">
        <f t="shared" si="31"/>
        <v>1</v>
      </c>
      <c r="E37" s="49">
        <f t="shared" ref="E37:G37" si="35">R15</f>
        <v>1</v>
      </c>
      <c r="F37" s="49">
        <f t="shared" si="35"/>
        <v>1</v>
      </c>
      <c r="G37" s="49">
        <f t="shared" si="35"/>
        <v>1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22"/>
        <v>13</v>
      </c>
      <c r="C38" s="47" t="str">
        <f t="shared" ref="C38:C40" si="36">C18</f>
        <v>Siemens BT-BGR</v>
      </c>
      <c r="D38" s="48">
        <f t="shared" ref="D38:D40" si="37">H18</f>
        <v>1</v>
      </c>
      <c r="E38" s="49">
        <f t="shared" ref="E38:G38" si="38">R18</f>
        <v>1</v>
      </c>
      <c r="F38" s="49">
        <f t="shared" si="38"/>
        <v>1</v>
      </c>
      <c r="G38" s="49">
        <f t="shared" si="38"/>
        <v>1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22"/>
        <v>14</v>
      </c>
      <c r="C39" s="47" t="str">
        <f t="shared" si="36"/>
        <v>PVMI-BGR</v>
      </c>
      <c r="D39" s="48">
        <f t="shared" si="37"/>
        <v>0</v>
      </c>
      <c r="E39" s="49">
        <f t="shared" ref="E39:G39" si="39">R19</f>
        <v>0</v>
      </c>
      <c r="F39" s="49">
        <f t="shared" si="39"/>
        <v>0</v>
      </c>
      <c r="G39" s="49">
        <f t="shared" si="39"/>
        <v>0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>
      <c r="A40" s="43"/>
      <c r="B40" s="46">
        <f t="shared" si="22"/>
        <v>15</v>
      </c>
      <c r="C40" s="47" t="str">
        <f t="shared" si="36"/>
        <v>RBL</v>
      </c>
      <c r="D40" s="48">
        <f t="shared" si="37"/>
        <v>0</v>
      </c>
      <c r="E40" s="49">
        <f t="shared" ref="E40:G40" si="40">R20</f>
        <v>0</v>
      </c>
      <c r="F40" s="49">
        <f t="shared" si="40"/>
        <v>0</v>
      </c>
      <c r="G40" s="49">
        <f t="shared" si="40"/>
        <v>0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spans="1:24" ht="12.75">
      <c r="A41" s="50"/>
    </row>
  </sheetData>
  <mergeCells count="2">
    <mergeCell ref="A1:C1"/>
    <mergeCell ref="F1:H1"/>
  </mergeCells>
  <pageMargins left="0.7" right="0.7" top="0.75" bottom="0.75" header="0.3" footer="0.3"/>
  <headerFooter>
    <oddHeader>&amp;C&amp;"Calibri"&amp;10&amp;K000000 Public&amp;1#_x000D_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41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6.28515625" customWidth="1"/>
    <col min="2" max="2" width="5" customWidth="1"/>
    <col min="3" max="3" width="13.85546875" customWidth="1"/>
    <col min="4" max="4" width="12.140625" customWidth="1"/>
    <col min="5" max="5" width="10.5703125" customWidth="1"/>
    <col min="6" max="6" width="13.140625" customWidth="1"/>
    <col min="7" max="7" width="11.85546875" customWidth="1"/>
    <col min="8" max="8" width="10.5703125" customWidth="1"/>
    <col min="9" max="9" width="8" customWidth="1"/>
    <col min="10" max="10" width="7.85546875" customWidth="1"/>
    <col min="11" max="11" width="11" customWidth="1"/>
    <col min="12" max="12" width="12.5703125" customWidth="1"/>
    <col min="13" max="13" width="11.85546875" customWidth="1"/>
    <col min="14" max="14" width="11.5703125" customWidth="1"/>
    <col min="15" max="15" width="9.140625" customWidth="1"/>
    <col min="16" max="16" width="8.5703125" customWidth="1"/>
    <col min="17" max="19" width="10.42578125" customWidth="1"/>
    <col min="20" max="20" width="9.7109375" customWidth="1"/>
    <col min="21" max="21" width="12.28515625" customWidth="1"/>
    <col min="22" max="22" width="10.42578125" customWidth="1"/>
    <col min="23" max="23" width="9.85546875" customWidth="1"/>
    <col min="24" max="24" width="13.85546875" customWidth="1"/>
  </cols>
  <sheetData>
    <row r="1" spans="1:24" ht="26.25" customHeight="1">
      <c r="A1" s="115"/>
      <c r="B1" s="116"/>
      <c r="C1" s="117"/>
      <c r="D1" s="1"/>
      <c r="E1" s="2"/>
      <c r="F1" s="118" t="s">
        <v>62</v>
      </c>
      <c r="G1" s="116"/>
      <c r="H1" s="116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4" ht="56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7" t="s">
        <v>22</v>
      </c>
      <c r="W2" s="7" t="s">
        <v>23</v>
      </c>
      <c r="X2" s="6" t="s">
        <v>24</v>
      </c>
    </row>
    <row r="3" spans="1:24" ht="15">
      <c r="A3" s="9">
        <v>1</v>
      </c>
      <c r="B3" s="10">
        <v>44896</v>
      </c>
      <c r="C3" s="11" t="s">
        <v>25</v>
      </c>
      <c r="D3" s="11" t="s">
        <v>26</v>
      </c>
      <c r="E3" s="11" t="s">
        <v>27</v>
      </c>
      <c r="F3" s="12">
        <v>1374</v>
      </c>
      <c r="G3" s="13">
        <v>1374</v>
      </c>
      <c r="H3" s="14">
        <f t="shared" ref="H3:H21" si="0">IFERROR(G3/F3,0)</f>
        <v>1</v>
      </c>
      <c r="I3" s="15">
        <v>0</v>
      </c>
      <c r="J3" s="15">
        <v>0</v>
      </c>
      <c r="K3" s="16">
        <f t="shared" ref="K3:K15" si="1">G3-I3-J3</f>
        <v>1374</v>
      </c>
      <c r="L3" s="12">
        <f>166037*5000</f>
        <v>830185000</v>
      </c>
      <c r="M3" s="12"/>
      <c r="N3" s="13">
        <v>0</v>
      </c>
      <c r="O3" s="17">
        <f t="shared" ref="O3:O17" si="2">N3+M3</f>
        <v>0</v>
      </c>
      <c r="P3" s="17">
        <f t="shared" ref="P3:P17" si="3">M3-N3</f>
        <v>0</v>
      </c>
      <c r="Q3" s="16">
        <f t="shared" ref="Q3:Q21" si="4">IFERROR(L3-N3-M3,0)</f>
        <v>830185000</v>
      </c>
      <c r="R3" s="18">
        <f t="shared" ref="R3:R21" si="5">IFERROR((K3/G3),0)</f>
        <v>1</v>
      </c>
      <c r="S3" s="18">
        <f t="shared" ref="S3:S21" si="6">IFERROR(1-(O3/L3),0)</f>
        <v>1</v>
      </c>
      <c r="T3" s="18">
        <f t="shared" ref="T3:T21" si="7">IFERROR(1-(P3/L3),0)</f>
        <v>1</v>
      </c>
      <c r="U3" s="19">
        <v>1E-3</v>
      </c>
      <c r="V3" s="20">
        <f t="shared" ref="V3:V21" si="8">IFERROR(I3/G3,0)</f>
        <v>0</v>
      </c>
      <c r="W3" s="20">
        <f t="shared" ref="W3:W21" si="9">IFERROR(J3/G3,0)</f>
        <v>0</v>
      </c>
      <c r="X3" s="11" t="s">
        <v>28</v>
      </c>
    </row>
    <row r="4" spans="1:24" ht="15">
      <c r="A4" s="9">
        <f t="shared" ref="A4:A20" si="10">A3+1</f>
        <v>2</v>
      </c>
      <c r="B4" s="10">
        <v>44896</v>
      </c>
      <c r="C4" s="21" t="s">
        <v>29</v>
      </c>
      <c r="D4" s="11" t="s">
        <v>26</v>
      </c>
      <c r="E4" s="11" t="s">
        <v>27</v>
      </c>
      <c r="F4" s="12">
        <v>7685</v>
      </c>
      <c r="G4" s="13">
        <v>7685</v>
      </c>
      <c r="H4" s="14">
        <f t="shared" si="0"/>
        <v>1</v>
      </c>
      <c r="I4" s="15">
        <v>0</v>
      </c>
      <c r="J4" s="15">
        <v>0</v>
      </c>
      <c r="K4" s="16">
        <f t="shared" si="1"/>
        <v>7685</v>
      </c>
      <c r="L4" s="12">
        <v>2755514097</v>
      </c>
      <c r="M4" s="13">
        <v>0</v>
      </c>
      <c r="N4" s="13">
        <v>0</v>
      </c>
      <c r="O4" s="17">
        <f t="shared" si="2"/>
        <v>0</v>
      </c>
      <c r="P4" s="17">
        <f t="shared" si="3"/>
        <v>0</v>
      </c>
      <c r="Q4" s="16">
        <f t="shared" si="4"/>
        <v>2755514097</v>
      </c>
      <c r="R4" s="18">
        <f t="shared" si="5"/>
        <v>1</v>
      </c>
      <c r="S4" s="18">
        <f t="shared" si="6"/>
        <v>1</v>
      </c>
      <c r="T4" s="18">
        <f t="shared" si="7"/>
        <v>1</v>
      </c>
      <c r="U4" s="19">
        <v>1.5E-3</v>
      </c>
      <c r="V4" s="20">
        <f t="shared" si="8"/>
        <v>0</v>
      </c>
      <c r="W4" s="20">
        <f t="shared" si="9"/>
        <v>0</v>
      </c>
      <c r="X4" s="11" t="s">
        <v>28</v>
      </c>
    </row>
    <row r="5" spans="1:24" ht="23.25">
      <c r="A5" s="9">
        <f t="shared" si="10"/>
        <v>3</v>
      </c>
      <c r="B5" s="10">
        <v>44896</v>
      </c>
      <c r="C5" s="21" t="s">
        <v>30</v>
      </c>
      <c r="D5" s="11" t="s">
        <v>26</v>
      </c>
      <c r="E5" s="11" t="s">
        <v>27</v>
      </c>
      <c r="F5" s="27">
        <f>286+100</f>
        <v>386</v>
      </c>
      <c r="G5" s="13">
        <v>386</v>
      </c>
      <c r="H5" s="14">
        <f t="shared" si="0"/>
        <v>1</v>
      </c>
      <c r="I5" s="15">
        <v>0</v>
      </c>
      <c r="J5" s="15">
        <v>0</v>
      </c>
      <c r="K5" s="16">
        <f t="shared" si="1"/>
        <v>386</v>
      </c>
      <c r="L5" s="12">
        <f>11603512+194106681</f>
        <v>205710193</v>
      </c>
      <c r="M5" s="13">
        <v>0</v>
      </c>
      <c r="N5" s="13">
        <v>0</v>
      </c>
      <c r="O5" s="17">
        <f t="shared" si="2"/>
        <v>0</v>
      </c>
      <c r="P5" s="17">
        <f t="shared" si="3"/>
        <v>0</v>
      </c>
      <c r="Q5" s="16">
        <f t="shared" si="4"/>
        <v>205710193</v>
      </c>
      <c r="R5" s="18">
        <f t="shared" si="5"/>
        <v>1</v>
      </c>
      <c r="S5" s="18">
        <f t="shared" si="6"/>
        <v>1</v>
      </c>
      <c r="T5" s="18">
        <f t="shared" si="7"/>
        <v>1</v>
      </c>
      <c r="U5" s="19">
        <v>0</v>
      </c>
      <c r="V5" s="20">
        <f t="shared" si="8"/>
        <v>0</v>
      </c>
      <c r="W5" s="20">
        <f t="shared" si="9"/>
        <v>0</v>
      </c>
      <c r="X5" s="11" t="s">
        <v>28</v>
      </c>
    </row>
    <row r="6" spans="1:24" ht="15">
      <c r="A6" s="9">
        <f t="shared" si="10"/>
        <v>4</v>
      </c>
      <c r="B6" s="10">
        <v>44896</v>
      </c>
      <c r="C6" s="21" t="s">
        <v>31</v>
      </c>
      <c r="D6" s="11" t="s">
        <v>26</v>
      </c>
      <c r="E6" s="11" t="s">
        <v>27</v>
      </c>
      <c r="F6" s="12">
        <v>578</v>
      </c>
      <c r="G6" s="13">
        <v>578</v>
      </c>
      <c r="H6" s="14">
        <f t="shared" si="0"/>
        <v>1</v>
      </c>
      <c r="I6" s="15"/>
      <c r="J6" s="15"/>
      <c r="K6" s="16">
        <f t="shared" si="1"/>
        <v>578</v>
      </c>
      <c r="L6" s="26">
        <v>190044525</v>
      </c>
      <c r="M6" s="13">
        <v>0</v>
      </c>
      <c r="N6" s="13">
        <v>0</v>
      </c>
      <c r="O6" s="17">
        <f t="shared" si="2"/>
        <v>0</v>
      </c>
      <c r="P6" s="17">
        <f t="shared" si="3"/>
        <v>0</v>
      </c>
      <c r="Q6" s="16">
        <f t="shared" si="4"/>
        <v>190044525</v>
      </c>
      <c r="R6" s="18">
        <f t="shared" si="5"/>
        <v>1</v>
      </c>
      <c r="S6" s="18">
        <f t="shared" si="6"/>
        <v>1</v>
      </c>
      <c r="T6" s="18">
        <f t="shared" si="7"/>
        <v>1</v>
      </c>
      <c r="U6" s="19">
        <v>1.5E-3</v>
      </c>
      <c r="V6" s="20">
        <f t="shared" si="8"/>
        <v>0</v>
      </c>
      <c r="W6" s="20">
        <f t="shared" si="9"/>
        <v>0</v>
      </c>
      <c r="X6" s="11" t="s">
        <v>28</v>
      </c>
    </row>
    <row r="7" spans="1:24" ht="15">
      <c r="A7" s="9">
        <f t="shared" si="10"/>
        <v>5</v>
      </c>
      <c r="B7" s="10">
        <v>44896</v>
      </c>
      <c r="C7" s="21" t="s">
        <v>32</v>
      </c>
      <c r="D7" s="11" t="s">
        <v>26</v>
      </c>
      <c r="E7" s="11" t="s">
        <v>27</v>
      </c>
      <c r="F7" s="12">
        <v>3100</v>
      </c>
      <c r="G7" s="13">
        <v>3051</v>
      </c>
      <c r="H7" s="14">
        <f t="shared" si="0"/>
        <v>0.98419354838709683</v>
      </c>
      <c r="I7" s="15">
        <v>0</v>
      </c>
      <c r="J7" s="15">
        <v>0</v>
      </c>
      <c r="K7" s="16">
        <f t="shared" si="1"/>
        <v>3051</v>
      </c>
      <c r="L7" s="12">
        <v>476345599</v>
      </c>
      <c r="M7" s="13">
        <v>0</v>
      </c>
      <c r="N7" s="13">
        <v>0</v>
      </c>
      <c r="O7" s="17">
        <f t="shared" si="2"/>
        <v>0</v>
      </c>
      <c r="P7" s="17">
        <f t="shared" si="3"/>
        <v>0</v>
      </c>
      <c r="Q7" s="16">
        <f t="shared" si="4"/>
        <v>476345599</v>
      </c>
      <c r="R7" s="18">
        <f t="shared" si="5"/>
        <v>1</v>
      </c>
      <c r="S7" s="18">
        <f t="shared" si="6"/>
        <v>1</v>
      </c>
      <c r="T7" s="18">
        <f t="shared" si="7"/>
        <v>1</v>
      </c>
      <c r="U7" s="19">
        <v>1.5E-3</v>
      </c>
      <c r="V7" s="20">
        <f t="shared" si="8"/>
        <v>0</v>
      </c>
      <c r="W7" s="20">
        <f t="shared" si="9"/>
        <v>0</v>
      </c>
      <c r="X7" s="11" t="s">
        <v>33</v>
      </c>
    </row>
    <row r="8" spans="1:24" ht="23.25">
      <c r="A8" s="9">
        <f t="shared" si="10"/>
        <v>6</v>
      </c>
      <c r="B8" s="10">
        <v>44896</v>
      </c>
      <c r="C8" s="21" t="s">
        <v>34</v>
      </c>
      <c r="D8" s="11" t="s">
        <v>26</v>
      </c>
      <c r="E8" s="11" t="s">
        <v>27</v>
      </c>
      <c r="F8" s="12">
        <v>1828</v>
      </c>
      <c r="G8" s="12">
        <v>1828</v>
      </c>
      <c r="H8" s="14">
        <f t="shared" si="0"/>
        <v>1</v>
      </c>
      <c r="I8" s="15">
        <v>0</v>
      </c>
      <c r="J8" s="15">
        <v>0</v>
      </c>
      <c r="K8" s="16">
        <f t="shared" si="1"/>
        <v>1828</v>
      </c>
      <c r="L8" s="12">
        <v>35243851.590000004</v>
      </c>
      <c r="M8" s="13">
        <v>0</v>
      </c>
      <c r="N8" s="13">
        <v>0</v>
      </c>
      <c r="O8" s="17">
        <f t="shared" si="2"/>
        <v>0</v>
      </c>
      <c r="P8" s="17">
        <f t="shared" si="3"/>
        <v>0</v>
      </c>
      <c r="Q8" s="16">
        <f t="shared" si="4"/>
        <v>35243851.590000004</v>
      </c>
      <c r="R8" s="18">
        <f t="shared" si="5"/>
        <v>1</v>
      </c>
      <c r="S8" s="18">
        <f t="shared" si="6"/>
        <v>1</v>
      </c>
      <c r="T8" s="18">
        <f t="shared" si="7"/>
        <v>1</v>
      </c>
      <c r="U8" s="19">
        <v>0</v>
      </c>
      <c r="V8" s="20">
        <f t="shared" si="8"/>
        <v>0</v>
      </c>
      <c r="W8" s="20">
        <f t="shared" si="9"/>
        <v>0</v>
      </c>
      <c r="X8" s="11" t="s">
        <v>35</v>
      </c>
    </row>
    <row r="9" spans="1:24" ht="15">
      <c r="A9" s="9">
        <f t="shared" si="10"/>
        <v>7</v>
      </c>
      <c r="B9" s="10">
        <v>44896</v>
      </c>
      <c r="C9" s="21" t="s">
        <v>37</v>
      </c>
      <c r="D9" s="11" t="s">
        <v>26</v>
      </c>
      <c r="E9" s="11" t="s">
        <v>27</v>
      </c>
      <c r="F9" s="12">
        <v>2200</v>
      </c>
      <c r="G9" s="13">
        <v>2200</v>
      </c>
      <c r="H9" s="14">
        <f t="shared" si="0"/>
        <v>1</v>
      </c>
      <c r="I9" s="15">
        <v>5</v>
      </c>
      <c r="J9" s="15">
        <v>9</v>
      </c>
      <c r="K9" s="16">
        <f t="shared" si="1"/>
        <v>2186</v>
      </c>
      <c r="L9" s="12">
        <v>9674704.2090000007</v>
      </c>
      <c r="M9" s="13">
        <v>8679</v>
      </c>
      <c r="N9" s="13">
        <v>7777</v>
      </c>
      <c r="O9" s="17">
        <f t="shared" si="2"/>
        <v>16456</v>
      </c>
      <c r="P9" s="17">
        <f t="shared" si="3"/>
        <v>902</v>
      </c>
      <c r="Q9" s="16">
        <f t="shared" si="4"/>
        <v>9658248.2090000007</v>
      </c>
      <c r="R9" s="18">
        <f t="shared" si="5"/>
        <v>0.99363636363636365</v>
      </c>
      <c r="S9" s="18">
        <f t="shared" si="6"/>
        <v>0.99829906944496638</v>
      </c>
      <c r="T9" s="18">
        <f t="shared" si="7"/>
        <v>0.99990676717545934</v>
      </c>
      <c r="U9" s="19">
        <v>5.0000000000000001E-4</v>
      </c>
      <c r="V9" s="20">
        <f t="shared" si="8"/>
        <v>2.2727272727272726E-3</v>
      </c>
      <c r="W9" s="20">
        <f t="shared" si="9"/>
        <v>4.0909090909090912E-3</v>
      </c>
      <c r="X9" s="11" t="s">
        <v>28</v>
      </c>
    </row>
    <row r="10" spans="1:24" ht="15">
      <c r="A10" s="9">
        <f t="shared" si="10"/>
        <v>8</v>
      </c>
      <c r="B10" s="10">
        <v>44896</v>
      </c>
      <c r="C10" s="21" t="s">
        <v>38</v>
      </c>
      <c r="D10" s="11" t="s">
        <v>26</v>
      </c>
      <c r="E10" s="11" t="s">
        <v>27</v>
      </c>
      <c r="F10" s="12">
        <v>677</v>
      </c>
      <c r="G10" s="13">
        <v>677</v>
      </c>
      <c r="H10" s="14">
        <f t="shared" si="0"/>
        <v>1</v>
      </c>
      <c r="I10" s="13">
        <v>0</v>
      </c>
      <c r="J10" s="13">
        <v>0</v>
      </c>
      <c r="K10" s="16">
        <f t="shared" si="1"/>
        <v>677</v>
      </c>
      <c r="L10" s="12">
        <v>4028638</v>
      </c>
      <c r="M10" s="13">
        <v>0</v>
      </c>
      <c r="N10" s="13">
        <v>0</v>
      </c>
      <c r="O10" s="17">
        <f t="shared" si="2"/>
        <v>0</v>
      </c>
      <c r="P10" s="17">
        <f t="shared" si="3"/>
        <v>0</v>
      </c>
      <c r="Q10" s="16">
        <f t="shared" si="4"/>
        <v>4028638</v>
      </c>
      <c r="R10" s="18">
        <f t="shared" si="5"/>
        <v>1</v>
      </c>
      <c r="S10" s="18">
        <f t="shared" si="6"/>
        <v>1</v>
      </c>
      <c r="T10" s="18">
        <f t="shared" si="7"/>
        <v>1</v>
      </c>
      <c r="U10" s="19">
        <v>0</v>
      </c>
      <c r="V10" s="20">
        <f t="shared" si="8"/>
        <v>0</v>
      </c>
      <c r="W10" s="20">
        <f t="shared" si="9"/>
        <v>0</v>
      </c>
      <c r="X10" s="11" t="s">
        <v>28</v>
      </c>
    </row>
    <row r="11" spans="1:24" ht="15">
      <c r="A11" s="9">
        <f t="shared" si="10"/>
        <v>9</v>
      </c>
      <c r="B11" s="10">
        <v>44896</v>
      </c>
      <c r="C11" s="21" t="s">
        <v>39</v>
      </c>
      <c r="D11" s="11" t="s">
        <v>26</v>
      </c>
      <c r="E11" s="11" t="s">
        <v>27</v>
      </c>
      <c r="F11" s="12">
        <v>814</v>
      </c>
      <c r="G11" s="13">
        <v>814</v>
      </c>
      <c r="H11" s="14">
        <f t="shared" si="0"/>
        <v>1</v>
      </c>
      <c r="I11" s="15">
        <v>0</v>
      </c>
      <c r="J11" s="15">
        <v>0</v>
      </c>
      <c r="K11" s="16">
        <f t="shared" si="1"/>
        <v>814</v>
      </c>
      <c r="L11" s="12">
        <v>5128444.2699999996</v>
      </c>
      <c r="M11" s="13">
        <v>0</v>
      </c>
      <c r="N11" s="13">
        <v>0</v>
      </c>
      <c r="O11" s="17">
        <f t="shared" si="2"/>
        <v>0</v>
      </c>
      <c r="P11" s="17">
        <f t="shared" si="3"/>
        <v>0</v>
      </c>
      <c r="Q11" s="16">
        <f t="shared" si="4"/>
        <v>5128444.2699999996</v>
      </c>
      <c r="R11" s="18">
        <f t="shared" si="5"/>
        <v>1</v>
      </c>
      <c r="S11" s="18">
        <f t="shared" si="6"/>
        <v>1</v>
      </c>
      <c r="T11" s="18">
        <f t="shared" si="7"/>
        <v>1</v>
      </c>
      <c r="U11" s="19">
        <v>0</v>
      </c>
      <c r="V11" s="20">
        <f t="shared" si="8"/>
        <v>0</v>
      </c>
      <c r="W11" s="20">
        <f t="shared" si="9"/>
        <v>0</v>
      </c>
      <c r="X11" s="11" t="s">
        <v>28</v>
      </c>
    </row>
    <row r="12" spans="1:24" ht="15">
      <c r="A12" s="9">
        <f t="shared" si="10"/>
        <v>10</v>
      </c>
      <c r="B12" s="10">
        <v>44896</v>
      </c>
      <c r="C12" s="21" t="s">
        <v>40</v>
      </c>
      <c r="D12" s="11" t="s">
        <v>26</v>
      </c>
      <c r="E12" s="11" t="s">
        <v>27</v>
      </c>
      <c r="F12" s="12">
        <v>331</v>
      </c>
      <c r="G12" s="13">
        <v>331</v>
      </c>
      <c r="H12" s="14">
        <f t="shared" si="0"/>
        <v>1</v>
      </c>
      <c r="I12" s="15">
        <v>0</v>
      </c>
      <c r="J12" s="15">
        <v>0</v>
      </c>
      <c r="K12" s="16">
        <f t="shared" si="1"/>
        <v>331</v>
      </c>
      <c r="L12" s="12">
        <v>307300891</v>
      </c>
      <c r="M12" s="13">
        <v>0</v>
      </c>
      <c r="N12" s="13">
        <v>0</v>
      </c>
      <c r="O12" s="17">
        <f t="shared" si="2"/>
        <v>0</v>
      </c>
      <c r="P12" s="17">
        <f t="shared" si="3"/>
        <v>0</v>
      </c>
      <c r="Q12" s="16">
        <f t="shared" si="4"/>
        <v>307300891</v>
      </c>
      <c r="R12" s="18">
        <f t="shared" si="5"/>
        <v>1</v>
      </c>
      <c r="S12" s="18">
        <f t="shared" si="6"/>
        <v>1</v>
      </c>
      <c r="T12" s="18">
        <f t="shared" si="7"/>
        <v>1</v>
      </c>
      <c r="U12" s="19">
        <v>0</v>
      </c>
      <c r="V12" s="20">
        <f t="shared" si="8"/>
        <v>0</v>
      </c>
      <c r="W12" s="20">
        <f t="shared" si="9"/>
        <v>0</v>
      </c>
      <c r="X12" s="11" t="s">
        <v>28</v>
      </c>
    </row>
    <row r="13" spans="1:24" ht="15">
      <c r="A13" s="9">
        <f t="shared" si="10"/>
        <v>11</v>
      </c>
      <c r="B13" s="10">
        <v>44896</v>
      </c>
      <c r="C13" s="21" t="s">
        <v>42</v>
      </c>
      <c r="D13" s="11" t="s">
        <v>26</v>
      </c>
      <c r="E13" s="11" t="s">
        <v>27</v>
      </c>
      <c r="F13" s="12">
        <v>150</v>
      </c>
      <c r="G13" s="13">
        <v>143</v>
      </c>
      <c r="H13" s="14">
        <f t="shared" si="0"/>
        <v>0.95333333333333337</v>
      </c>
      <c r="I13" s="13">
        <v>13</v>
      </c>
      <c r="J13" s="13">
        <v>23</v>
      </c>
      <c r="K13" s="16">
        <f t="shared" si="1"/>
        <v>107</v>
      </c>
      <c r="L13" s="12">
        <f>144321*2000</f>
        <v>288642000</v>
      </c>
      <c r="M13" s="13"/>
      <c r="N13" s="13"/>
      <c r="O13" s="17">
        <f t="shared" si="2"/>
        <v>0</v>
      </c>
      <c r="P13" s="17">
        <f t="shared" si="3"/>
        <v>0</v>
      </c>
      <c r="Q13" s="16">
        <f t="shared" si="4"/>
        <v>288642000</v>
      </c>
      <c r="R13" s="18">
        <f t="shared" si="5"/>
        <v>0.74825174825174823</v>
      </c>
      <c r="S13" s="18">
        <f t="shared" si="6"/>
        <v>1</v>
      </c>
      <c r="T13" s="18">
        <f t="shared" si="7"/>
        <v>1</v>
      </c>
      <c r="U13" s="19">
        <v>0</v>
      </c>
      <c r="V13" s="20">
        <f t="shared" si="8"/>
        <v>9.0909090909090912E-2</v>
      </c>
      <c r="W13" s="20">
        <f t="shared" si="9"/>
        <v>0.16083916083916083</v>
      </c>
      <c r="X13" s="11" t="s">
        <v>28</v>
      </c>
    </row>
    <row r="14" spans="1:24" ht="15">
      <c r="A14" s="9">
        <f t="shared" si="10"/>
        <v>12</v>
      </c>
      <c r="B14" s="10">
        <v>44896</v>
      </c>
      <c r="C14" s="21" t="s">
        <v>60</v>
      </c>
      <c r="D14" s="11" t="s">
        <v>26</v>
      </c>
      <c r="E14" s="11" t="s">
        <v>27</v>
      </c>
      <c r="F14" s="12"/>
      <c r="G14" s="12"/>
      <c r="H14" s="14">
        <f t="shared" si="0"/>
        <v>0</v>
      </c>
      <c r="I14" s="15">
        <v>0</v>
      </c>
      <c r="J14" s="15">
        <v>0</v>
      </c>
      <c r="K14" s="16">
        <f t="shared" si="1"/>
        <v>0</v>
      </c>
      <c r="L14" s="12"/>
      <c r="M14" s="13"/>
      <c r="N14" s="13"/>
      <c r="O14" s="17">
        <f t="shared" si="2"/>
        <v>0</v>
      </c>
      <c r="P14" s="17">
        <f t="shared" si="3"/>
        <v>0</v>
      </c>
      <c r="Q14" s="16">
        <f t="shared" si="4"/>
        <v>0</v>
      </c>
      <c r="R14" s="18">
        <f t="shared" si="5"/>
        <v>0</v>
      </c>
      <c r="S14" s="18">
        <f t="shared" si="6"/>
        <v>0</v>
      </c>
      <c r="T14" s="18">
        <f t="shared" si="7"/>
        <v>0</v>
      </c>
      <c r="U14" s="19">
        <v>3.0000000000000001E-3</v>
      </c>
      <c r="V14" s="20">
        <f t="shared" si="8"/>
        <v>0</v>
      </c>
      <c r="W14" s="20">
        <f t="shared" si="9"/>
        <v>0</v>
      </c>
      <c r="X14" s="11" t="s">
        <v>28</v>
      </c>
    </row>
    <row r="15" spans="1:24" ht="15">
      <c r="A15" s="9">
        <f t="shared" si="10"/>
        <v>13</v>
      </c>
      <c r="B15" s="10">
        <v>44896</v>
      </c>
      <c r="C15" s="21" t="s">
        <v>44</v>
      </c>
      <c r="D15" s="11" t="s">
        <v>26</v>
      </c>
      <c r="E15" s="11" t="s">
        <v>27</v>
      </c>
      <c r="F15" s="12">
        <v>1759</v>
      </c>
      <c r="G15" s="12">
        <v>1759</v>
      </c>
      <c r="H15" s="14">
        <f t="shared" si="0"/>
        <v>1</v>
      </c>
      <c r="I15" s="15">
        <v>0</v>
      </c>
      <c r="J15" s="15">
        <v>0</v>
      </c>
      <c r="K15" s="16">
        <f t="shared" si="1"/>
        <v>1759</v>
      </c>
      <c r="L15" s="12">
        <v>275907313</v>
      </c>
      <c r="M15" s="13"/>
      <c r="N15" s="13"/>
      <c r="O15" s="17">
        <f t="shared" si="2"/>
        <v>0</v>
      </c>
      <c r="P15" s="17">
        <f t="shared" si="3"/>
        <v>0</v>
      </c>
      <c r="Q15" s="16">
        <f t="shared" si="4"/>
        <v>275907313</v>
      </c>
      <c r="R15" s="18">
        <f t="shared" si="5"/>
        <v>1</v>
      </c>
      <c r="S15" s="18">
        <f t="shared" si="6"/>
        <v>1</v>
      </c>
      <c r="T15" s="18">
        <f t="shared" si="7"/>
        <v>1</v>
      </c>
      <c r="U15" s="19">
        <v>0</v>
      </c>
      <c r="V15" s="20">
        <f t="shared" si="8"/>
        <v>0</v>
      </c>
      <c r="W15" s="20">
        <f t="shared" si="9"/>
        <v>0</v>
      </c>
      <c r="X15" s="11" t="s">
        <v>28</v>
      </c>
    </row>
    <row r="16" spans="1:24" ht="15">
      <c r="A16" s="9">
        <f t="shared" si="10"/>
        <v>14</v>
      </c>
      <c r="B16" s="10">
        <v>44896</v>
      </c>
      <c r="C16" s="21" t="s">
        <v>45</v>
      </c>
      <c r="D16" s="11" t="s">
        <v>26</v>
      </c>
      <c r="E16" s="11" t="s">
        <v>27</v>
      </c>
      <c r="F16" s="12">
        <v>29</v>
      </c>
      <c r="G16" s="12">
        <v>29</v>
      </c>
      <c r="H16" s="14">
        <f t="shared" si="0"/>
        <v>1</v>
      </c>
      <c r="I16" s="15">
        <v>0</v>
      </c>
      <c r="J16" s="15">
        <v>0</v>
      </c>
      <c r="K16" s="16"/>
      <c r="L16" s="26" t="s">
        <v>63</v>
      </c>
      <c r="M16" s="13">
        <v>0</v>
      </c>
      <c r="N16" s="13">
        <v>0</v>
      </c>
      <c r="O16" s="17">
        <f t="shared" si="2"/>
        <v>0</v>
      </c>
      <c r="P16" s="17">
        <f t="shared" si="3"/>
        <v>0</v>
      </c>
      <c r="Q16" s="16">
        <f t="shared" si="4"/>
        <v>0</v>
      </c>
      <c r="R16" s="18">
        <f t="shared" si="5"/>
        <v>0</v>
      </c>
      <c r="S16" s="18">
        <f t="shared" si="6"/>
        <v>0</v>
      </c>
      <c r="T16" s="18">
        <f t="shared" si="7"/>
        <v>0</v>
      </c>
      <c r="U16" s="19">
        <v>0</v>
      </c>
      <c r="V16" s="20">
        <f t="shared" si="8"/>
        <v>0</v>
      </c>
      <c r="W16" s="20">
        <f t="shared" si="9"/>
        <v>0</v>
      </c>
      <c r="X16" s="11" t="s">
        <v>28</v>
      </c>
    </row>
    <row r="17" spans="1:24" ht="15">
      <c r="A17" s="9">
        <f t="shared" si="10"/>
        <v>15</v>
      </c>
      <c r="B17" s="10">
        <v>44896</v>
      </c>
      <c r="C17" s="21" t="s">
        <v>47</v>
      </c>
      <c r="D17" s="11" t="s">
        <v>26</v>
      </c>
      <c r="E17" s="11" t="s">
        <v>27</v>
      </c>
      <c r="F17" s="12">
        <v>2</v>
      </c>
      <c r="G17" s="12">
        <v>2</v>
      </c>
      <c r="H17" s="14">
        <f t="shared" si="0"/>
        <v>1</v>
      </c>
      <c r="I17" s="15">
        <v>0</v>
      </c>
      <c r="J17" s="15">
        <v>0</v>
      </c>
      <c r="K17" s="16">
        <f t="shared" ref="K17:K21" si="11">G17-I17-J17</f>
        <v>2</v>
      </c>
      <c r="L17" s="12">
        <f>496*100000</f>
        <v>49600000</v>
      </c>
      <c r="M17" s="13">
        <v>0</v>
      </c>
      <c r="N17" s="13">
        <v>0</v>
      </c>
      <c r="O17" s="17">
        <f t="shared" si="2"/>
        <v>0</v>
      </c>
      <c r="P17" s="17">
        <f t="shared" si="3"/>
        <v>0</v>
      </c>
      <c r="Q17" s="16">
        <f t="shared" si="4"/>
        <v>49600000</v>
      </c>
      <c r="R17" s="18">
        <f t="shared" si="5"/>
        <v>1</v>
      </c>
      <c r="S17" s="18">
        <f t="shared" si="6"/>
        <v>1</v>
      </c>
      <c r="T17" s="18">
        <f t="shared" si="7"/>
        <v>1</v>
      </c>
      <c r="U17" s="19">
        <v>0</v>
      </c>
      <c r="V17" s="20">
        <f t="shared" si="8"/>
        <v>0</v>
      </c>
      <c r="W17" s="20">
        <f t="shared" si="9"/>
        <v>0</v>
      </c>
      <c r="X17" s="11" t="s">
        <v>28</v>
      </c>
    </row>
    <row r="18" spans="1:24" ht="15">
      <c r="A18" s="9">
        <f t="shared" si="10"/>
        <v>16</v>
      </c>
      <c r="B18" s="10">
        <v>44896</v>
      </c>
      <c r="C18" s="21" t="s">
        <v>48</v>
      </c>
      <c r="D18" s="11" t="s">
        <v>26</v>
      </c>
      <c r="E18" s="11" t="s">
        <v>27</v>
      </c>
      <c r="F18" s="12">
        <v>1994</v>
      </c>
      <c r="G18" s="12">
        <v>1994</v>
      </c>
      <c r="H18" s="14">
        <f t="shared" si="0"/>
        <v>1</v>
      </c>
      <c r="I18" s="15"/>
      <c r="J18" s="12"/>
      <c r="K18" s="16">
        <f t="shared" si="11"/>
        <v>1994</v>
      </c>
      <c r="L18" s="26">
        <v>36540988</v>
      </c>
      <c r="M18" s="13">
        <v>0</v>
      </c>
      <c r="N18" s="13">
        <v>0</v>
      </c>
      <c r="O18" s="17">
        <v>0</v>
      </c>
      <c r="P18" s="17">
        <v>0</v>
      </c>
      <c r="Q18" s="16">
        <f t="shared" si="4"/>
        <v>36540988</v>
      </c>
      <c r="R18" s="18">
        <f t="shared" si="5"/>
        <v>1</v>
      </c>
      <c r="S18" s="18">
        <f t="shared" si="6"/>
        <v>1</v>
      </c>
      <c r="T18" s="18">
        <f t="shared" si="7"/>
        <v>1</v>
      </c>
      <c r="U18" s="19">
        <v>0</v>
      </c>
      <c r="V18" s="20">
        <f t="shared" si="8"/>
        <v>0</v>
      </c>
      <c r="W18" s="20">
        <f t="shared" si="9"/>
        <v>0</v>
      </c>
      <c r="X18" s="11" t="s">
        <v>28</v>
      </c>
    </row>
    <row r="19" spans="1:24" ht="15">
      <c r="A19" s="9">
        <f t="shared" si="10"/>
        <v>17</v>
      </c>
      <c r="B19" s="10">
        <v>44896</v>
      </c>
      <c r="C19" s="21" t="s">
        <v>49</v>
      </c>
      <c r="D19" s="11" t="s">
        <v>26</v>
      </c>
      <c r="E19" s="11" t="s">
        <v>27</v>
      </c>
      <c r="F19" s="27"/>
      <c r="G19" s="27"/>
      <c r="H19" s="14">
        <f t="shared" si="0"/>
        <v>0</v>
      </c>
      <c r="I19" s="15"/>
      <c r="J19" s="15"/>
      <c r="K19" s="16">
        <f t="shared" si="11"/>
        <v>0</v>
      </c>
      <c r="L19" s="28"/>
      <c r="M19" s="13"/>
      <c r="N19" s="13"/>
      <c r="O19" s="17">
        <f t="shared" ref="O19:O21" si="12">N19+M19</f>
        <v>0</v>
      </c>
      <c r="P19" s="17">
        <f t="shared" ref="P19:P21" si="13">M19-N19</f>
        <v>0</v>
      </c>
      <c r="Q19" s="16">
        <f t="shared" si="4"/>
        <v>0</v>
      </c>
      <c r="R19" s="18">
        <f t="shared" si="5"/>
        <v>0</v>
      </c>
      <c r="S19" s="18">
        <f t="shared" si="6"/>
        <v>0</v>
      </c>
      <c r="T19" s="18">
        <f t="shared" si="7"/>
        <v>0</v>
      </c>
      <c r="U19" s="19">
        <v>0</v>
      </c>
      <c r="V19" s="20">
        <f t="shared" si="8"/>
        <v>0</v>
      </c>
      <c r="W19" s="20">
        <f t="shared" si="9"/>
        <v>0</v>
      </c>
      <c r="X19" s="25" t="s">
        <v>46</v>
      </c>
    </row>
    <row r="20" spans="1:24" ht="15">
      <c r="A20" s="9">
        <f t="shared" si="10"/>
        <v>18</v>
      </c>
      <c r="B20" s="10">
        <v>44896</v>
      </c>
      <c r="C20" s="21" t="s">
        <v>50</v>
      </c>
      <c r="D20" s="11" t="s">
        <v>26</v>
      </c>
      <c r="E20" s="11" t="s">
        <v>27</v>
      </c>
      <c r="F20" s="27">
        <v>122710</v>
      </c>
      <c r="G20" s="27">
        <v>111624</v>
      </c>
      <c r="H20" s="14">
        <f t="shared" si="0"/>
        <v>0.90965691467688048</v>
      </c>
      <c r="I20" s="15">
        <v>4346</v>
      </c>
      <c r="J20" s="15">
        <v>6740</v>
      </c>
      <c r="K20" s="16">
        <f t="shared" si="11"/>
        <v>100538</v>
      </c>
      <c r="L20" s="29">
        <v>2066144012</v>
      </c>
      <c r="M20" s="13">
        <v>22585462</v>
      </c>
      <c r="N20" s="13">
        <v>82647677</v>
      </c>
      <c r="O20" s="17">
        <f t="shared" si="12"/>
        <v>105233139</v>
      </c>
      <c r="P20" s="17">
        <f t="shared" si="13"/>
        <v>-60062215</v>
      </c>
      <c r="Q20" s="16">
        <f t="shared" si="4"/>
        <v>1960910873</v>
      </c>
      <c r="R20" s="18">
        <f t="shared" si="5"/>
        <v>0.90068444062208841</v>
      </c>
      <c r="S20" s="18">
        <f t="shared" si="6"/>
        <v>0.94906785858642273</v>
      </c>
      <c r="T20" s="18">
        <f t="shared" si="7"/>
        <v>1.0290697137523634</v>
      </c>
      <c r="U20" s="19">
        <v>0</v>
      </c>
      <c r="V20" s="20">
        <f t="shared" si="8"/>
        <v>3.8934279366444495E-2</v>
      </c>
      <c r="W20" s="20">
        <f t="shared" si="9"/>
        <v>6.0381280011467066E-2</v>
      </c>
      <c r="X20" s="25" t="s">
        <v>46</v>
      </c>
    </row>
    <row r="21" spans="1:24" ht="15">
      <c r="A21" s="30" t="s">
        <v>52</v>
      </c>
      <c r="B21" s="31"/>
      <c r="C21" s="31"/>
      <c r="D21" s="32"/>
      <c r="E21" s="32"/>
      <c r="F21" s="33">
        <f t="shared" ref="F21:G21" si="14">SUM(F3:F20)</f>
        <v>145617</v>
      </c>
      <c r="G21" s="33">
        <f t="shared" si="14"/>
        <v>134475</v>
      </c>
      <c r="H21" s="34">
        <f t="shared" si="0"/>
        <v>0.92348420857454827</v>
      </c>
      <c r="I21" s="33">
        <f t="shared" ref="I21:J21" si="15">SUM(I3:I20)</f>
        <v>4364</v>
      </c>
      <c r="J21" s="33">
        <f t="shared" si="15"/>
        <v>6772</v>
      </c>
      <c r="K21" s="35">
        <f t="shared" si="11"/>
        <v>123339</v>
      </c>
      <c r="L21" s="36">
        <f t="shared" ref="L21:N21" si="16">SUM(L3:L20)</f>
        <v>7536010256.0690002</v>
      </c>
      <c r="M21" s="37">
        <f t="shared" si="16"/>
        <v>22594141</v>
      </c>
      <c r="N21" s="37">
        <f t="shared" si="16"/>
        <v>82655454</v>
      </c>
      <c r="O21" s="38">
        <f t="shared" si="12"/>
        <v>105249595</v>
      </c>
      <c r="P21" s="38">
        <f t="shared" si="13"/>
        <v>-60061313</v>
      </c>
      <c r="Q21" s="39">
        <f t="shared" si="4"/>
        <v>7430760661.0690002</v>
      </c>
      <c r="R21" s="40">
        <f t="shared" si="5"/>
        <v>0.91718906860011151</v>
      </c>
      <c r="S21" s="40">
        <f t="shared" si="6"/>
        <v>0.98603377763250266</v>
      </c>
      <c r="T21" s="40">
        <f t="shared" si="7"/>
        <v>1.0079699086066969</v>
      </c>
      <c r="U21" s="31"/>
      <c r="V21" s="40">
        <f t="shared" si="8"/>
        <v>3.2452128648447667E-2</v>
      </c>
      <c r="W21" s="40">
        <f t="shared" si="9"/>
        <v>5.0358802751440786E-2</v>
      </c>
      <c r="X21" s="31"/>
    </row>
    <row r="22" spans="1:24" ht="1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4" ht="1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4" ht="15">
      <c r="A24" s="41"/>
      <c r="B24" s="5"/>
      <c r="C24" s="5"/>
      <c r="D24" s="5"/>
      <c r="E24" s="5"/>
      <c r="F24" s="5"/>
      <c r="G24" s="5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51.75">
      <c r="A25" s="43"/>
      <c r="B25" s="44" t="s">
        <v>53</v>
      </c>
      <c r="C25" s="45" t="s">
        <v>3</v>
      </c>
      <c r="D25" s="45" t="str">
        <f t="shared" ref="D25:D33" si="17">H2</f>
        <v>CC Adherance %</v>
      </c>
      <c r="E25" s="45" t="str">
        <f t="shared" ref="E25:G25" si="18">R2</f>
        <v>Inventory Record Accuracy (IRA)</v>
      </c>
      <c r="F25" s="45" t="str">
        <f t="shared" si="18"/>
        <v>Inventory Value Accuracy -GROSS
 (IVA)</v>
      </c>
      <c r="G25" s="45" t="str">
        <f t="shared" si="18"/>
        <v>Inventory Value Accuracy -NET 
 (IVA)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">
      <c r="A26" s="43"/>
      <c r="B26" s="46">
        <v>1</v>
      </c>
      <c r="C26" s="47" t="str">
        <f t="shared" ref="C26:C33" si="19">C3</f>
        <v>Bic Cello</v>
      </c>
      <c r="D26" s="48">
        <f t="shared" si="17"/>
        <v>1</v>
      </c>
      <c r="E26" s="49">
        <f t="shared" ref="E26:G26" si="20">R3</f>
        <v>1</v>
      </c>
      <c r="F26" s="49">
        <f t="shared" si="20"/>
        <v>1</v>
      </c>
      <c r="G26" s="49">
        <f t="shared" si="20"/>
        <v>1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15">
      <c r="A27" s="43"/>
      <c r="B27" s="46">
        <f t="shared" ref="B27:B40" si="21">B26+1</f>
        <v>2</v>
      </c>
      <c r="C27" s="47" t="str">
        <f t="shared" si="19"/>
        <v>Siemens Ind BGR</v>
      </c>
      <c r="D27" s="48">
        <f t="shared" si="17"/>
        <v>1</v>
      </c>
      <c r="E27" s="49">
        <f t="shared" ref="E27:G27" si="22">R4</f>
        <v>1</v>
      </c>
      <c r="F27" s="49">
        <f t="shared" si="22"/>
        <v>1</v>
      </c>
      <c r="G27" s="49">
        <f t="shared" si="22"/>
        <v>1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f t="shared" si="21"/>
        <v>3</v>
      </c>
      <c r="C28" s="47" t="str">
        <f t="shared" si="19"/>
        <v>Siemens SWGR Kalwa</v>
      </c>
      <c r="D28" s="48">
        <f t="shared" si="17"/>
        <v>1</v>
      </c>
      <c r="E28" s="49">
        <f t="shared" ref="E28:G28" si="23">R5</f>
        <v>1</v>
      </c>
      <c r="F28" s="49">
        <f t="shared" si="23"/>
        <v>1</v>
      </c>
      <c r="G28" s="49">
        <f t="shared" si="23"/>
        <v>1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si="21"/>
        <v>4</v>
      </c>
      <c r="C29" s="47" t="str">
        <f t="shared" si="19"/>
        <v>Siemens Vapi</v>
      </c>
      <c r="D29" s="48">
        <f t="shared" si="17"/>
        <v>1</v>
      </c>
      <c r="E29" s="49">
        <f t="shared" ref="E29:G29" si="24">R6</f>
        <v>1</v>
      </c>
      <c r="F29" s="49">
        <f t="shared" si="24"/>
        <v>1</v>
      </c>
      <c r="G29" s="49">
        <f t="shared" si="24"/>
        <v>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21"/>
        <v>5</v>
      </c>
      <c r="C30" s="47" t="str">
        <f t="shared" si="19"/>
        <v>Siemens Medical</v>
      </c>
      <c r="D30" s="48">
        <f t="shared" si="17"/>
        <v>0.98419354838709683</v>
      </c>
      <c r="E30" s="49">
        <f t="shared" ref="E30:G30" si="25">R7</f>
        <v>1</v>
      </c>
      <c r="F30" s="49">
        <f t="shared" si="25"/>
        <v>1</v>
      </c>
      <c r="G30" s="49">
        <f t="shared" si="25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21"/>
        <v>6</v>
      </c>
      <c r="C31" s="47" t="str">
        <f t="shared" si="19"/>
        <v>Godrej Interio</v>
      </c>
      <c r="D31" s="48">
        <f t="shared" si="17"/>
        <v>1</v>
      </c>
      <c r="E31" s="49">
        <f t="shared" ref="E31:G31" si="26">R8</f>
        <v>1</v>
      </c>
      <c r="F31" s="49">
        <f t="shared" si="26"/>
        <v>1</v>
      </c>
      <c r="G31" s="49">
        <f t="shared" si="26"/>
        <v>1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21"/>
        <v>7</v>
      </c>
      <c r="C32" s="47" t="str">
        <f t="shared" si="19"/>
        <v>Godrej Branch</v>
      </c>
      <c r="D32" s="48">
        <f t="shared" si="17"/>
        <v>1</v>
      </c>
      <c r="E32" s="49">
        <f t="shared" ref="E32:G32" si="27">R9</f>
        <v>0.99363636363636365</v>
      </c>
      <c r="F32" s="49">
        <f t="shared" si="27"/>
        <v>0.99829906944496638</v>
      </c>
      <c r="G32" s="49">
        <f t="shared" si="27"/>
        <v>0.99990676717545934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21"/>
        <v>8</v>
      </c>
      <c r="C33" s="47" t="str">
        <f t="shared" si="19"/>
        <v>Godrej spare</v>
      </c>
      <c r="D33" s="48">
        <f t="shared" si="17"/>
        <v>1</v>
      </c>
      <c r="E33" s="49">
        <f t="shared" ref="E33:G33" si="28">R10</f>
        <v>1</v>
      </c>
      <c r="F33" s="49">
        <f t="shared" si="28"/>
        <v>1</v>
      </c>
      <c r="G33" s="49">
        <f t="shared" si="28"/>
        <v>1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21"/>
        <v>9</v>
      </c>
      <c r="C34" s="47" t="str">
        <f t="shared" ref="C34:C37" si="29">C12</f>
        <v>Osram-BGR</v>
      </c>
      <c r="D34" s="48">
        <f t="shared" ref="D34:D37" si="30">H12</f>
        <v>1</v>
      </c>
      <c r="E34" s="49">
        <f t="shared" ref="E34:G34" si="31">R12</f>
        <v>1</v>
      </c>
      <c r="F34" s="49">
        <f t="shared" si="31"/>
        <v>1</v>
      </c>
      <c r="G34" s="49">
        <f t="shared" si="31"/>
        <v>1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21"/>
        <v>10</v>
      </c>
      <c r="C35" s="47" t="str">
        <f t="shared" si="29"/>
        <v>Celio</v>
      </c>
      <c r="D35" s="48">
        <f t="shared" si="30"/>
        <v>0.95333333333333337</v>
      </c>
      <c r="E35" s="49">
        <f t="shared" ref="E35:G35" si="32">R13</f>
        <v>0.74825174825174823</v>
      </c>
      <c r="F35" s="49">
        <f t="shared" si="32"/>
        <v>1</v>
      </c>
      <c r="G35" s="49">
        <f t="shared" si="32"/>
        <v>1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21"/>
        <v>11</v>
      </c>
      <c r="C36" s="47" t="str">
        <f t="shared" si="29"/>
        <v>Welspun-BGR</v>
      </c>
      <c r="D36" s="48">
        <f t="shared" si="30"/>
        <v>0</v>
      </c>
      <c r="E36" s="49">
        <f t="shared" ref="E36:G36" si="33">R14</f>
        <v>0</v>
      </c>
      <c r="F36" s="49">
        <f t="shared" si="33"/>
        <v>0</v>
      </c>
      <c r="G36" s="49">
        <f t="shared" si="33"/>
        <v>0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21"/>
        <v>12</v>
      </c>
      <c r="C37" s="47" t="str">
        <f t="shared" si="29"/>
        <v>Hansgrohe-BGR</v>
      </c>
      <c r="D37" s="48">
        <f t="shared" si="30"/>
        <v>1</v>
      </c>
      <c r="E37" s="49">
        <f t="shared" ref="E37:G37" si="34">R15</f>
        <v>1</v>
      </c>
      <c r="F37" s="49">
        <f t="shared" si="34"/>
        <v>1</v>
      </c>
      <c r="G37" s="49">
        <f t="shared" si="34"/>
        <v>1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21"/>
        <v>13</v>
      </c>
      <c r="C38" s="47" t="str">
        <f t="shared" ref="C38:C40" si="35">C18</f>
        <v>Siemens BT-BGR</v>
      </c>
      <c r="D38" s="48">
        <f t="shared" ref="D38:D40" si="36">H18</f>
        <v>1</v>
      </c>
      <c r="E38" s="49">
        <f t="shared" ref="E38:G38" si="37">R18</f>
        <v>1</v>
      </c>
      <c r="F38" s="49">
        <f t="shared" si="37"/>
        <v>1</v>
      </c>
      <c r="G38" s="49">
        <f t="shared" si="37"/>
        <v>1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21"/>
        <v>14</v>
      </c>
      <c r="C39" s="47" t="str">
        <f t="shared" si="35"/>
        <v>PVMI-BGR</v>
      </c>
      <c r="D39" s="48">
        <f t="shared" si="36"/>
        <v>0</v>
      </c>
      <c r="E39" s="49">
        <f t="shared" ref="E39:G39" si="38">R19</f>
        <v>0</v>
      </c>
      <c r="F39" s="49">
        <f t="shared" si="38"/>
        <v>0</v>
      </c>
      <c r="G39" s="49">
        <f t="shared" si="38"/>
        <v>0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>
      <c r="A40" s="43"/>
      <c r="B40" s="46">
        <f t="shared" si="21"/>
        <v>15</v>
      </c>
      <c r="C40" s="47" t="str">
        <f t="shared" si="35"/>
        <v>RBL</v>
      </c>
      <c r="D40" s="48">
        <f t="shared" si="36"/>
        <v>0.90965691467688048</v>
      </c>
      <c r="E40" s="49">
        <f t="shared" ref="E40:G40" si="39">R20</f>
        <v>0.90068444062208841</v>
      </c>
      <c r="F40" s="49">
        <f t="shared" si="39"/>
        <v>0.94906785858642273</v>
      </c>
      <c r="G40" s="49">
        <f t="shared" si="39"/>
        <v>1.0290697137523634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spans="1:24" ht="12.75">
      <c r="A41" s="50"/>
    </row>
  </sheetData>
  <mergeCells count="2">
    <mergeCell ref="A1:C1"/>
    <mergeCell ref="F1:H1"/>
  </mergeCells>
  <pageMargins left="0.7" right="0.7" top="0.75" bottom="0.75" header="0.3" footer="0.3"/>
  <headerFooter>
    <oddHeader>&amp;C&amp;"Calibri"&amp;10&amp;K000000 Public&amp;1#_x000D_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5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6.28515625" customWidth="1"/>
    <col min="2" max="2" width="9.42578125" customWidth="1"/>
    <col min="4" max="4" width="8.42578125" customWidth="1"/>
    <col min="5" max="5" width="9.85546875" customWidth="1"/>
    <col min="24" max="24" width="22.7109375" customWidth="1"/>
  </cols>
  <sheetData>
    <row r="1" spans="1:26" ht="36.75" customHeight="1">
      <c r="A1" s="115"/>
      <c r="B1" s="116"/>
      <c r="C1" s="117"/>
      <c r="D1" s="1"/>
      <c r="E1" s="2"/>
      <c r="F1" s="118" t="s">
        <v>64</v>
      </c>
      <c r="G1" s="116"/>
      <c r="H1" s="116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6" ht="4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7" t="s">
        <v>22</v>
      </c>
      <c r="W2" s="7" t="s">
        <v>23</v>
      </c>
      <c r="X2" s="6" t="s">
        <v>24</v>
      </c>
      <c r="Y2" s="50"/>
      <c r="Z2" s="50"/>
    </row>
    <row r="3" spans="1:26" ht="15">
      <c r="A3" s="9">
        <v>1</v>
      </c>
      <c r="B3" s="10">
        <v>44866</v>
      </c>
      <c r="C3" s="25" t="s">
        <v>25</v>
      </c>
      <c r="D3" s="11" t="s">
        <v>26</v>
      </c>
      <c r="E3" s="11" t="s">
        <v>27</v>
      </c>
      <c r="F3" s="12">
        <v>2217</v>
      </c>
      <c r="G3" s="13">
        <v>2217</v>
      </c>
      <c r="H3" s="14">
        <f t="shared" ref="H3:H23" si="0">IFERROR(G3/F3,0)</f>
        <v>1</v>
      </c>
      <c r="I3" s="15">
        <v>0</v>
      </c>
      <c r="J3" s="15">
        <v>0</v>
      </c>
      <c r="K3" s="16">
        <f t="shared" ref="K3:K15" si="1">G3-I3-J3</f>
        <v>2217</v>
      </c>
      <c r="L3" s="12">
        <f>220902*5000</f>
        <v>1104510000</v>
      </c>
      <c r="M3" s="13">
        <f t="shared" ref="M3:M5" si="2">I3*5000</f>
        <v>0</v>
      </c>
      <c r="N3" s="13">
        <f t="shared" ref="N3:N5" si="3">-J3*5000</f>
        <v>0</v>
      </c>
      <c r="O3" s="17">
        <f t="shared" ref="O3:O17" si="4">N3+M3</f>
        <v>0</v>
      </c>
      <c r="P3" s="17">
        <f t="shared" ref="P3:P17" si="5">M3-N3</f>
        <v>0</v>
      </c>
      <c r="Q3" s="16">
        <f t="shared" ref="Q3:Q17" si="6">IFERROR(L3-N3-M3,0)</f>
        <v>1104510000</v>
      </c>
      <c r="R3" s="18">
        <f t="shared" ref="R3:R23" si="7">IFERROR((K3/G3),0)</f>
        <v>1</v>
      </c>
      <c r="S3" s="18">
        <f t="shared" ref="S3:S23" si="8">IFERROR(1-(O3/L3),0)</f>
        <v>1</v>
      </c>
      <c r="T3" s="18">
        <f t="shared" ref="T3:T23" si="9">IFERROR(1-(P3/L3),0)</f>
        <v>1</v>
      </c>
      <c r="U3" s="19">
        <v>1E-3</v>
      </c>
      <c r="V3" s="20">
        <f t="shared" ref="V3:V23" si="10">IFERROR(I3/G3,0)</f>
        <v>0</v>
      </c>
      <c r="W3" s="20">
        <f t="shared" ref="W3:W23" si="11">IFERROR(J3/G3,0)</f>
        <v>0</v>
      </c>
      <c r="X3" s="11" t="s">
        <v>28</v>
      </c>
    </row>
    <row r="4" spans="1:26" ht="15">
      <c r="A4" s="9">
        <f t="shared" ref="A4:A22" si="12">A3+1</f>
        <v>2</v>
      </c>
      <c r="B4" s="10">
        <v>44866</v>
      </c>
      <c r="C4" s="25" t="s">
        <v>65</v>
      </c>
      <c r="D4" s="11" t="s">
        <v>26</v>
      </c>
      <c r="E4" s="11" t="s">
        <v>27</v>
      </c>
      <c r="F4" s="12">
        <v>6095</v>
      </c>
      <c r="G4" s="13">
        <v>6095</v>
      </c>
      <c r="H4" s="14">
        <f t="shared" si="0"/>
        <v>1</v>
      </c>
      <c r="I4" s="15">
        <v>0</v>
      </c>
      <c r="J4" s="15">
        <v>0</v>
      </c>
      <c r="K4" s="16">
        <f t="shared" si="1"/>
        <v>6095</v>
      </c>
      <c r="L4" s="12">
        <v>3153715321</v>
      </c>
      <c r="M4" s="13">
        <f t="shared" si="2"/>
        <v>0</v>
      </c>
      <c r="N4" s="13">
        <f t="shared" si="3"/>
        <v>0</v>
      </c>
      <c r="O4" s="17">
        <f t="shared" si="4"/>
        <v>0</v>
      </c>
      <c r="P4" s="17">
        <f t="shared" si="5"/>
        <v>0</v>
      </c>
      <c r="Q4" s="16">
        <f t="shared" si="6"/>
        <v>3153715321</v>
      </c>
      <c r="R4" s="18">
        <f t="shared" si="7"/>
        <v>1</v>
      </c>
      <c r="S4" s="18">
        <f t="shared" si="8"/>
        <v>1</v>
      </c>
      <c r="T4" s="18">
        <f t="shared" si="9"/>
        <v>1</v>
      </c>
      <c r="U4" s="19">
        <v>1.5E-3</v>
      </c>
      <c r="V4" s="20">
        <f t="shared" si="10"/>
        <v>0</v>
      </c>
      <c r="W4" s="20">
        <f t="shared" si="11"/>
        <v>0</v>
      </c>
      <c r="X4" s="11" t="s">
        <v>28</v>
      </c>
    </row>
    <row r="5" spans="1:26" ht="15">
      <c r="A5" s="9">
        <f t="shared" si="12"/>
        <v>3</v>
      </c>
      <c r="B5" s="10">
        <v>44866</v>
      </c>
      <c r="C5" s="25" t="s">
        <v>66</v>
      </c>
      <c r="D5" s="11" t="s">
        <v>26</v>
      </c>
      <c r="E5" s="11" t="s">
        <v>27</v>
      </c>
      <c r="F5" s="27">
        <v>297</v>
      </c>
      <c r="G5" s="13">
        <v>297</v>
      </c>
      <c r="H5" s="14">
        <f t="shared" si="0"/>
        <v>1</v>
      </c>
      <c r="I5" s="15">
        <v>0</v>
      </c>
      <c r="J5" s="15">
        <v>0</v>
      </c>
      <c r="K5" s="16">
        <f t="shared" si="1"/>
        <v>297</v>
      </c>
      <c r="L5" s="12">
        <v>12300013</v>
      </c>
      <c r="M5" s="13">
        <f t="shared" si="2"/>
        <v>0</v>
      </c>
      <c r="N5" s="13">
        <f t="shared" si="3"/>
        <v>0</v>
      </c>
      <c r="O5" s="17">
        <f t="shared" si="4"/>
        <v>0</v>
      </c>
      <c r="P5" s="17">
        <f t="shared" si="5"/>
        <v>0</v>
      </c>
      <c r="Q5" s="16">
        <f t="shared" si="6"/>
        <v>12300013</v>
      </c>
      <c r="R5" s="18">
        <f t="shared" si="7"/>
        <v>1</v>
      </c>
      <c r="S5" s="18">
        <f t="shared" si="8"/>
        <v>1</v>
      </c>
      <c r="T5" s="18">
        <f t="shared" si="9"/>
        <v>1</v>
      </c>
      <c r="U5" s="19">
        <v>0</v>
      </c>
      <c r="V5" s="20">
        <f t="shared" si="10"/>
        <v>0</v>
      </c>
      <c r="W5" s="20">
        <f t="shared" si="11"/>
        <v>0</v>
      </c>
      <c r="X5" s="11" t="s">
        <v>28</v>
      </c>
    </row>
    <row r="6" spans="1:26" ht="15">
      <c r="A6" s="9">
        <f t="shared" si="12"/>
        <v>4</v>
      </c>
      <c r="B6" s="10">
        <v>44866</v>
      </c>
      <c r="C6" s="25" t="s">
        <v>31</v>
      </c>
      <c r="D6" s="11" t="s">
        <v>26</v>
      </c>
      <c r="E6" s="11" t="s">
        <v>27</v>
      </c>
      <c r="F6" s="12">
        <v>534</v>
      </c>
      <c r="G6" s="13">
        <v>534</v>
      </c>
      <c r="H6" s="14">
        <f t="shared" si="0"/>
        <v>1</v>
      </c>
      <c r="I6" s="15">
        <v>0</v>
      </c>
      <c r="J6" s="15">
        <v>0</v>
      </c>
      <c r="K6" s="16">
        <f t="shared" si="1"/>
        <v>534</v>
      </c>
      <c r="L6" s="12">
        <v>258168057</v>
      </c>
      <c r="M6" s="13">
        <v>0</v>
      </c>
      <c r="N6" s="13">
        <v>0</v>
      </c>
      <c r="O6" s="17">
        <f t="shared" si="4"/>
        <v>0</v>
      </c>
      <c r="P6" s="17">
        <f t="shared" si="5"/>
        <v>0</v>
      </c>
      <c r="Q6" s="16">
        <f t="shared" si="6"/>
        <v>258168057</v>
      </c>
      <c r="R6" s="18">
        <f t="shared" si="7"/>
        <v>1</v>
      </c>
      <c r="S6" s="18">
        <f t="shared" si="8"/>
        <v>1</v>
      </c>
      <c r="T6" s="18">
        <f t="shared" si="9"/>
        <v>1</v>
      </c>
      <c r="U6" s="19">
        <v>1.5E-3</v>
      </c>
      <c r="V6" s="20">
        <f t="shared" si="10"/>
        <v>0</v>
      </c>
      <c r="W6" s="20">
        <f t="shared" si="11"/>
        <v>0</v>
      </c>
      <c r="X6" s="11" t="s">
        <v>28</v>
      </c>
    </row>
    <row r="7" spans="1:26" ht="15">
      <c r="A7" s="9">
        <f t="shared" si="12"/>
        <v>5</v>
      </c>
      <c r="B7" s="10">
        <v>44866</v>
      </c>
      <c r="C7" s="25" t="s">
        <v>32</v>
      </c>
      <c r="D7" s="11" t="s">
        <v>26</v>
      </c>
      <c r="E7" s="11" t="s">
        <v>27</v>
      </c>
      <c r="F7" s="12">
        <v>2700</v>
      </c>
      <c r="G7" s="13">
        <v>2656</v>
      </c>
      <c r="H7" s="14">
        <f t="shared" si="0"/>
        <v>0.98370370370370375</v>
      </c>
      <c r="I7" s="15">
        <v>0</v>
      </c>
      <c r="J7" s="15">
        <v>0</v>
      </c>
      <c r="K7" s="16">
        <f t="shared" si="1"/>
        <v>2656</v>
      </c>
      <c r="L7" s="12">
        <v>410935928</v>
      </c>
      <c r="M7" s="13">
        <v>0</v>
      </c>
      <c r="N7" s="13">
        <v>0</v>
      </c>
      <c r="O7" s="17">
        <f t="shared" si="4"/>
        <v>0</v>
      </c>
      <c r="P7" s="17">
        <f t="shared" si="5"/>
        <v>0</v>
      </c>
      <c r="Q7" s="16">
        <f t="shared" si="6"/>
        <v>410935928</v>
      </c>
      <c r="R7" s="18">
        <f t="shared" si="7"/>
        <v>1</v>
      </c>
      <c r="S7" s="18">
        <f t="shared" si="8"/>
        <v>1</v>
      </c>
      <c r="T7" s="18">
        <f t="shared" si="9"/>
        <v>1</v>
      </c>
      <c r="U7" s="19">
        <v>1.5E-3</v>
      </c>
      <c r="V7" s="20">
        <f t="shared" si="10"/>
        <v>0</v>
      </c>
      <c r="W7" s="20">
        <f t="shared" si="11"/>
        <v>0</v>
      </c>
      <c r="X7" s="11" t="s">
        <v>33</v>
      </c>
    </row>
    <row r="8" spans="1:26" ht="15">
      <c r="A8" s="9">
        <f t="shared" si="12"/>
        <v>6</v>
      </c>
      <c r="B8" s="10">
        <v>44866</v>
      </c>
      <c r="C8" s="25" t="s">
        <v>34</v>
      </c>
      <c r="D8" s="11" t="s">
        <v>26</v>
      </c>
      <c r="E8" s="11" t="s">
        <v>27</v>
      </c>
      <c r="F8" s="12">
        <v>922</v>
      </c>
      <c r="G8" s="12">
        <v>922</v>
      </c>
      <c r="H8" s="14">
        <f t="shared" si="0"/>
        <v>1</v>
      </c>
      <c r="I8" s="15">
        <v>0</v>
      </c>
      <c r="J8" s="15">
        <v>0</v>
      </c>
      <c r="K8" s="16">
        <f t="shared" si="1"/>
        <v>922</v>
      </c>
      <c r="L8" s="12">
        <v>59216165</v>
      </c>
      <c r="M8" s="13">
        <v>0</v>
      </c>
      <c r="N8" s="13">
        <v>0</v>
      </c>
      <c r="O8" s="17">
        <f t="shared" si="4"/>
        <v>0</v>
      </c>
      <c r="P8" s="17">
        <f t="shared" si="5"/>
        <v>0</v>
      </c>
      <c r="Q8" s="16">
        <f t="shared" si="6"/>
        <v>59216165</v>
      </c>
      <c r="R8" s="18">
        <f t="shared" si="7"/>
        <v>1</v>
      </c>
      <c r="S8" s="18">
        <f t="shared" si="8"/>
        <v>1</v>
      </c>
      <c r="T8" s="18">
        <f t="shared" si="9"/>
        <v>1</v>
      </c>
      <c r="U8" s="19">
        <v>0</v>
      </c>
      <c r="V8" s="20">
        <f t="shared" si="10"/>
        <v>0</v>
      </c>
      <c r="W8" s="20">
        <f t="shared" si="11"/>
        <v>0</v>
      </c>
      <c r="X8" s="11" t="s">
        <v>28</v>
      </c>
    </row>
    <row r="9" spans="1:26" ht="15">
      <c r="A9" s="9">
        <f t="shared" si="12"/>
        <v>7</v>
      </c>
      <c r="B9" s="10">
        <v>44866</v>
      </c>
      <c r="C9" s="25" t="s">
        <v>37</v>
      </c>
      <c r="D9" s="11" t="s">
        <v>26</v>
      </c>
      <c r="E9" s="11" t="s">
        <v>27</v>
      </c>
      <c r="F9" s="12">
        <v>1150</v>
      </c>
      <c r="G9" s="13">
        <v>1150</v>
      </c>
      <c r="H9" s="14">
        <f t="shared" si="0"/>
        <v>1</v>
      </c>
      <c r="I9" s="15">
        <v>1</v>
      </c>
      <c r="J9" s="15">
        <v>3</v>
      </c>
      <c r="K9" s="16">
        <f t="shared" si="1"/>
        <v>1146</v>
      </c>
      <c r="L9" s="12">
        <v>9093421.3399999999</v>
      </c>
      <c r="M9" s="13">
        <v>230</v>
      </c>
      <c r="N9" s="13">
        <v>823.4</v>
      </c>
      <c r="O9" s="17">
        <f t="shared" si="4"/>
        <v>1053.4000000000001</v>
      </c>
      <c r="P9" s="17">
        <f t="shared" si="5"/>
        <v>-593.4</v>
      </c>
      <c r="Q9" s="16">
        <f t="shared" si="6"/>
        <v>9092367.9399999995</v>
      </c>
      <c r="R9" s="18">
        <f t="shared" si="7"/>
        <v>0.99652173913043474</v>
      </c>
      <c r="S9" s="18">
        <f t="shared" si="8"/>
        <v>0.99988415801263197</v>
      </c>
      <c r="T9" s="18">
        <f t="shared" si="9"/>
        <v>1.0000652559666832</v>
      </c>
      <c r="U9" s="19">
        <v>5.0000000000000001E-4</v>
      </c>
      <c r="V9" s="20">
        <f t="shared" si="10"/>
        <v>8.6956521739130438E-4</v>
      </c>
      <c r="W9" s="20">
        <f t="shared" si="11"/>
        <v>2.6086956521739132E-3</v>
      </c>
      <c r="X9" s="11" t="s">
        <v>28</v>
      </c>
    </row>
    <row r="10" spans="1:26" ht="15">
      <c r="A10" s="9">
        <f t="shared" si="12"/>
        <v>8</v>
      </c>
      <c r="B10" s="10">
        <v>44866</v>
      </c>
      <c r="C10" s="25" t="s">
        <v>38</v>
      </c>
      <c r="D10" s="11" t="s">
        <v>26</v>
      </c>
      <c r="E10" s="11" t="s">
        <v>27</v>
      </c>
      <c r="F10" s="12">
        <v>617</v>
      </c>
      <c r="G10" s="13">
        <v>617</v>
      </c>
      <c r="H10" s="14">
        <f t="shared" si="0"/>
        <v>1</v>
      </c>
      <c r="I10" s="13">
        <v>0</v>
      </c>
      <c r="J10" s="13">
        <v>0</v>
      </c>
      <c r="K10" s="16">
        <f t="shared" si="1"/>
        <v>617</v>
      </c>
      <c r="L10" s="12">
        <v>4612083</v>
      </c>
      <c r="M10" s="13">
        <v>0</v>
      </c>
      <c r="N10" s="13">
        <v>0</v>
      </c>
      <c r="O10" s="17">
        <f t="shared" si="4"/>
        <v>0</v>
      </c>
      <c r="P10" s="17">
        <f t="shared" si="5"/>
        <v>0</v>
      </c>
      <c r="Q10" s="16">
        <f t="shared" si="6"/>
        <v>4612083</v>
      </c>
      <c r="R10" s="18">
        <f t="shared" si="7"/>
        <v>1</v>
      </c>
      <c r="S10" s="18">
        <f t="shared" si="8"/>
        <v>1</v>
      </c>
      <c r="T10" s="18">
        <f t="shared" si="9"/>
        <v>1</v>
      </c>
      <c r="U10" s="19">
        <v>0</v>
      </c>
      <c r="V10" s="20">
        <f t="shared" si="10"/>
        <v>0</v>
      </c>
      <c r="W10" s="20">
        <f t="shared" si="11"/>
        <v>0</v>
      </c>
      <c r="X10" s="11" t="s">
        <v>28</v>
      </c>
    </row>
    <row r="11" spans="1:26" ht="15">
      <c r="A11" s="9">
        <f t="shared" si="12"/>
        <v>9</v>
      </c>
      <c r="B11" s="10">
        <v>44866</v>
      </c>
      <c r="C11" s="25" t="s">
        <v>39</v>
      </c>
      <c r="D11" s="11" t="s">
        <v>26</v>
      </c>
      <c r="E11" s="11" t="s">
        <v>27</v>
      </c>
      <c r="F11" s="12">
        <v>773</v>
      </c>
      <c r="G11" s="13">
        <v>773</v>
      </c>
      <c r="H11" s="14">
        <f t="shared" si="0"/>
        <v>1</v>
      </c>
      <c r="I11" s="15">
        <v>0</v>
      </c>
      <c r="J11" s="15">
        <v>0</v>
      </c>
      <c r="K11" s="16">
        <f t="shared" si="1"/>
        <v>773</v>
      </c>
      <c r="L11" s="12">
        <v>4379049</v>
      </c>
      <c r="M11" s="13">
        <v>0</v>
      </c>
      <c r="N11" s="13">
        <v>0</v>
      </c>
      <c r="O11" s="17">
        <f t="shared" si="4"/>
        <v>0</v>
      </c>
      <c r="P11" s="17">
        <f t="shared" si="5"/>
        <v>0</v>
      </c>
      <c r="Q11" s="16">
        <f t="shared" si="6"/>
        <v>4379049</v>
      </c>
      <c r="R11" s="18">
        <f t="shared" si="7"/>
        <v>1</v>
      </c>
      <c r="S11" s="18">
        <f t="shared" si="8"/>
        <v>1</v>
      </c>
      <c r="T11" s="18">
        <f t="shared" si="9"/>
        <v>1</v>
      </c>
      <c r="U11" s="19">
        <v>0</v>
      </c>
      <c r="V11" s="20">
        <f t="shared" si="10"/>
        <v>0</v>
      </c>
      <c r="W11" s="20">
        <f t="shared" si="11"/>
        <v>0</v>
      </c>
      <c r="X11" s="11" t="s">
        <v>28</v>
      </c>
    </row>
    <row r="12" spans="1:26" ht="15">
      <c r="A12" s="9">
        <f t="shared" si="12"/>
        <v>10</v>
      </c>
      <c r="B12" s="10">
        <v>44866</v>
      </c>
      <c r="C12" s="25" t="s">
        <v>67</v>
      </c>
      <c r="D12" s="11" t="s">
        <v>26</v>
      </c>
      <c r="E12" s="11" t="s">
        <v>27</v>
      </c>
      <c r="F12" s="12">
        <v>414</v>
      </c>
      <c r="G12" s="13">
        <v>414</v>
      </c>
      <c r="H12" s="14">
        <f t="shared" si="0"/>
        <v>1</v>
      </c>
      <c r="I12" s="15">
        <v>0</v>
      </c>
      <c r="J12" s="15">
        <v>0</v>
      </c>
      <c r="K12" s="16">
        <f t="shared" si="1"/>
        <v>414</v>
      </c>
      <c r="L12" s="12">
        <v>267742493</v>
      </c>
      <c r="M12" s="13">
        <v>0</v>
      </c>
      <c r="N12" s="13">
        <v>0</v>
      </c>
      <c r="O12" s="17">
        <f t="shared" si="4"/>
        <v>0</v>
      </c>
      <c r="P12" s="17">
        <f t="shared" si="5"/>
        <v>0</v>
      </c>
      <c r="Q12" s="16">
        <f t="shared" si="6"/>
        <v>267742493</v>
      </c>
      <c r="R12" s="18">
        <f t="shared" si="7"/>
        <v>1</v>
      </c>
      <c r="S12" s="18">
        <f t="shared" si="8"/>
        <v>1</v>
      </c>
      <c r="T12" s="18">
        <f t="shared" si="9"/>
        <v>1</v>
      </c>
      <c r="U12" s="19">
        <v>0</v>
      </c>
      <c r="V12" s="20">
        <f t="shared" si="10"/>
        <v>0</v>
      </c>
      <c r="W12" s="20">
        <f t="shared" si="11"/>
        <v>0</v>
      </c>
      <c r="X12" s="11" t="s">
        <v>28</v>
      </c>
    </row>
    <row r="13" spans="1:26" ht="15">
      <c r="A13" s="9">
        <f t="shared" si="12"/>
        <v>11</v>
      </c>
      <c r="B13" s="10">
        <v>44866</v>
      </c>
      <c r="C13" s="25" t="s">
        <v>42</v>
      </c>
      <c r="D13" s="11" t="s">
        <v>26</v>
      </c>
      <c r="E13" s="11" t="s">
        <v>27</v>
      </c>
      <c r="F13" s="12">
        <v>500</v>
      </c>
      <c r="G13" s="13">
        <v>576</v>
      </c>
      <c r="H13" s="14">
        <f t="shared" si="0"/>
        <v>1.1519999999999999</v>
      </c>
      <c r="I13" s="13">
        <v>10</v>
      </c>
      <c r="J13" s="13">
        <v>11</v>
      </c>
      <c r="K13" s="16">
        <f t="shared" si="1"/>
        <v>555</v>
      </c>
      <c r="L13" s="51" t="s">
        <v>55</v>
      </c>
      <c r="M13" s="13">
        <v>0</v>
      </c>
      <c r="N13" s="13">
        <v>0</v>
      </c>
      <c r="O13" s="17">
        <f t="shared" si="4"/>
        <v>0</v>
      </c>
      <c r="P13" s="17">
        <f t="shared" si="5"/>
        <v>0</v>
      </c>
      <c r="Q13" s="16">
        <f t="shared" si="6"/>
        <v>0</v>
      </c>
      <c r="R13" s="18">
        <f t="shared" si="7"/>
        <v>0.96354166666666663</v>
      </c>
      <c r="S13" s="18">
        <f t="shared" si="8"/>
        <v>0</v>
      </c>
      <c r="T13" s="18">
        <f t="shared" si="9"/>
        <v>0</v>
      </c>
      <c r="U13" s="19">
        <v>0</v>
      </c>
      <c r="V13" s="20">
        <f t="shared" si="10"/>
        <v>1.7361111111111112E-2</v>
      </c>
      <c r="W13" s="20">
        <f t="shared" si="11"/>
        <v>1.9097222222222224E-2</v>
      </c>
      <c r="X13" s="11" t="s">
        <v>28</v>
      </c>
    </row>
    <row r="14" spans="1:26" ht="15">
      <c r="A14" s="9">
        <f t="shared" si="12"/>
        <v>12</v>
      </c>
      <c r="B14" s="10">
        <v>44866</v>
      </c>
      <c r="C14" s="25" t="s">
        <v>68</v>
      </c>
      <c r="D14" s="11" t="s">
        <v>26</v>
      </c>
      <c r="E14" s="11" t="s">
        <v>27</v>
      </c>
      <c r="F14" s="12">
        <v>6000</v>
      </c>
      <c r="G14" s="12">
        <v>5986</v>
      </c>
      <c r="H14" s="14">
        <f t="shared" si="0"/>
        <v>0.9976666666666667</v>
      </c>
      <c r="I14" s="15">
        <v>375</v>
      </c>
      <c r="J14" s="15">
        <v>223</v>
      </c>
      <c r="K14" s="16">
        <f t="shared" si="1"/>
        <v>5388</v>
      </c>
      <c r="L14" s="12">
        <v>18906080</v>
      </c>
      <c r="M14" s="13">
        <v>658140</v>
      </c>
      <c r="N14" s="13">
        <v>107417</v>
      </c>
      <c r="O14" s="17">
        <f t="shared" si="4"/>
        <v>765557</v>
      </c>
      <c r="P14" s="17">
        <f t="shared" si="5"/>
        <v>550723</v>
      </c>
      <c r="Q14" s="16">
        <f t="shared" si="6"/>
        <v>18140523</v>
      </c>
      <c r="R14" s="18">
        <f t="shared" si="7"/>
        <v>0.90010023387905114</v>
      </c>
      <c r="S14" s="18">
        <f t="shared" si="8"/>
        <v>0.95950736482655319</v>
      </c>
      <c r="T14" s="18">
        <f t="shared" si="9"/>
        <v>0.97087058766280476</v>
      </c>
      <c r="U14" s="19">
        <v>3.0000000000000001E-3</v>
      </c>
      <c r="V14" s="20">
        <f t="shared" si="10"/>
        <v>6.2646174406949542E-2</v>
      </c>
      <c r="W14" s="20">
        <f t="shared" si="11"/>
        <v>3.7253591713999334E-2</v>
      </c>
      <c r="X14" s="11" t="s">
        <v>28</v>
      </c>
    </row>
    <row r="15" spans="1:26" ht="15">
      <c r="A15" s="52">
        <f t="shared" si="12"/>
        <v>13</v>
      </c>
      <c r="B15" s="10">
        <v>44866</v>
      </c>
      <c r="C15" s="25" t="s">
        <v>69</v>
      </c>
      <c r="D15" s="11" t="s">
        <v>26</v>
      </c>
      <c r="E15" s="11" t="s">
        <v>27</v>
      </c>
      <c r="F15" s="12">
        <v>1831</v>
      </c>
      <c r="G15" s="12">
        <v>1831</v>
      </c>
      <c r="H15" s="14">
        <f t="shared" si="0"/>
        <v>1</v>
      </c>
      <c r="I15" s="15"/>
      <c r="J15" s="15"/>
      <c r="K15" s="16">
        <f t="shared" si="1"/>
        <v>1831</v>
      </c>
      <c r="L15" s="12">
        <v>1021349</v>
      </c>
      <c r="M15" s="13">
        <v>0</v>
      </c>
      <c r="N15" s="13">
        <v>0</v>
      </c>
      <c r="O15" s="17">
        <f t="shared" si="4"/>
        <v>0</v>
      </c>
      <c r="P15" s="17">
        <f t="shared" si="5"/>
        <v>0</v>
      </c>
      <c r="Q15" s="16">
        <f t="shared" si="6"/>
        <v>1021349</v>
      </c>
      <c r="R15" s="18">
        <f t="shared" si="7"/>
        <v>1</v>
      </c>
      <c r="S15" s="18">
        <f t="shared" si="8"/>
        <v>1</v>
      </c>
      <c r="T15" s="18">
        <f t="shared" si="9"/>
        <v>1</v>
      </c>
      <c r="U15" s="19">
        <v>0</v>
      </c>
      <c r="V15" s="20">
        <f t="shared" si="10"/>
        <v>0</v>
      </c>
      <c r="W15" s="20">
        <f t="shared" si="11"/>
        <v>0</v>
      </c>
      <c r="X15" s="11" t="s">
        <v>28</v>
      </c>
    </row>
    <row r="16" spans="1:26" ht="15">
      <c r="A16" s="9">
        <f t="shared" si="12"/>
        <v>14</v>
      </c>
      <c r="B16" s="10">
        <v>44866</v>
      </c>
      <c r="C16" s="25" t="s">
        <v>70</v>
      </c>
      <c r="D16" s="11" t="s">
        <v>26</v>
      </c>
      <c r="E16" s="11" t="s">
        <v>27</v>
      </c>
      <c r="F16" s="12"/>
      <c r="G16" s="12"/>
      <c r="H16" s="14">
        <f t="shared" si="0"/>
        <v>0</v>
      </c>
      <c r="I16" s="15"/>
      <c r="J16" s="15"/>
      <c r="K16" s="16"/>
      <c r="L16" s="26"/>
      <c r="M16" s="13">
        <v>0</v>
      </c>
      <c r="N16" s="13">
        <v>0</v>
      </c>
      <c r="O16" s="17">
        <f t="shared" si="4"/>
        <v>0</v>
      </c>
      <c r="P16" s="17">
        <f t="shared" si="5"/>
        <v>0</v>
      </c>
      <c r="Q16" s="16">
        <f t="shared" si="6"/>
        <v>0</v>
      </c>
      <c r="R16" s="18">
        <f t="shared" si="7"/>
        <v>0</v>
      </c>
      <c r="S16" s="18">
        <f t="shared" si="8"/>
        <v>0</v>
      </c>
      <c r="T16" s="18">
        <f t="shared" si="9"/>
        <v>0</v>
      </c>
      <c r="U16" s="19">
        <v>0</v>
      </c>
      <c r="V16" s="20">
        <f t="shared" si="10"/>
        <v>0</v>
      </c>
      <c r="W16" s="20">
        <f t="shared" si="11"/>
        <v>0</v>
      </c>
      <c r="X16" s="11" t="s">
        <v>28</v>
      </c>
    </row>
    <row r="17" spans="1:24" ht="15">
      <c r="A17" s="9">
        <f t="shared" si="12"/>
        <v>15</v>
      </c>
      <c r="B17" s="10">
        <v>44866</v>
      </c>
      <c r="C17" s="25" t="s">
        <v>71</v>
      </c>
      <c r="D17" s="11" t="s">
        <v>26</v>
      </c>
      <c r="E17" s="11" t="s">
        <v>27</v>
      </c>
      <c r="F17" s="12">
        <v>906</v>
      </c>
      <c r="G17" s="12">
        <v>906</v>
      </c>
      <c r="H17" s="14">
        <f t="shared" si="0"/>
        <v>1</v>
      </c>
      <c r="I17" s="15">
        <v>0</v>
      </c>
      <c r="J17" s="15">
        <v>0</v>
      </c>
      <c r="K17" s="16">
        <f t="shared" ref="K17:K23" si="13">G17-I17-J17</f>
        <v>906</v>
      </c>
      <c r="L17" s="26">
        <v>38540988</v>
      </c>
      <c r="M17" s="13">
        <v>0</v>
      </c>
      <c r="N17" s="13">
        <v>0</v>
      </c>
      <c r="O17" s="17">
        <f t="shared" si="4"/>
        <v>0</v>
      </c>
      <c r="P17" s="17">
        <f t="shared" si="5"/>
        <v>0</v>
      </c>
      <c r="Q17" s="16">
        <f t="shared" si="6"/>
        <v>38540988</v>
      </c>
      <c r="R17" s="18">
        <f t="shared" si="7"/>
        <v>1</v>
      </c>
      <c r="S17" s="18">
        <f t="shared" si="8"/>
        <v>1</v>
      </c>
      <c r="T17" s="18">
        <f t="shared" si="9"/>
        <v>1</v>
      </c>
      <c r="U17" s="19">
        <v>0</v>
      </c>
      <c r="V17" s="20">
        <f t="shared" si="10"/>
        <v>0</v>
      </c>
      <c r="W17" s="20">
        <f t="shared" si="11"/>
        <v>0</v>
      </c>
      <c r="X17" s="11" t="s">
        <v>28</v>
      </c>
    </row>
    <row r="18" spans="1:24" ht="15">
      <c r="A18" s="9">
        <f t="shared" si="12"/>
        <v>16</v>
      </c>
      <c r="B18" s="10">
        <v>44866</v>
      </c>
      <c r="C18" s="25" t="s">
        <v>72</v>
      </c>
      <c r="D18" s="11" t="s">
        <v>26</v>
      </c>
      <c r="E18" s="11" t="s">
        <v>27</v>
      </c>
      <c r="F18" s="12">
        <v>5204</v>
      </c>
      <c r="G18" s="12">
        <v>5204</v>
      </c>
      <c r="H18" s="14">
        <f t="shared" si="0"/>
        <v>1</v>
      </c>
      <c r="I18" s="15">
        <v>0</v>
      </c>
      <c r="J18" s="12">
        <v>0</v>
      </c>
      <c r="K18" s="16">
        <f t="shared" si="13"/>
        <v>5204</v>
      </c>
      <c r="L18" s="12" t="s">
        <v>73</v>
      </c>
      <c r="M18" s="13">
        <v>0</v>
      </c>
      <c r="N18" s="13">
        <v>0</v>
      </c>
      <c r="O18" s="17">
        <v>0</v>
      </c>
      <c r="P18" s="17">
        <v>0</v>
      </c>
      <c r="Q18" s="16" t="s">
        <v>73</v>
      </c>
      <c r="R18" s="18">
        <f t="shared" si="7"/>
        <v>1</v>
      </c>
      <c r="S18" s="18">
        <f t="shared" si="8"/>
        <v>0</v>
      </c>
      <c r="T18" s="18">
        <f t="shared" si="9"/>
        <v>0</v>
      </c>
      <c r="U18" s="19">
        <v>0</v>
      </c>
      <c r="V18" s="20">
        <f t="shared" si="10"/>
        <v>0</v>
      </c>
      <c r="W18" s="20">
        <f t="shared" si="11"/>
        <v>0</v>
      </c>
      <c r="X18" s="11"/>
    </row>
    <row r="19" spans="1:24" ht="15">
      <c r="A19" s="9">
        <f t="shared" si="12"/>
        <v>17</v>
      </c>
      <c r="B19" s="10">
        <v>44866</v>
      </c>
      <c r="C19" s="25" t="s">
        <v>74</v>
      </c>
      <c r="D19" s="11" t="s">
        <v>26</v>
      </c>
      <c r="E19" s="11" t="s">
        <v>27</v>
      </c>
      <c r="F19" s="27">
        <v>30</v>
      </c>
      <c r="G19" s="27">
        <v>30</v>
      </c>
      <c r="H19" s="14">
        <f t="shared" si="0"/>
        <v>1</v>
      </c>
      <c r="I19" s="15">
        <v>0</v>
      </c>
      <c r="J19" s="15">
        <v>0</v>
      </c>
      <c r="K19" s="16">
        <f t="shared" si="13"/>
        <v>30</v>
      </c>
      <c r="L19" s="28">
        <v>149301000</v>
      </c>
      <c r="M19" s="13">
        <v>0</v>
      </c>
      <c r="N19" s="13">
        <v>0</v>
      </c>
      <c r="O19" s="17">
        <f t="shared" ref="O19:O23" si="14">N19+M19</f>
        <v>0</v>
      </c>
      <c r="P19" s="17">
        <f t="shared" ref="P19:P23" si="15">M19-N19</f>
        <v>0</v>
      </c>
      <c r="Q19" s="16">
        <f t="shared" ref="Q19:Q23" si="16">IFERROR(L19-N19-M19,0)</f>
        <v>149301000</v>
      </c>
      <c r="R19" s="18">
        <f t="shared" si="7"/>
        <v>1</v>
      </c>
      <c r="S19" s="18">
        <f t="shared" si="8"/>
        <v>1</v>
      </c>
      <c r="T19" s="18">
        <f t="shared" si="9"/>
        <v>1</v>
      </c>
      <c r="U19" s="19">
        <v>0</v>
      </c>
      <c r="V19" s="20">
        <f t="shared" si="10"/>
        <v>0</v>
      </c>
      <c r="W19" s="20">
        <f t="shared" si="11"/>
        <v>0</v>
      </c>
      <c r="X19" s="25" t="s">
        <v>46</v>
      </c>
    </row>
    <row r="20" spans="1:24" ht="15">
      <c r="A20" s="9">
        <f t="shared" si="12"/>
        <v>18</v>
      </c>
      <c r="B20" s="10">
        <v>44866</v>
      </c>
      <c r="C20" s="25" t="s">
        <v>75</v>
      </c>
      <c r="D20" s="11" t="s">
        <v>26</v>
      </c>
      <c r="E20" s="11" t="s">
        <v>27</v>
      </c>
      <c r="F20" s="27">
        <v>2</v>
      </c>
      <c r="G20" s="27">
        <v>2</v>
      </c>
      <c r="H20" s="14">
        <f t="shared" si="0"/>
        <v>1</v>
      </c>
      <c r="I20" s="15">
        <v>0</v>
      </c>
      <c r="J20" s="15">
        <v>0</v>
      </c>
      <c r="K20" s="16">
        <f t="shared" si="13"/>
        <v>2</v>
      </c>
      <c r="L20" s="29">
        <v>348000000</v>
      </c>
      <c r="M20" s="13">
        <v>0</v>
      </c>
      <c r="N20" s="13">
        <v>0</v>
      </c>
      <c r="O20" s="17">
        <f t="shared" si="14"/>
        <v>0</v>
      </c>
      <c r="P20" s="17">
        <f t="shared" si="15"/>
        <v>0</v>
      </c>
      <c r="Q20" s="16">
        <f t="shared" si="16"/>
        <v>348000000</v>
      </c>
      <c r="R20" s="18">
        <f t="shared" si="7"/>
        <v>1</v>
      </c>
      <c r="S20" s="18">
        <f t="shared" si="8"/>
        <v>1</v>
      </c>
      <c r="T20" s="18">
        <f t="shared" si="9"/>
        <v>1</v>
      </c>
      <c r="U20" s="19">
        <v>0</v>
      </c>
      <c r="V20" s="20">
        <f t="shared" si="10"/>
        <v>0</v>
      </c>
      <c r="W20" s="20">
        <f t="shared" si="11"/>
        <v>0</v>
      </c>
      <c r="X20" s="25" t="s">
        <v>46</v>
      </c>
    </row>
    <row r="21" spans="1:24" ht="15">
      <c r="A21" s="9">
        <f t="shared" si="12"/>
        <v>19</v>
      </c>
      <c r="B21" s="10">
        <v>44866</v>
      </c>
      <c r="C21" s="25" t="s">
        <v>76</v>
      </c>
      <c r="D21" s="11" t="s">
        <v>26</v>
      </c>
      <c r="E21" s="11" t="s">
        <v>27</v>
      </c>
      <c r="F21" s="27">
        <v>22</v>
      </c>
      <c r="G21" s="27">
        <v>22</v>
      </c>
      <c r="H21" s="14">
        <f t="shared" si="0"/>
        <v>1</v>
      </c>
      <c r="I21" s="15">
        <v>0</v>
      </c>
      <c r="J21" s="15">
        <v>0</v>
      </c>
      <c r="K21" s="16">
        <f t="shared" si="13"/>
        <v>22</v>
      </c>
      <c r="L21" s="29">
        <v>190929670</v>
      </c>
      <c r="M21" s="15">
        <v>0</v>
      </c>
      <c r="N21" s="15">
        <v>0</v>
      </c>
      <c r="O21" s="17">
        <f t="shared" si="14"/>
        <v>0</v>
      </c>
      <c r="P21" s="17">
        <f t="shared" si="15"/>
        <v>0</v>
      </c>
      <c r="Q21" s="16">
        <f t="shared" si="16"/>
        <v>190929670</v>
      </c>
      <c r="R21" s="18">
        <f t="shared" si="7"/>
        <v>1</v>
      </c>
      <c r="S21" s="18">
        <f t="shared" si="8"/>
        <v>1</v>
      </c>
      <c r="T21" s="18">
        <f t="shared" si="9"/>
        <v>1</v>
      </c>
      <c r="U21" s="19">
        <v>0</v>
      </c>
      <c r="V21" s="20">
        <f t="shared" si="10"/>
        <v>0</v>
      </c>
      <c r="W21" s="20">
        <f t="shared" si="11"/>
        <v>0</v>
      </c>
      <c r="X21" s="11" t="s">
        <v>28</v>
      </c>
    </row>
    <row r="22" spans="1:24" ht="15">
      <c r="A22" s="9">
        <f t="shared" si="12"/>
        <v>20</v>
      </c>
      <c r="B22" s="10">
        <v>44866</v>
      </c>
      <c r="C22" s="25" t="s">
        <v>77</v>
      </c>
      <c r="D22" s="11" t="s">
        <v>26</v>
      </c>
      <c r="E22" s="11" t="s">
        <v>27</v>
      </c>
      <c r="F22" s="12">
        <v>8952</v>
      </c>
      <c r="G22" s="12">
        <v>8952</v>
      </c>
      <c r="H22" s="14">
        <f t="shared" si="0"/>
        <v>1</v>
      </c>
      <c r="I22" s="15">
        <v>331</v>
      </c>
      <c r="J22" s="15">
        <v>572</v>
      </c>
      <c r="K22" s="16">
        <f t="shared" si="13"/>
        <v>8049</v>
      </c>
      <c r="L22" s="26" t="s">
        <v>78</v>
      </c>
      <c r="M22" s="26">
        <v>612825</v>
      </c>
      <c r="N22" s="26">
        <v>1285398</v>
      </c>
      <c r="O22" s="17">
        <f t="shared" si="14"/>
        <v>1898223</v>
      </c>
      <c r="P22" s="17">
        <f t="shared" si="15"/>
        <v>-672573</v>
      </c>
      <c r="Q22" s="16">
        <f t="shared" si="16"/>
        <v>0</v>
      </c>
      <c r="R22" s="18">
        <f t="shared" si="7"/>
        <v>0.89912868632707776</v>
      </c>
      <c r="S22" s="18">
        <f t="shared" si="8"/>
        <v>0</v>
      </c>
      <c r="T22" s="18">
        <f t="shared" si="9"/>
        <v>0</v>
      </c>
      <c r="U22" s="19">
        <v>0</v>
      </c>
      <c r="V22" s="20">
        <f t="shared" si="10"/>
        <v>3.6974977658623773E-2</v>
      </c>
      <c r="W22" s="20">
        <f t="shared" si="11"/>
        <v>6.3896336014298477E-2</v>
      </c>
      <c r="X22" s="11" t="s">
        <v>28</v>
      </c>
    </row>
    <row r="23" spans="1:24" ht="15">
      <c r="A23" s="30" t="s">
        <v>52</v>
      </c>
      <c r="B23" s="31"/>
      <c r="C23" s="31"/>
      <c r="D23" s="32"/>
      <c r="E23" s="32"/>
      <c r="F23" s="33">
        <f t="shared" ref="F23:G23" si="17">SUM(F3:F20)</f>
        <v>30192</v>
      </c>
      <c r="G23" s="33">
        <f t="shared" si="17"/>
        <v>30210</v>
      </c>
      <c r="H23" s="34">
        <f t="shared" si="0"/>
        <v>1.0005961844197138</v>
      </c>
      <c r="I23" s="33">
        <f t="shared" ref="I23:J23" si="18">SUM(I3:I20)</f>
        <v>386</v>
      </c>
      <c r="J23" s="33">
        <f t="shared" si="18"/>
        <v>237</v>
      </c>
      <c r="K23" s="35">
        <f t="shared" si="13"/>
        <v>29587</v>
      </c>
      <c r="L23" s="36">
        <f t="shared" ref="L23:N23" si="19">SUM(L3:L20)</f>
        <v>5840441947.3400002</v>
      </c>
      <c r="M23" s="37">
        <f t="shared" si="19"/>
        <v>658370</v>
      </c>
      <c r="N23" s="37">
        <f t="shared" si="19"/>
        <v>108240.4</v>
      </c>
      <c r="O23" s="38">
        <f t="shared" si="14"/>
        <v>766610.4</v>
      </c>
      <c r="P23" s="38">
        <f t="shared" si="15"/>
        <v>550129.6</v>
      </c>
      <c r="Q23" s="39">
        <f t="shared" si="16"/>
        <v>5839675336.9400005</v>
      </c>
      <c r="R23" s="40">
        <f t="shared" si="7"/>
        <v>0.97937768950678583</v>
      </c>
      <c r="S23" s="40">
        <f t="shared" si="8"/>
        <v>0.99986874102903311</v>
      </c>
      <c r="T23" s="40">
        <f t="shared" si="9"/>
        <v>0.99990580685417985</v>
      </c>
      <c r="U23" s="31"/>
      <c r="V23" s="40">
        <f t="shared" si="10"/>
        <v>1.277722608407812E-2</v>
      </c>
      <c r="W23" s="40">
        <f t="shared" si="11"/>
        <v>7.8450844091360484E-3</v>
      </c>
      <c r="X23" s="31"/>
    </row>
    <row r="24" spans="1:24" ht="15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15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">
      <c r="A26" s="41"/>
      <c r="B26" s="5"/>
      <c r="C26" s="5"/>
      <c r="D26" s="5"/>
      <c r="E26" s="5"/>
      <c r="F26" s="5"/>
      <c r="G26" s="5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51.75">
      <c r="A27" s="43"/>
      <c r="B27" s="44" t="s">
        <v>53</v>
      </c>
      <c r="C27" s="45" t="s">
        <v>3</v>
      </c>
      <c r="D27" s="45" t="str">
        <f t="shared" ref="D27:D35" si="20">H2</f>
        <v>CC Adherance %</v>
      </c>
      <c r="E27" s="45" t="str">
        <f t="shared" ref="E27:G27" si="21">R2</f>
        <v>Inventory Record Accuracy (IRA)</v>
      </c>
      <c r="F27" s="45" t="str">
        <f t="shared" si="21"/>
        <v>Inventory Value Accuracy -GROSS
 (IVA)</v>
      </c>
      <c r="G27" s="45" t="str">
        <f t="shared" si="21"/>
        <v>Inventory Value Accuracy -NET 
 (IVA)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v>1</v>
      </c>
      <c r="C28" s="47" t="str">
        <f t="shared" ref="C28:C35" si="22">C3</f>
        <v>Bic Cello</v>
      </c>
      <c r="D28" s="48">
        <f t="shared" si="20"/>
        <v>1</v>
      </c>
      <c r="E28" s="49">
        <f t="shared" ref="E28:G28" si="23">R3</f>
        <v>1</v>
      </c>
      <c r="F28" s="49">
        <f t="shared" si="23"/>
        <v>1</v>
      </c>
      <c r="G28" s="49">
        <f t="shared" si="23"/>
        <v>1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ref="B29:B42" si="24">B28+1</f>
        <v>2</v>
      </c>
      <c r="C29" s="47" t="str">
        <f t="shared" si="22"/>
        <v>Siemens BGR</v>
      </c>
      <c r="D29" s="48">
        <f t="shared" si="20"/>
        <v>1</v>
      </c>
      <c r="E29" s="49">
        <f t="shared" ref="E29:G29" si="25">R4</f>
        <v>1</v>
      </c>
      <c r="F29" s="49">
        <f t="shared" si="25"/>
        <v>1</v>
      </c>
      <c r="G29" s="49">
        <f t="shared" si="25"/>
        <v>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24"/>
        <v>3</v>
      </c>
      <c r="C30" s="47" t="str">
        <f t="shared" si="22"/>
        <v>Siemens Kalwa</v>
      </c>
      <c r="D30" s="48">
        <f t="shared" si="20"/>
        <v>1</v>
      </c>
      <c r="E30" s="49">
        <f t="shared" ref="E30:G30" si="26">R5</f>
        <v>1</v>
      </c>
      <c r="F30" s="49">
        <f t="shared" si="26"/>
        <v>1</v>
      </c>
      <c r="G30" s="49">
        <f t="shared" si="26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24"/>
        <v>4</v>
      </c>
      <c r="C31" s="47" t="str">
        <f t="shared" si="22"/>
        <v>Siemens Vapi</v>
      </c>
      <c r="D31" s="48">
        <f t="shared" si="20"/>
        <v>1</v>
      </c>
      <c r="E31" s="49">
        <f t="shared" ref="E31:G31" si="27">R6</f>
        <v>1</v>
      </c>
      <c r="F31" s="49">
        <f t="shared" si="27"/>
        <v>1</v>
      </c>
      <c r="G31" s="49">
        <f t="shared" si="27"/>
        <v>1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24"/>
        <v>5</v>
      </c>
      <c r="C32" s="47" t="str">
        <f t="shared" si="22"/>
        <v>Siemens Medical</v>
      </c>
      <c r="D32" s="48">
        <f t="shared" si="20"/>
        <v>0.98370370370370375</v>
      </c>
      <c r="E32" s="49">
        <f t="shared" ref="E32:G32" si="28">R7</f>
        <v>1</v>
      </c>
      <c r="F32" s="49">
        <f t="shared" si="28"/>
        <v>1</v>
      </c>
      <c r="G32" s="49">
        <f t="shared" si="28"/>
        <v>1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24"/>
        <v>6</v>
      </c>
      <c r="C33" s="47" t="str">
        <f t="shared" si="22"/>
        <v>Godrej Interio</v>
      </c>
      <c r="D33" s="48">
        <f t="shared" si="20"/>
        <v>1</v>
      </c>
      <c r="E33" s="49">
        <f t="shared" ref="E33:G33" si="29">R8</f>
        <v>1</v>
      </c>
      <c r="F33" s="49">
        <f t="shared" si="29"/>
        <v>1</v>
      </c>
      <c r="G33" s="49">
        <f t="shared" si="29"/>
        <v>1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24"/>
        <v>7</v>
      </c>
      <c r="C34" s="47" t="str">
        <f t="shared" si="22"/>
        <v>Godrej Branch</v>
      </c>
      <c r="D34" s="48">
        <f t="shared" si="20"/>
        <v>1</v>
      </c>
      <c r="E34" s="49">
        <f t="shared" ref="E34:G34" si="30">R9</f>
        <v>0.99652173913043474</v>
      </c>
      <c r="F34" s="49">
        <f t="shared" si="30"/>
        <v>0.99988415801263197</v>
      </c>
      <c r="G34" s="49">
        <f t="shared" si="30"/>
        <v>1.0000652559666832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24"/>
        <v>8</v>
      </c>
      <c r="C35" s="47" t="str">
        <f t="shared" si="22"/>
        <v>Godrej spare</v>
      </c>
      <c r="D35" s="48">
        <f t="shared" si="20"/>
        <v>1</v>
      </c>
      <c r="E35" s="49">
        <f t="shared" ref="E35:G35" si="31">R10</f>
        <v>1</v>
      </c>
      <c r="F35" s="49">
        <f t="shared" si="31"/>
        <v>1</v>
      </c>
      <c r="G35" s="49">
        <f t="shared" si="31"/>
        <v>1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24"/>
        <v>9</v>
      </c>
      <c r="C36" s="47" t="str">
        <f t="shared" ref="C36:C39" si="32">C12</f>
        <v>Osram</v>
      </c>
      <c r="D36" s="48">
        <f t="shared" ref="D36:D39" si="33">H12</f>
        <v>1</v>
      </c>
      <c r="E36" s="49">
        <f t="shared" ref="E36:G36" si="34">R12</f>
        <v>1</v>
      </c>
      <c r="F36" s="49">
        <f t="shared" si="34"/>
        <v>1</v>
      </c>
      <c r="G36" s="49">
        <f t="shared" si="34"/>
        <v>1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24"/>
        <v>10</v>
      </c>
      <c r="C37" s="47" t="str">
        <f t="shared" si="32"/>
        <v>Celio</v>
      </c>
      <c r="D37" s="48">
        <f t="shared" si="33"/>
        <v>1.1519999999999999</v>
      </c>
      <c r="E37" s="49">
        <f t="shared" ref="E37:G37" si="35">R13</f>
        <v>0.96354166666666663</v>
      </c>
      <c r="F37" s="49">
        <f t="shared" si="35"/>
        <v>0</v>
      </c>
      <c r="G37" s="49">
        <f t="shared" si="35"/>
        <v>0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24"/>
        <v>11</v>
      </c>
      <c r="C38" s="47" t="str">
        <f t="shared" si="32"/>
        <v>Welspun</v>
      </c>
      <c r="D38" s="48">
        <f t="shared" si="33"/>
        <v>0.9976666666666667</v>
      </c>
      <c r="E38" s="49">
        <f t="shared" ref="E38:G38" si="36">R14</f>
        <v>0.90010023387905114</v>
      </c>
      <c r="F38" s="49">
        <f t="shared" si="36"/>
        <v>0.95950736482655319</v>
      </c>
      <c r="G38" s="49">
        <f t="shared" si="36"/>
        <v>0.97087058766280476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24"/>
        <v>12</v>
      </c>
      <c r="C39" s="47" t="str">
        <f t="shared" si="32"/>
        <v>Hansgrohe</v>
      </c>
      <c r="D39" s="48">
        <f t="shared" si="33"/>
        <v>1</v>
      </c>
      <c r="E39" s="49">
        <f t="shared" ref="E39:G39" si="37">R15</f>
        <v>1</v>
      </c>
      <c r="F39" s="49">
        <f t="shared" si="37"/>
        <v>1</v>
      </c>
      <c r="G39" s="49">
        <f t="shared" si="37"/>
        <v>1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>
      <c r="A40" s="43"/>
      <c r="B40" s="46">
        <f t="shared" si="24"/>
        <v>13</v>
      </c>
      <c r="C40" s="47" t="str">
        <f t="shared" ref="C40:C42" si="38">C18</f>
        <v>Pepe Jeans London</v>
      </c>
      <c r="D40" s="48">
        <f t="shared" ref="D40:D42" si="39">H18</f>
        <v>1</v>
      </c>
      <c r="E40" s="49">
        <f t="shared" ref="E40:G40" si="40">R18</f>
        <v>1</v>
      </c>
      <c r="F40" s="49">
        <f t="shared" si="40"/>
        <v>0</v>
      </c>
      <c r="G40" s="49">
        <f t="shared" si="40"/>
        <v>0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spans="1:24" ht="15">
      <c r="A41" s="43"/>
      <c r="B41" s="46">
        <f t="shared" si="24"/>
        <v>14</v>
      </c>
      <c r="C41" s="47" t="str">
        <f t="shared" si="38"/>
        <v>Roquette</v>
      </c>
      <c r="D41" s="48">
        <f t="shared" si="39"/>
        <v>1</v>
      </c>
      <c r="E41" s="49">
        <f t="shared" ref="E41:G41" si="41">R19</f>
        <v>1</v>
      </c>
      <c r="F41" s="49">
        <f t="shared" si="41"/>
        <v>1</v>
      </c>
      <c r="G41" s="49">
        <f t="shared" si="41"/>
        <v>1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spans="1:24" ht="15">
      <c r="A42" s="43"/>
      <c r="B42" s="46">
        <f t="shared" si="24"/>
        <v>15</v>
      </c>
      <c r="C42" s="47" t="str">
        <f t="shared" si="38"/>
        <v>Jubilant</v>
      </c>
      <c r="D42" s="48">
        <f t="shared" si="39"/>
        <v>1</v>
      </c>
      <c r="E42" s="49">
        <f t="shared" ref="E42:G42" si="42">R20</f>
        <v>1</v>
      </c>
      <c r="F42" s="49">
        <f t="shared" si="42"/>
        <v>1</v>
      </c>
      <c r="G42" s="49">
        <f t="shared" si="42"/>
        <v>1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spans="1:24" ht="12.75">
      <c r="A43" s="50"/>
    </row>
    <row r="44" spans="1:24" ht="12.75">
      <c r="A44" s="50"/>
    </row>
    <row r="45" spans="1:24" ht="12.75">
      <c r="A45" s="50"/>
    </row>
    <row r="46" spans="1:24" ht="12.75">
      <c r="A46" s="50"/>
    </row>
    <row r="47" spans="1:24" ht="12.75">
      <c r="A47" s="50"/>
    </row>
    <row r="48" spans="1:24" ht="12.75">
      <c r="A48" s="50"/>
    </row>
    <row r="49" spans="1:1" ht="12.75">
      <c r="A49" s="50"/>
    </row>
    <row r="50" spans="1:1" ht="12.75">
      <c r="A50" s="50"/>
    </row>
    <row r="51" spans="1:1" ht="12.75">
      <c r="A51" s="50"/>
    </row>
    <row r="52" spans="1:1" ht="12.75">
      <c r="A52" s="50"/>
    </row>
    <row r="53" spans="1:1" ht="12.75">
      <c r="A53" s="50"/>
    </row>
    <row r="54" spans="1:1" ht="12.75">
      <c r="A54" s="50"/>
    </row>
    <row r="55" spans="1:1" ht="12.75">
      <c r="A55" s="50"/>
    </row>
    <row r="56" spans="1:1" ht="12.75">
      <c r="A56" s="50"/>
    </row>
    <row r="57" spans="1:1" ht="12.75">
      <c r="A57" s="50"/>
    </row>
    <row r="58" spans="1:1" ht="12.75">
      <c r="A58" s="50"/>
    </row>
    <row r="59" spans="1:1" ht="12.75">
      <c r="A59" s="50"/>
    </row>
    <row r="60" spans="1:1" ht="12.75">
      <c r="A60" s="50"/>
    </row>
    <row r="61" spans="1:1" ht="12.75">
      <c r="A61" s="50"/>
    </row>
    <row r="62" spans="1:1" ht="12.75">
      <c r="A62" s="50"/>
    </row>
    <row r="63" spans="1:1" ht="12.75">
      <c r="A63" s="50"/>
    </row>
    <row r="64" spans="1:1" ht="12.75">
      <c r="A64" s="50"/>
    </row>
    <row r="65" spans="1:1" ht="12.75">
      <c r="A65" s="50"/>
    </row>
    <row r="66" spans="1:1" ht="12.75">
      <c r="A66" s="50"/>
    </row>
    <row r="67" spans="1:1" ht="12.75">
      <c r="A67" s="50"/>
    </row>
    <row r="68" spans="1:1" ht="12.75">
      <c r="A68" s="50"/>
    </row>
    <row r="69" spans="1:1" ht="12.75">
      <c r="A69" s="50"/>
    </row>
    <row r="70" spans="1:1" ht="12.75">
      <c r="A70" s="50"/>
    </row>
    <row r="71" spans="1:1" ht="12.75">
      <c r="A71" s="50"/>
    </row>
    <row r="72" spans="1:1" ht="12.75">
      <c r="A72" s="50"/>
    </row>
    <row r="73" spans="1:1" ht="12.75">
      <c r="A73" s="50"/>
    </row>
    <row r="74" spans="1:1" ht="12.75">
      <c r="A74" s="50"/>
    </row>
    <row r="75" spans="1:1" ht="12.75">
      <c r="A75" s="50"/>
    </row>
    <row r="76" spans="1:1" ht="12.75">
      <c r="A76" s="50"/>
    </row>
    <row r="77" spans="1:1" ht="12.75">
      <c r="A77" s="50"/>
    </row>
    <row r="78" spans="1:1" ht="12.75">
      <c r="A78" s="50"/>
    </row>
    <row r="79" spans="1:1" ht="12.75">
      <c r="A79" s="50"/>
    </row>
    <row r="80" spans="1:1" ht="12.75">
      <c r="A80" s="50"/>
    </row>
    <row r="81" spans="1:1" ht="12.75">
      <c r="A81" s="50"/>
    </row>
    <row r="82" spans="1:1" ht="12.75">
      <c r="A82" s="50"/>
    </row>
    <row r="83" spans="1:1" ht="12.75">
      <c r="A83" s="50"/>
    </row>
    <row r="84" spans="1:1" ht="12.75">
      <c r="A84" s="50"/>
    </row>
    <row r="85" spans="1:1" ht="12.75">
      <c r="A85" s="50"/>
    </row>
    <row r="86" spans="1:1" ht="12.75">
      <c r="A86" s="50"/>
    </row>
    <row r="87" spans="1:1" ht="12.75">
      <c r="A87" s="50"/>
    </row>
    <row r="88" spans="1:1" ht="12.75">
      <c r="A88" s="50"/>
    </row>
    <row r="89" spans="1:1" ht="12.75">
      <c r="A89" s="50"/>
    </row>
    <row r="90" spans="1:1" ht="12.75">
      <c r="A90" s="50"/>
    </row>
    <row r="91" spans="1:1" ht="12.75">
      <c r="A91" s="50"/>
    </row>
    <row r="92" spans="1:1" ht="12.75">
      <c r="A92" s="50"/>
    </row>
    <row r="93" spans="1:1" ht="12.75">
      <c r="A93" s="50"/>
    </row>
    <row r="94" spans="1:1" ht="12.75">
      <c r="A94" s="50"/>
    </row>
    <row r="95" spans="1:1" ht="12.75">
      <c r="A95" s="50"/>
    </row>
    <row r="96" spans="1:1" ht="12.75">
      <c r="A96" s="50"/>
    </row>
    <row r="97" spans="1:1" ht="12.75">
      <c r="A97" s="50"/>
    </row>
    <row r="98" spans="1:1" ht="12.75">
      <c r="A98" s="50"/>
    </row>
    <row r="99" spans="1:1" ht="12.75">
      <c r="A99" s="50"/>
    </row>
    <row r="100" spans="1:1" ht="12.75">
      <c r="A100" s="50"/>
    </row>
    <row r="101" spans="1:1" ht="12.75">
      <c r="A101" s="50"/>
    </row>
    <row r="102" spans="1:1" ht="12.75">
      <c r="A102" s="50"/>
    </row>
    <row r="103" spans="1:1" ht="12.75">
      <c r="A103" s="50"/>
    </row>
    <row r="104" spans="1:1" ht="12.75">
      <c r="A104" s="50"/>
    </row>
    <row r="105" spans="1:1" ht="12.75">
      <c r="A105" s="50"/>
    </row>
    <row r="106" spans="1:1" ht="12.75">
      <c r="A106" s="50"/>
    </row>
    <row r="107" spans="1:1" ht="12.75">
      <c r="A107" s="50"/>
    </row>
    <row r="108" spans="1:1" ht="12.75">
      <c r="A108" s="50"/>
    </row>
    <row r="109" spans="1:1" ht="12.75">
      <c r="A109" s="50"/>
    </row>
    <row r="110" spans="1:1" ht="12.75">
      <c r="A110" s="50"/>
    </row>
    <row r="111" spans="1:1" ht="12.75">
      <c r="A111" s="50"/>
    </row>
    <row r="112" spans="1:1" ht="12.75">
      <c r="A112" s="50"/>
    </row>
    <row r="113" spans="1:1" ht="12.75">
      <c r="A113" s="50"/>
    </row>
    <row r="114" spans="1:1" ht="12.75">
      <c r="A114" s="50"/>
    </row>
    <row r="115" spans="1:1" ht="12.75">
      <c r="A115" s="50"/>
    </row>
    <row r="116" spans="1:1" ht="12.75">
      <c r="A116" s="50"/>
    </row>
    <row r="117" spans="1:1" ht="12.75">
      <c r="A117" s="50"/>
    </row>
    <row r="118" spans="1:1" ht="12.75">
      <c r="A118" s="50"/>
    </row>
    <row r="119" spans="1:1" ht="12.75">
      <c r="A119" s="50"/>
    </row>
    <row r="120" spans="1:1" ht="12.75">
      <c r="A120" s="50"/>
    </row>
    <row r="121" spans="1:1" ht="12.75">
      <c r="A121" s="50"/>
    </row>
    <row r="122" spans="1:1" ht="12.75">
      <c r="A122" s="50"/>
    </row>
    <row r="123" spans="1:1" ht="12.75">
      <c r="A123" s="50"/>
    </row>
    <row r="124" spans="1:1" ht="12.75">
      <c r="A124" s="50"/>
    </row>
    <row r="125" spans="1:1" ht="12.75">
      <c r="A125" s="50"/>
    </row>
    <row r="126" spans="1:1" ht="12.75">
      <c r="A126" s="50"/>
    </row>
    <row r="127" spans="1:1" ht="12.75">
      <c r="A127" s="50"/>
    </row>
    <row r="128" spans="1:1" ht="12.75">
      <c r="A128" s="50"/>
    </row>
    <row r="129" spans="1:1" ht="12.75">
      <c r="A129" s="50"/>
    </row>
    <row r="130" spans="1:1" ht="12.75">
      <c r="A130" s="50"/>
    </row>
    <row r="131" spans="1:1" ht="12.75">
      <c r="A131" s="50"/>
    </row>
    <row r="132" spans="1:1" ht="12.75">
      <c r="A132" s="50"/>
    </row>
    <row r="133" spans="1:1" ht="12.75">
      <c r="A133" s="50"/>
    </row>
    <row r="134" spans="1:1" ht="12.75">
      <c r="A134" s="50"/>
    </row>
    <row r="135" spans="1:1" ht="12.75">
      <c r="A135" s="50"/>
    </row>
    <row r="136" spans="1:1" ht="12.75">
      <c r="A136" s="50"/>
    </row>
    <row r="137" spans="1:1" ht="12.75">
      <c r="A137" s="50"/>
    </row>
    <row r="138" spans="1:1" ht="12.75">
      <c r="A138" s="50"/>
    </row>
    <row r="139" spans="1:1" ht="12.75">
      <c r="A139" s="50"/>
    </row>
    <row r="140" spans="1:1" ht="12.75">
      <c r="A140" s="50"/>
    </row>
    <row r="141" spans="1:1" ht="12.75">
      <c r="A141" s="50"/>
    </row>
    <row r="142" spans="1:1" ht="12.75">
      <c r="A142" s="50"/>
    </row>
    <row r="143" spans="1:1" ht="12.75">
      <c r="A143" s="50"/>
    </row>
    <row r="144" spans="1:1" ht="12.75">
      <c r="A144" s="50"/>
    </row>
    <row r="145" spans="1:1" ht="12.75">
      <c r="A145" s="50"/>
    </row>
    <row r="146" spans="1:1" ht="12.75">
      <c r="A146" s="50"/>
    </row>
    <row r="147" spans="1:1" ht="12.75">
      <c r="A147" s="50"/>
    </row>
    <row r="148" spans="1:1" ht="12.75">
      <c r="A148" s="50"/>
    </row>
    <row r="149" spans="1:1" ht="12.75">
      <c r="A149" s="50"/>
    </row>
    <row r="150" spans="1:1" ht="12.75">
      <c r="A150" s="50"/>
    </row>
    <row r="151" spans="1:1" ht="12.75">
      <c r="A151" s="50"/>
    </row>
    <row r="152" spans="1:1" ht="12.75">
      <c r="A152" s="50"/>
    </row>
    <row r="153" spans="1:1" ht="12.75">
      <c r="A153" s="50"/>
    </row>
    <row r="154" spans="1:1" ht="12.75">
      <c r="A154" s="50"/>
    </row>
    <row r="155" spans="1:1" ht="12.75">
      <c r="A155" s="50"/>
    </row>
    <row r="156" spans="1:1" ht="12.75">
      <c r="A156" s="50"/>
    </row>
    <row r="157" spans="1:1" ht="12.75">
      <c r="A157" s="50"/>
    </row>
    <row r="158" spans="1:1" ht="12.75">
      <c r="A158" s="50"/>
    </row>
    <row r="159" spans="1:1" ht="12.75">
      <c r="A159" s="50"/>
    </row>
    <row r="160" spans="1:1" ht="12.75">
      <c r="A160" s="50"/>
    </row>
    <row r="161" spans="1:1" ht="12.75">
      <c r="A161" s="50"/>
    </row>
    <row r="162" spans="1:1" ht="12.75">
      <c r="A162" s="50"/>
    </row>
    <row r="163" spans="1:1" ht="12.75">
      <c r="A163" s="50"/>
    </row>
    <row r="164" spans="1:1" ht="12.75">
      <c r="A164" s="50"/>
    </row>
    <row r="165" spans="1:1" ht="12.75">
      <c r="A165" s="50"/>
    </row>
    <row r="166" spans="1:1" ht="12.75">
      <c r="A166" s="50"/>
    </row>
    <row r="167" spans="1:1" ht="12.75">
      <c r="A167" s="50"/>
    </row>
    <row r="168" spans="1:1" ht="12.75">
      <c r="A168" s="50"/>
    </row>
    <row r="169" spans="1:1" ht="12.75">
      <c r="A169" s="50"/>
    </row>
    <row r="170" spans="1:1" ht="12.75">
      <c r="A170" s="50"/>
    </row>
    <row r="171" spans="1:1" ht="12.75">
      <c r="A171" s="50"/>
    </row>
    <row r="172" spans="1:1" ht="12.75">
      <c r="A172" s="50"/>
    </row>
    <row r="173" spans="1:1" ht="12.75">
      <c r="A173" s="50"/>
    </row>
    <row r="174" spans="1:1" ht="12.75">
      <c r="A174" s="50"/>
    </row>
    <row r="175" spans="1:1" ht="12.75">
      <c r="A175" s="50"/>
    </row>
    <row r="176" spans="1:1" ht="12.75">
      <c r="A176" s="50"/>
    </row>
    <row r="177" spans="1:1" ht="12.75">
      <c r="A177" s="50"/>
    </row>
    <row r="178" spans="1:1" ht="12.75">
      <c r="A178" s="50"/>
    </row>
    <row r="179" spans="1:1" ht="12.75">
      <c r="A179" s="50"/>
    </row>
    <row r="180" spans="1:1" ht="12.75">
      <c r="A180" s="50"/>
    </row>
    <row r="181" spans="1:1" ht="12.75">
      <c r="A181" s="50"/>
    </row>
    <row r="182" spans="1:1" ht="12.75">
      <c r="A182" s="50"/>
    </row>
    <row r="183" spans="1:1" ht="12.75">
      <c r="A183" s="50"/>
    </row>
    <row r="184" spans="1:1" ht="12.75">
      <c r="A184" s="50"/>
    </row>
    <row r="185" spans="1:1" ht="12.75">
      <c r="A185" s="50"/>
    </row>
    <row r="186" spans="1:1" ht="12.75">
      <c r="A186" s="50"/>
    </row>
    <row r="187" spans="1:1" ht="12.75">
      <c r="A187" s="50"/>
    </row>
    <row r="188" spans="1:1" ht="12.75">
      <c r="A188" s="50"/>
    </row>
    <row r="189" spans="1:1" ht="12.75">
      <c r="A189" s="50"/>
    </row>
    <row r="190" spans="1:1" ht="12.75">
      <c r="A190" s="50"/>
    </row>
    <row r="191" spans="1:1" ht="12.75">
      <c r="A191" s="50"/>
    </row>
    <row r="192" spans="1:1" ht="12.75">
      <c r="A192" s="50"/>
    </row>
    <row r="193" spans="1:1" ht="12.75">
      <c r="A193" s="50"/>
    </row>
    <row r="194" spans="1:1" ht="12.75">
      <c r="A194" s="50"/>
    </row>
    <row r="195" spans="1:1" ht="12.75">
      <c r="A195" s="50"/>
    </row>
    <row r="196" spans="1:1" ht="12.75">
      <c r="A196" s="50"/>
    </row>
    <row r="197" spans="1:1" ht="12.75">
      <c r="A197" s="50"/>
    </row>
    <row r="198" spans="1:1" ht="12.75">
      <c r="A198" s="50"/>
    </row>
    <row r="199" spans="1:1" ht="12.75">
      <c r="A199" s="50"/>
    </row>
    <row r="200" spans="1:1" ht="12.75">
      <c r="A200" s="50"/>
    </row>
    <row r="201" spans="1:1" ht="12.75">
      <c r="A201" s="50"/>
    </row>
    <row r="202" spans="1:1" ht="12.75">
      <c r="A202" s="50"/>
    </row>
    <row r="203" spans="1:1" ht="12.75">
      <c r="A203" s="50"/>
    </row>
    <row r="204" spans="1:1" ht="12.75">
      <c r="A204" s="50"/>
    </row>
    <row r="205" spans="1:1" ht="12.75">
      <c r="A205" s="50"/>
    </row>
    <row r="206" spans="1:1" ht="12.75">
      <c r="A206" s="50"/>
    </row>
    <row r="207" spans="1:1" ht="12.75">
      <c r="A207" s="50"/>
    </row>
    <row r="208" spans="1:1" ht="12.75">
      <c r="A208" s="50"/>
    </row>
    <row r="209" spans="1:1" ht="12.75">
      <c r="A209" s="50"/>
    </row>
    <row r="210" spans="1:1" ht="12.75">
      <c r="A210" s="50"/>
    </row>
    <row r="211" spans="1:1" ht="12.75">
      <c r="A211" s="50"/>
    </row>
    <row r="212" spans="1:1" ht="12.75">
      <c r="A212" s="50"/>
    </row>
    <row r="213" spans="1:1" ht="12.75">
      <c r="A213" s="50"/>
    </row>
    <row r="214" spans="1:1" ht="12.75">
      <c r="A214" s="50"/>
    </row>
    <row r="215" spans="1:1" ht="12.75">
      <c r="A215" s="50"/>
    </row>
    <row r="216" spans="1:1" ht="12.75">
      <c r="A216" s="50"/>
    </row>
    <row r="217" spans="1:1" ht="12.75">
      <c r="A217" s="50"/>
    </row>
    <row r="218" spans="1:1" ht="12.75">
      <c r="A218" s="50"/>
    </row>
    <row r="219" spans="1:1" ht="12.75">
      <c r="A219" s="50"/>
    </row>
    <row r="220" spans="1:1" ht="12.75">
      <c r="A220" s="50"/>
    </row>
    <row r="221" spans="1:1" ht="12.75">
      <c r="A221" s="50"/>
    </row>
    <row r="222" spans="1:1" ht="12.75">
      <c r="A222" s="50"/>
    </row>
    <row r="223" spans="1:1" ht="12.75">
      <c r="A223" s="50"/>
    </row>
    <row r="224" spans="1:1" ht="12.75">
      <c r="A224" s="50"/>
    </row>
    <row r="225" spans="1:1" ht="12.75">
      <c r="A225" s="50"/>
    </row>
    <row r="226" spans="1:1" ht="12.75">
      <c r="A226" s="50"/>
    </row>
    <row r="227" spans="1:1" ht="12.75">
      <c r="A227" s="50"/>
    </row>
    <row r="228" spans="1:1" ht="12.75">
      <c r="A228" s="50"/>
    </row>
    <row r="229" spans="1:1" ht="12.75">
      <c r="A229" s="50"/>
    </row>
    <row r="230" spans="1:1" ht="12.75">
      <c r="A230" s="50"/>
    </row>
    <row r="231" spans="1:1" ht="12.75">
      <c r="A231" s="50"/>
    </row>
    <row r="232" spans="1:1" ht="12.75">
      <c r="A232" s="50"/>
    </row>
    <row r="233" spans="1:1" ht="12.75">
      <c r="A233" s="50"/>
    </row>
    <row r="234" spans="1:1" ht="12.75">
      <c r="A234" s="50"/>
    </row>
    <row r="235" spans="1:1" ht="12.75">
      <c r="A235" s="50"/>
    </row>
    <row r="236" spans="1:1" ht="12.75">
      <c r="A236" s="50"/>
    </row>
    <row r="237" spans="1:1" ht="12.75">
      <c r="A237" s="50"/>
    </row>
    <row r="238" spans="1:1" ht="12.75">
      <c r="A238" s="50"/>
    </row>
    <row r="239" spans="1:1" ht="12.75">
      <c r="A239" s="50"/>
    </row>
    <row r="240" spans="1:1" ht="12.75">
      <c r="A240" s="50"/>
    </row>
    <row r="241" spans="1:1" ht="12.75">
      <c r="A241" s="50"/>
    </row>
    <row r="242" spans="1:1" ht="12.75">
      <c r="A242" s="50"/>
    </row>
    <row r="243" spans="1:1" ht="12.75">
      <c r="A243" s="50"/>
    </row>
    <row r="244" spans="1:1" ht="12.75">
      <c r="A244" s="50"/>
    </row>
    <row r="245" spans="1:1" ht="12.75">
      <c r="A245" s="50"/>
    </row>
    <row r="246" spans="1:1" ht="12.75">
      <c r="A246" s="50"/>
    </row>
    <row r="247" spans="1:1" ht="12.75">
      <c r="A247" s="50"/>
    </row>
    <row r="248" spans="1:1" ht="12.75">
      <c r="A248" s="50"/>
    </row>
    <row r="249" spans="1:1" ht="12.75">
      <c r="A249" s="50"/>
    </row>
    <row r="250" spans="1:1" ht="12.75">
      <c r="A250" s="50"/>
    </row>
    <row r="251" spans="1:1" ht="12.75">
      <c r="A251" s="50"/>
    </row>
    <row r="252" spans="1:1" ht="12.75">
      <c r="A252" s="50"/>
    </row>
    <row r="253" spans="1:1" ht="12.75">
      <c r="A253" s="50"/>
    </row>
    <row r="254" spans="1:1" ht="12.75">
      <c r="A254" s="50"/>
    </row>
    <row r="255" spans="1:1" ht="12.75">
      <c r="A255" s="50"/>
    </row>
    <row r="256" spans="1:1" ht="12.75">
      <c r="A256" s="50"/>
    </row>
    <row r="257" spans="1:1" ht="12.75">
      <c r="A257" s="50"/>
    </row>
    <row r="258" spans="1:1" ht="12.75">
      <c r="A258" s="50"/>
    </row>
    <row r="259" spans="1:1" ht="12.75">
      <c r="A259" s="50"/>
    </row>
    <row r="260" spans="1:1" ht="12.75">
      <c r="A260" s="50"/>
    </row>
    <row r="261" spans="1:1" ht="12.75">
      <c r="A261" s="50"/>
    </row>
    <row r="262" spans="1:1" ht="12.75">
      <c r="A262" s="50"/>
    </row>
    <row r="263" spans="1:1" ht="12.75">
      <c r="A263" s="50"/>
    </row>
    <row r="264" spans="1:1" ht="12.75">
      <c r="A264" s="50"/>
    </row>
    <row r="265" spans="1:1" ht="12.75">
      <c r="A265" s="50"/>
    </row>
    <row r="266" spans="1:1" ht="12.75">
      <c r="A266" s="50"/>
    </row>
    <row r="267" spans="1:1" ht="12.75">
      <c r="A267" s="50"/>
    </row>
    <row r="268" spans="1:1" ht="12.75">
      <c r="A268" s="50"/>
    </row>
    <row r="269" spans="1:1" ht="12.75">
      <c r="A269" s="50"/>
    </row>
    <row r="270" spans="1:1" ht="12.75">
      <c r="A270" s="50"/>
    </row>
    <row r="271" spans="1:1" ht="12.75">
      <c r="A271" s="50"/>
    </row>
    <row r="272" spans="1:1" ht="12.75">
      <c r="A272" s="50"/>
    </row>
    <row r="273" spans="1:1" ht="12.75">
      <c r="A273" s="50"/>
    </row>
    <row r="274" spans="1:1" ht="12.75">
      <c r="A274" s="50"/>
    </row>
    <row r="275" spans="1:1" ht="12.75">
      <c r="A275" s="50"/>
    </row>
    <row r="276" spans="1:1" ht="12.75">
      <c r="A276" s="50"/>
    </row>
    <row r="277" spans="1:1" ht="12.75">
      <c r="A277" s="50"/>
    </row>
    <row r="278" spans="1:1" ht="12.75">
      <c r="A278" s="50"/>
    </row>
    <row r="279" spans="1:1" ht="12.75">
      <c r="A279" s="50"/>
    </row>
    <row r="280" spans="1:1" ht="12.75">
      <c r="A280" s="50"/>
    </row>
    <row r="281" spans="1:1" ht="12.75">
      <c r="A281" s="50"/>
    </row>
    <row r="282" spans="1:1" ht="12.75">
      <c r="A282" s="50"/>
    </row>
    <row r="283" spans="1:1" ht="12.75">
      <c r="A283" s="50"/>
    </row>
    <row r="284" spans="1:1" ht="12.75">
      <c r="A284" s="50"/>
    </row>
    <row r="285" spans="1:1" ht="12.75">
      <c r="A285" s="50"/>
    </row>
    <row r="286" spans="1:1" ht="12.75">
      <c r="A286" s="50"/>
    </row>
    <row r="287" spans="1:1" ht="12.75">
      <c r="A287" s="50"/>
    </row>
    <row r="288" spans="1:1" ht="12.75">
      <c r="A288" s="50"/>
    </row>
    <row r="289" spans="1:1" ht="12.75">
      <c r="A289" s="50"/>
    </row>
    <row r="290" spans="1:1" ht="12.75">
      <c r="A290" s="50"/>
    </row>
    <row r="291" spans="1:1" ht="12.75">
      <c r="A291" s="50"/>
    </row>
    <row r="292" spans="1:1" ht="12.75">
      <c r="A292" s="50"/>
    </row>
    <row r="293" spans="1:1" ht="12.75">
      <c r="A293" s="50"/>
    </row>
    <row r="294" spans="1:1" ht="12.75">
      <c r="A294" s="50"/>
    </row>
    <row r="295" spans="1:1" ht="12.75">
      <c r="A295" s="50"/>
    </row>
    <row r="296" spans="1:1" ht="12.75">
      <c r="A296" s="50"/>
    </row>
    <row r="297" spans="1:1" ht="12.75">
      <c r="A297" s="50"/>
    </row>
    <row r="298" spans="1:1" ht="12.75">
      <c r="A298" s="50"/>
    </row>
    <row r="299" spans="1:1" ht="12.75">
      <c r="A299" s="50"/>
    </row>
    <row r="300" spans="1:1" ht="12.75">
      <c r="A300" s="50"/>
    </row>
    <row r="301" spans="1:1" ht="12.75">
      <c r="A301" s="50"/>
    </row>
    <row r="302" spans="1:1" ht="12.75">
      <c r="A302" s="50"/>
    </row>
    <row r="303" spans="1:1" ht="12.75">
      <c r="A303" s="50"/>
    </row>
    <row r="304" spans="1:1" ht="12.75">
      <c r="A304" s="50"/>
    </row>
    <row r="305" spans="1:1" ht="12.75">
      <c r="A305" s="50"/>
    </row>
    <row r="306" spans="1:1" ht="12.75">
      <c r="A306" s="50"/>
    </row>
    <row r="307" spans="1:1" ht="12.75">
      <c r="A307" s="50"/>
    </row>
    <row r="308" spans="1:1" ht="12.75">
      <c r="A308" s="50"/>
    </row>
    <row r="309" spans="1:1" ht="12.75">
      <c r="A309" s="50"/>
    </row>
    <row r="310" spans="1:1" ht="12.75">
      <c r="A310" s="50"/>
    </row>
    <row r="311" spans="1:1" ht="12.75">
      <c r="A311" s="50"/>
    </row>
    <row r="312" spans="1:1" ht="12.75">
      <c r="A312" s="50"/>
    </row>
    <row r="313" spans="1:1" ht="12.75">
      <c r="A313" s="50"/>
    </row>
    <row r="314" spans="1:1" ht="12.75">
      <c r="A314" s="50"/>
    </row>
    <row r="315" spans="1:1" ht="12.75">
      <c r="A315" s="50"/>
    </row>
    <row r="316" spans="1:1" ht="12.75">
      <c r="A316" s="50"/>
    </row>
    <row r="317" spans="1:1" ht="12.75">
      <c r="A317" s="50"/>
    </row>
    <row r="318" spans="1:1" ht="12.75">
      <c r="A318" s="50"/>
    </row>
    <row r="319" spans="1:1" ht="12.75">
      <c r="A319" s="50"/>
    </row>
    <row r="320" spans="1:1" ht="12.75">
      <c r="A320" s="50"/>
    </row>
    <row r="321" spans="1:1" ht="12.75">
      <c r="A321" s="50"/>
    </row>
    <row r="322" spans="1:1" ht="12.75">
      <c r="A322" s="50"/>
    </row>
    <row r="323" spans="1:1" ht="12.75">
      <c r="A323" s="50"/>
    </row>
    <row r="324" spans="1:1" ht="12.75">
      <c r="A324" s="50"/>
    </row>
    <row r="325" spans="1:1" ht="12.75">
      <c r="A325" s="50"/>
    </row>
    <row r="326" spans="1:1" ht="12.75">
      <c r="A326" s="50"/>
    </row>
    <row r="327" spans="1:1" ht="12.75">
      <c r="A327" s="50"/>
    </row>
    <row r="328" spans="1:1" ht="12.75">
      <c r="A328" s="50"/>
    </row>
    <row r="329" spans="1:1" ht="12.75">
      <c r="A329" s="50"/>
    </row>
    <row r="330" spans="1:1" ht="12.75">
      <c r="A330" s="50"/>
    </row>
    <row r="331" spans="1:1" ht="12.75">
      <c r="A331" s="50"/>
    </row>
    <row r="332" spans="1:1" ht="12.75">
      <c r="A332" s="50"/>
    </row>
    <row r="333" spans="1:1" ht="12.75">
      <c r="A333" s="50"/>
    </row>
    <row r="334" spans="1:1" ht="12.75">
      <c r="A334" s="50"/>
    </row>
    <row r="335" spans="1:1" ht="12.75">
      <c r="A335" s="50"/>
    </row>
    <row r="336" spans="1:1" ht="12.75">
      <c r="A336" s="50"/>
    </row>
    <row r="337" spans="1:1" ht="12.75">
      <c r="A337" s="50"/>
    </row>
    <row r="338" spans="1:1" ht="12.75">
      <c r="A338" s="50"/>
    </row>
    <row r="339" spans="1:1" ht="12.75">
      <c r="A339" s="50"/>
    </row>
    <row r="340" spans="1:1" ht="12.75">
      <c r="A340" s="50"/>
    </row>
    <row r="341" spans="1:1" ht="12.75">
      <c r="A341" s="50"/>
    </row>
    <row r="342" spans="1:1" ht="12.75">
      <c r="A342" s="50"/>
    </row>
    <row r="343" spans="1:1" ht="12.75">
      <c r="A343" s="50"/>
    </row>
    <row r="344" spans="1:1" ht="12.75">
      <c r="A344" s="50"/>
    </row>
    <row r="345" spans="1:1" ht="12.75">
      <c r="A345" s="50"/>
    </row>
    <row r="346" spans="1:1" ht="12.75">
      <c r="A346" s="50"/>
    </row>
    <row r="347" spans="1:1" ht="12.75">
      <c r="A347" s="50"/>
    </row>
    <row r="348" spans="1:1" ht="12.75">
      <c r="A348" s="50"/>
    </row>
    <row r="349" spans="1:1" ht="12.75">
      <c r="A349" s="50"/>
    </row>
    <row r="350" spans="1:1" ht="12.75">
      <c r="A350" s="50"/>
    </row>
    <row r="351" spans="1:1" ht="12.75">
      <c r="A351" s="50"/>
    </row>
    <row r="352" spans="1:1" ht="12.75">
      <c r="A352" s="50"/>
    </row>
    <row r="353" spans="1:1" ht="12.75">
      <c r="A353" s="50"/>
    </row>
    <row r="354" spans="1:1" ht="12.75">
      <c r="A354" s="50"/>
    </row>
    <row r="355" spans="1:1" ht="12.75">
      <c r="A355" s="50"/>
    </row>
    <row r="356" spans="1:1" ht="12.75">
      <c r="A356" s="50"/>
    </row>
    <row r="357" spans="1:1" ht="12.75">
      <c r="A357" s="50"/>
    </row>
    <row r="358" spans="1:1" ht="12.75">
      <c r="A358" s="50"/>
    </row>
    <row r="359" spans="1:1" ht="12.75">
      <c r="A359" s="50"/>
    </row>
    <row r="360" spans="1:1" ht="12.75">
      <c r="A360" s="50"/>
    </row>
    <row r="361" spans="1:1" ht="12.75">
      <c r="A361" s="50"/>
    </row>
    <row r="362" spans="1:1" ht="12.75">
      <c r="A362" s="50"/>
    </row>
    <row r="363" spans="1:1" ht="12.75">
      <c r="A363" s="50"/>
    </row>
    <row r="364" spans="1:1" ht="12.75">
      <c r="A364" s="50"/>
    </row>
    <row r="365" spans="1:1" ht="12.75">
      <c r="A365" s="50"/>
    </row>
    <row r="366" spans="1:1" ht="12.75">
      <c r="A366" s="50"/>
    </row>
    <row r="367" spans="1:1" ht="12.75">
      <c r="A367" s="50"/>
    </row>
    <row r="368" spans="1:1" ht="12.75">
      <c r="A368" s="50"/>
    </row>
    <row r="369" spans="1:1" ht="12.75">
      <c r="A369" s="50"/>
    </row>
    <row r="370" spans="1:1" ht="12.75">
      <c r="A370" s="50"/>
    </row>
    <row r="371" spans="1:1" ht="12.75">
      <c r="A371" s="50"/>
    </row>
    <row r="372" spans="1:1" ht="12.75">
      <c r="A372" s="50"/>
    </row>
    <row r="373" spans="1:1" ht="12.75">
      <c r="A373" s="50"/>
    </row>
    <row r="374" spans="1:1" ht="12.75">
      <c r="A374" s="50"/>
    </row>
    <row r="375" spans="1:1" ht="12.75">
      <c r="A375" s="50"/>
    </row>
    <row r="376" spans="1:1" ht="12.75">
      <c r="A376" s="50"/>
    </row>
    <row r="377" spans="1:1" ht="12.75">
      <c r="A377" s="50"/>
    </row>
    <row r="378" spans="1:1" ht="12.75">
      <c r="A378" s="50"/>
    </row>
    <row r="379" spans="1:1" ht="12.75">
      <c r="A379" s="50"/>
    </row>
    <row r="380" spans="1:1" ht="12.75">
      <c r="A380" s="50"/>
    </row>
    <row r="381" spans="1:1" ht="12.75">
      <c r="A381" s="50"/>
    </row>
    <row r="382" spans="1:1" ht="12.75">
      <c r="A382" s="50"/>
    </row>
    <row r="383" spans="1:1" ht="12.75">
      <c r="A383" s="50"/>
    </row>
    <row r="384" spans="1:1" ht="12.75">
      <c r="A384" s="50"/>
    </row>
    <row r="385" spans="1:1" ht="12.75">
      <c r="A385" s="50"/>
    </row>
    <row r="386" spans="1:1" ht="12.75">
      <c r="A386" s="50"/>
    </row>
    <row r="387" spans="1:1" ht="12.75">
      <c r="A387" s="50"/>
    </row>
    <row r="388" spans="1:1" ht="12.75">
      <c r="A388" s="50"/>
    </row>
    <row r="389" spans="1:1" ht="12.75">
      <c r="A389" s="50"/>
    </row>
    <row r="390" spans="1:1" ht="12.75">
      <c r="A390" s="50"/>
    </row>
    <row r="391" spans="1:1" ht="12.75">
      <c r="A391" s="50"/>
    </row>
    <row r="392" spans="1:1" ht="12.75">
      <c r="A392" s="50"/>
    </row>
    <row r="393" spans="1:1" ht="12.75">
      <c r="A393" s="50"/>
    </row>
    <row r="394" spans="1:1" ht="12.75">
      <c r="A394" s="50"/>
    </row>
    <row r="395" spans="1:1" ht="12.75">
      <c r="A395" s="50"/>
    </row>
    <row r="396" spans="1:1" ht="12.75">
      <c r="A396" s="50"/>
    </row>
    <row r="397" spans="1:1" ht="12.75">
      <c r="A397" s="50"/>
    </row>
    <row r="398" spans="1:1" ht="12.75">
      <c r="A398" s="50"/>
    </row>
    <row r="399" spans="1:1" ht="12.75">
      <c r="A399" s="50"/>
    </row>
    <row r="400" spans="1:1" ht="12.75">
      <c r="A400" s="50"/>
    </row>
    <row r="401" spans="1:1" ht="12.75">
      <c r="A401" s="50"/>
    </row>
    <row r="402" spans="1:1" ht="12.75">
      <c r="A402" s="50"/>
    </row>
    <row r="403" spans="1:1" ht="12.75">
      <c r="A403" s="50"/>
    </row>
    <row r="404" spans="1:1" ht="12.75">
      <c r="A404" s="50"/>
    </row>
    <row r="405" spans="1:1" ht="12.75">
      <c r="A405" s="50"/>
    </row>
    <row r="406" spans="1:1" ht="12.75">
      <c r="A406" s="50"/>
    </row>
    <row r="407" spans="1:1" ht="12.75">
      <c r="A407" s="50"/>
    </row>
    <row r="408" spans="1:1" ht="12.75">
      <c r="A408" s="50"/>
    </row>
    <row r="409" spans="1:1" ht="12.75">
      <c r="A409" s="50"/>
    </row>
    <row r="410" spans="1:1" ht="12.75">
      <c r="A410" s="50"/>
    </row>
    <row r="411" spans="1:1" ht="12.75">
      <c r="A411" s="50"/>
    </row>
    <row r="412" spans="1:1" ht="12.75">
      <c r="A412" s="50"/>
    </row>
    <row r="413" spans="1:1" ht="12.75">
      <c r="A413" s="50"/>
    </row>
    <row r="414" spans="1:1" ht="12.75">
      <c r="A414" s="50"/>
    </row>
    <row r="415" spans="1:1" ht="12.75">
      <c r="A415" s="50"/>
    </row>
    <row r="416" spans="1:1" ht="12.75">
      <c r="A416" s="50"/>
    </row>
    <row r="417" spans="1:1" ht="12.75">
      <c r="A417" s="50"/>
    </row>
    <row r="418" spans="1:1" ht="12.75">
      <c r="A418" s="50"/>
    </row>
    <row r="419" spans="1:1" ht="12.75">
      <c r="A419" s="50"/>
    </row>
    <row r="420" spans="1:1" ht="12.75">
      <c r="A420" s="50"/>
    </row>
    <row r="421" spans="1:1" ht="12.75">
      <c r="A421" s="50"/>
    </row>
    <row r="422" spans="1:1" ht="12.75">
      <c r="A422" s="50"/>
    </row>
    <row r="423" spans="1:1" ht="12.75">
      <c r="A423" s="50"/>
    </row>
    <row r="424" spans="1:1" ht="12.75">
      <c r="A424" s="50"/>
    </row>
    <row r="425" spans="1:1" ht="12.75">
      <c r="A425" s="50"/>
    </row>
    <row r="426" spans="1:1" ht="12.75">
      <c r="A426" s="50"/>
    </row>
    <row r="427" spans="1:1" ht="12.75">
      <c r="A427" s="50"/>
    </row>
    <row r="428" spans="1:1" ht="12.75">
      <c r="A428" s="50"/>
    </row>
    <row r="429" spans="1:1" ht="12.75">
      <c r="A429" s="50"/>
    </row>
    <row r="430" spans="1:1" ht="12.75">
      <c r="A430" s="50"/>
    </row>
    <row r="431" spans="1:1" ht="12.75">
      <c r="A431" s="50"/>
    </row>
    <row r="432" spans="1:1" ht="12.75">
      <c r="A432" s="50"/>
    </row>
    <row r="433" spans="1:1" ht="12.75">
      <c r="A433" s="50"/>
    </row>
    <row r="434" spans="1:1" ht="12.75">
      <c r="A434" s="50"/>
    </row>
    <row r="435" spans="1:1" ht="12.75">
      <c r="A435" s="50"/>
    </row>
    <row r="436" spans="1:1" ht="12.75">
      <c r="A436" s="50"/>
    </row>
    <row r="437" spans="1:1" ht="12.75">
      <c r="A437" s="50"/>
    </row>
    <row r="438" spans="1:1" ht="12.75">
      <c r="A438" s="50"/>
    </row>
    <row r="439" spans="1:1" ht="12.75">
      <c r="A439" s="50"/>
    </row>
    <row r="440" spans="1:1" ht="12.75">
      <c r="A440" s="50"/>
    </row>
    <row r="441" spans="1:1" ht="12.75">
      <c r="A441" s="50"/>
    </row>
    <row r="442" spans="1:1" ht="12.75">
      <c r="A442" s="50"/>
    </row>
    <row r="443" spans="1:1" ht="12.75">
      <c r="A443" s="50"/>
    </row>
    <row r="444" spans="1:1" ht="12.75">
      <c r="A444" s="50"/>
    </row>
    <row r="445" spans="1:1" ht="12.75">
      <c r="A445" s="50"/>
    </row>
    <row r="446" spans="1:1" ht="12.75">
      <c r="A446" s="50"/>
    </row>
    <row r="447" spans="1:1" ht="12.75">
      <c r="A447" s="50"/>
    </row>
    <row r="448" spans="1:1" ht="12.75">
      <c r="A448" s="50"/>
    </row>
    <row r="449" spans="1:1" ht="12.75">
      <c r="A449" s="50"/>
    </row>
    <row r="450" spans="1:1" ht="12.75">
      <c r="A450" s="50"/>
    </row>
    <row r="451" spans="1:1" ht="12.75">
      <c r="A451" s="50"/>
    </row>
    <row r="452" spans="1:1" ht="12.75">
      <c r="A452" s="50"/>
    </row>
    <row r="453" spans="1:1" ht="12.75">
      <c r="A453" s="50"/>
    </row>
    <row r="454" spans="1:1" ht="12.75">
      <c r="A454" s="50"/>
    </row>
    <row r="455" spans="1:1" ht="12.75">
      <c r="A455" s="50"/>
    </row>
    <row r="456" spans="1:1" ht="12.75">
      <c r="A456" s="50"/>
    </row>
    <row r="457" spans="1:1" ht="12.75">
      <c r="A457" s="50"/>
    </row>
    <row r="458" spans="1:1" ht="12.75">
      <c r="A458" s="50"/>
    </row>
    <row r="459" spans="1:1" ht="12.75">
      <c r="A459" s="50"/>
    </row>
    <row r="460" spans="1:1" ht="12.75">
      <c r="A460" s="50"/>
    </row>
    <row r="461" spans="1:1" ht="12.75">
      <c r="A461" s="50"/>
    </row>
    <row r="462" spans="1:1" ht="12.75">
      <c r="A462" s="50"/>
    </row>
    <row r="463" spans="1:1" ht="12.75">
      <c r="A463" s="50"/>
    </row>
    <row r="464" spans="1:1" ht="12.75">
      <c r="A464" s="50"/>
    </row>
    <row r="465" spans="1:1" ht="12.75">
      <c r="A465" s="50"/>
    </row>
    <row r="466" spans="1:1" ht="12.75">
      <c r="A466" s="50"/>
    </row>
    <row r="467" spans="1:1" ht="12.75">
      <c r="A467" s="50"/>
    </row>
    <row r="468" spans="1:1" ht="12.75">
      <c r="A468" s="50"/>
    </row>
    <row r="469" spans="1:1" ht="12.75">
      <c r="A469" s="50"/>
    </row>
    <row r="470" spans="1:1" ht="12.75">
      <c r="A470" s="50"/>
    </row>
    <row r="471" spans="1:1" ht="12.75">
      <c r="A471" s="50"/>
    </row>
    <row r="472" spans="1:1" ht="12.75">
      <c r="A472" s="50"/>
    </row>
    <row r="473" spans="1:1" ht="12.75">
      <c r="A473" s="50"/>
    </row>
    <row r="474" spans="1:1" ht="12.75">
      <c r="A474" s="50"/>
    </row>
    <row r="475" spans="1:1" ht="12.75">
      <c r="A475" s="50"/>
    </row>
    <row r="476" spans="1:1" ht="12.75">
      <c r="A476" s="50"/>
    </row>
    <row r="477" spans="1:1" ht="12.75">
      <c r="A477" s="50"/>
    </row>
    <row r="478" spans="1:1" ht="12.75">
      <c r="A478" s="50"/>
    </row>
    <row r="479" spans="1:1" ht="12.75">
      <c r="A479" s="50"/>
    </row>
    <row r="480" spans="1:1" ht="12.75">
      <c r="A480" s="50"/>
    </row>
    <row r="481" spans="1:1" ht="12.75">
      <c r="A481" s="50"/>
    </row>
    <row r="482" spans="1:1" ht="12.75">
      <c r="A482" s="50"/>
    </row>
    <row r="483" spans="1:1" ht="12.75">
      <c r="A483" s="50"/>
    </row>
    <row r="484" spans="1:1" ht="12.75">
      <c r="A484" s="50"/>
    </row>
    <row r="485" spans="1:1" ht="12.75">
      <c r="A485" s="50"/>
    </row>
    <row r="486" spans="1:1" ht="12.75">
      <c r="A486" s="50"/>
    </row>
    <row r="487" spans="1:1" ht="12.75">
      <c r="A487" s="50"/>
    </row>
    <row r="488" spans="1:1" ht="12.75">
      <c r="A488" s="50"/>
    </row>
    <row r="489" spans="1:1" ht="12.75">
      <c r="A489" s="50"/>
    </row>
    <row r="490" spans="1:1" ht="12.75">
      <c r="A490" s="50"/>
    </row>
    <row r="491" spans="1:1" ht="12.75">
      <c r="A491" s="50"/>
    </row>
    <row r="492" spans="1:1" ht="12.75">
      <c r="A492" s="50"/>
    </row>
    <row r="493" spans="1:1" ht="12.75">
      <c r="A493" s="50"/>
    </row>
    <row r="494" spans="1:1" ht="12.75">
      <c r="A494" s="50"/>
    </row>
    <row r="495" spans="1:1" ht="12.75">
      <c r="A495" s="50"/>
    </row>
    <row r="496" spans="1:1" ht="12.75">
      <c r="A496" s="50"/>
    </row>
    <row r="497" spans="1:1" ht="12.75">
      <c r="A497" s="50"/>
    </row>
    <row r="498" spans="1:1" ht="12.75">
      <c r="A498" s="50"/>
    </row>
    <row r="499" spans="1:1" ht="12.75">
      <c r="A499" s="50"/>
    </row>
    <row r="500" spans="1:1" ht="12.75">
      <c r="A500" s="50"/>
    </row>
    <row r="501" spans="1:1" ht="12.75">
      <c r="A501" s="50"/>
    </row>
    <row r="502" spans="1:1" ht="12.75">
      <c r="A502" s="50"/>
    </row>
    <row r="503" spans="1:1" ht="12.75">
      <c r="A503" s="50"/>
    </row>
    <row r="504" spans="1:1" ht="12.75">
      <c r="A504" s="50"/>
    </row>
    <row r="505" spans="1:1" ht="12.75">
      <c r="A505" s="50"/>
    </row>
    <row r="506" spans="1:1" ht="12.75">
      <c r="A506" s="50"/>
    </row>
    <row r="507" spans="1:1" ht="12.75">
      <c r="A507" s="50"/>
    </row>
    <row r="508" spans="1:1" ht="12.75">
      <c r="A508" s="50"/>
    </row>
    <row r="509" spans="1:1" ht="12.75">
      <c r="A509" s="50"/>
    </row>
    <row r="510" spans="1:1" ht="12.75">
      <c r="A510" s="50"/>
    </row>
    <row r="511" spans="1:1" ht="12.75">
      <c r="A511" s="50"/>
    </row>
    <row r="512" spans="1:1" ht="12.75">
      <c r="A512" s="50"/>
    </row>
    <row r="513" spans="1:1" ht="12.75">
      <c r="A513" s="50"/>
    </row>
    <row r="514" spans="1:1" ht="12.75">
      <c r="A514" s="50"/>
    </row>
    <row r="515" spans="1:1" ht="12.75">
      <c r="A515" s="50"/>
    </row>
    <row r="516" spans="1:1" ht="12.75">
      <c r="A516" s="50"/>
    </row>
    <row r="517" spans="1:1" ht="12.75">
      <c r="A517" s="50"/>
    </row>
    <row r="518" spans="1:1" ht="12.75">
      <c r="A518" s="50"/>
    </row>
    <row r="519" spans="1:1" ht="12.75">
      <c r="A519" s="50"/>
    </row>
    <row r="520" spans="1:1" ht="12.75">
      <c r="A520" s="50"/>
    </row>
    <row r="521" spans="1:1" ht="12.75">
      <c r="A521" s="50"/>
    </row>
    <row r="522" spans="1:1" ht="12.75">
      <c r="A522" s="50"/>
    </row>
    <row r="523" spans="1:1" ht="12.75">
      <c r="A523" s="50"/>
    </row>
    <row r="524" spans="1:1" ht="12.75">
      <c r="A524" s="50"/>
    </row>
    <row r="525" spans="1:1" ht="12.75">
      <c r="A525" s="50"/>
    </row>
    <row r="526" spans="1:1" ht="12.75">
      <c r="A526" s="50"/>
    </row>
    <row r="527" spans="1:1" ht="12.75">
      <c r="A527" s="50"/>
    </row>
    <row r="528" spans="1:1" ht="12.75">
      <c r="A528" s="50"/>
    </row>
    <row r="529" spans="1:1" ht="12.75">
      <c r="A529" s="50"/>
    </row>
    <row r="530" spans="1:1" ht="12.75">
      <c r="A530" s="50"/>
    </row>
    <row r="531" spans="1:1" ht="12.75">
      <c r="A531" s="50"/>
    </row>
    <row r="532" spans="1:1" ht="12.75">
      <c r="A532" s="50"/>
    </row>
    <row r="533" spans="1:1" ht="12.75">
      <c r="A533" s="50"/>
    </row>
    <row r="534" spans="1:1" ht="12.75">
      <c r="A534" s="50"/>
    </row>
    <row r="535" spans="1:1" ht="12.75">
      <c r="A535" s="50"/>
    </row>
    <row r="536" spans="1:1" ht="12.75">
      <c r="A536" s="50"/>
    </row>
    <row r="537" spans="1:1" ht="12.75">
      <c r="A537" s="50"/>
    </row>
    <row r="538" spans="1:1" ht="12.75">
      <c r="A538" s="50"/>
    </row>
    <row r="539" spans="1:1" ht="12.75">
      <c r="A539" s="50"/>
    </row>
    <row r="540" spans="1:1" ht="12.75">
      <c r="A540" s="50"/>
    </row>
    <row r="541" spans="1:1" ht="12.75">
      <c r="A541" s="50"/>
    </row>
    <row r="542" spans="1:1" ht="12.75">
      <c r="A542" s="50"/>
    </row>
    <row r="543" spans="1:1" ht="12.75">
      <c r="A543" s="50"/>
    </row>
    <row r="544" spans="1:1" ht="12.75">
      <c r="A544" s="50"/>
    </row>
    <row r="545" spans="1:1" ht="12.75">
      <c r="A545" s="50"/>
    </row>
    <row r="546" spans="1:1" ht="12.75">
      <c r="A546" s="50"/>
    </row>
    <row r="547" spans="1:1" ht="12.75">
      <c r="A547" s="50"/>
    </row>
    <row r="548" spans="1:1" ht="12.75">
      <c r="A548" s="50"/>
    </row>
    <row r="549" spans="1:1" ht="12.75">
      <c r="A549" s="50"/>
    </row>
    <row r="550" spans="1:1" ht="12.75">
      <c r="A550" s="50"/>
    </row>
    <row r="551" spans="1:1" ht="12.75">
      <c r="A551" s="50"/>
    </row>
    <row r="552" spans="1:1" ht="12.75">
      <c r="A552" s="50"/>
    </row>
    <row r="553" spans="1:1" ht="12.75">
      <c r="A553" s="50"/>
    </row>
    <row r="554" spans="1:1" ht="12.75">
      <c r="A554" s="50"/>
    </row>
    <row r="555" spans="1:1" ht="12.75">
      <c r="A555" s="50"/>
    </row>
    <row r="556" spans="1:1" ht="12.75">
      <c r="A556" s="50"/>
    </row>
    <row r="557" spans="1:1" ht="12.75">
      <c r="A557" s="50"/>
    </row>
    <row r="558" spans="1:1" ht="12.75">
      <c r="A558" s="50"/>
    </row>
    <row r="559" spans="1:1" ht="12.75">
      <c r="A559" s="50"/>
    </row>
    <row r="560" spans="1:1" ht="12.75">
      <c r="A560" s="50"/>
    </row>
    <row r="561" spans="1:1" ht="12.75">
      <c r="A561" s="50"/>
    </row>
    <row r="562" spans="1:1" ht="12.75">
      <c r="A562" s="50"/>
    </row>
    <row r="563" spans="1:1" ht="12.75">
      <c r="A563" s="50"/>
    </row>
    <row r="564" spans="1:1" ht="12.75">
      <c r="A564" s="50"/>
    </row>
    <row r="565" spans="1:1" ht="12.75">
      <c r="A565" s="50"/>
    </row>
    <row r="566" spans="1:1" ht="12.75">
      <c r="A566" s="50"/>
    </row>
    <row r="567" spans="1:1" ht="12.75">
      <c r="A567" s="50"/>
    </row>
    <row r="568" spans="1:1" ht="12.75">
      <c r="A568" s="50"/>
    </row>
    <row r="569" spans="1:1" ht="12.75">
      <c r="A569" s="50"/>
    </row>
    <row r="570" spans="1:1" ht="12.75">
      <c r="A570" s="50"/>
    </row>
    <row r="571" spans="1:1" ht="12.75">
      <c r="A571" s="50"/>
    </row>
    <row r="572" spans="1:1" ht="12.75">
      <c r="A572" s="50"/>
    </row>
    <row r="573" spans="1:1" ht="12.75">
      <c r="A573" s="50"/>
    </row>
    <row r="574" spans="1:1" ht="12.75">
      <c r="A574" s="50"/>
    </row>
    <row r="575" spans="1:1" ht="12.75">
      <c r="A575" s="50"/>
    </row>
    <row r="576" spans="1:1" ht="12.75">
      <c r="A576" s="50"/>
    </row>
    <row r="577" spans="1:1" ht="12.75">
      <c r="A577" s="50"/>
    </row>
    <row r="578" spans="1:1" ht="12.75">
      <c r="A578" s="50"/>
    </row>
    <row r="579" spans="1:1" ht="12.75">
      <c r="A579" s="50"/>
    </row>
    <row r="580" spans="1:1" ht="12.75">
      <c r="A580" s="50"/>
    </row>
    <row r="581" spans="1:1" ht="12.75">
      <c r="A581" s="50"/>
    </row>
    <row r="582" spans="1:1" ht="12.75">
      <c r="A582" s="50"/>
    </row>
    <row r="583" spans="1:1" ht="12.75">
      <c r="A583" s="50"/>
    </row>
    <row r="584" spans="1:1" ht="12.75">
      <c r="A584" s="50"/>
    </row>
    <row r="585" spans="1:1" ht="12.75">
      <c r="A585" s="50"/>
    </row>
    <row r="586" spans="1:1" ht="12.75">
      <c r="A586" s="50"/>
    </row>
    <row r="587" spans="1:1" ht="12.75">
      <c r="A587" s="50"/>
    </row>
    <row r="588" spans="1:1" ht="12.75">
      <c r="A588" s="50"/>
    </row>
    <row r="589" spans="1:1" ht="12.75">
      <c r="A589" s="50"/>
    </row>
    <row r="590" spans="1:1" ht="12.75">
      <c r="A590" s="50"/>
    </row>
    <row r="591" spans="1:1" ht="12.75">
      <c r="A591" s="50"/>
    </row>
    <row r="592" spans="1:1" ht="12.75">
      <c r="A592" s="50"/>
    </row>
    <row r="593" spans="1:1" ht="12.75">
      <c r="A593" s="50"/>
    </row>
    <row r="594" spans="1:1" ht="12.75">
      <c r="A594" s="50"/>
    </row>
    <row r="595" spans="1:1" ht="12.75">
      <c r="A595" s="50"/>
    </row>
    <row r="596" spans="1:1" ht="12.75">
      <c r="A596" s="50"/>
    </row>
    <row r="597" spans="1:1" ht="12.75">
      <c r="A597" s="50"/>
    </row>
    <row r="598" spans="1:1" ht="12.75">
      <c r="A598" s="50"/>
    </row>
    <row r="599" spans="1:1" ht="12.75">
      <c r="A599" s="50"/>
    </row>
    <row r="600" spans="1:1" ht="12.75">
      <c r="A600" s="50"/>
    </row>
    <row r="601" spans="1:1" ht="12.75">
      <c r="A601" s="50"/>
    </row>
    <row r="602" spans="1:1" ht="12.75">
      <c r="A602" s="50"/>
    </row>
    <row r="603" spans="1:1" ht="12.75">
      <c r="A603" s="50"/>
    </row>
    <row r="604" spans="1:1" ht="12.75">
      <c r="A604" s="50"/>
    </row>
    <row r="605" spans="1:1" ht="12.75">
      <c r="A605" s="50"/>
    </row>
    <row r="606" spans="1:1" ht="12.75">
      <c r="A606" s="50"/>
    </row>
    <row r="607" spans="1:1" ht="12.75">
      <c r="A607" s="50"/>
    </row>
    <row r="608" spans="1:1" ht="12.75">
      <c r="A608" s="50"/>
    </row>
    <row r="609" spans="1:1" ht="12.75">
      <c r="A609" s="50"/>
    </row>
    <row r="610" spans="1:1" ht="12.75">
      <c r="A610" s="50"/>
    </row>
    <row r="611" spans="1:1" ht="12.75">
      <c r="A611" s="50"/>
    </row>
    <row r="612" spans="1:1" ht="12.75">
      <c r="A612" s="50"/>
    </row>
    <row r="613" spans="1:1" ht="12.75">
      <c r="A613" s="50"/>
    </row>
    <row r="614" spans="1:1" ht="12.75">
      <c r="A614" s="50"/>
    </row>
    <row r="615" spans="1:1" ht="12.75">
      <c r="A615" s="50"/>
    </row>
    <row r="616" spans="1:1" ht="12.75">
      <c r="A616" s="50"/>
    </row>
    <row r="617" spans="1:1" ht="12.75">
      <c r="A617" s="50"/>
    </row>
    <row r="618" spans="1:1" ht="12.75">
      <c r="A618" s="50"/>
    </row>
    <row r="619" spans="1:1" ht="12.75">
      <c r="A619" s="50"/>
    </row>
    <row r="620" spans="1:1" ht="12.75">
      <c r="A620" s="50"/>
    </row>
    <row r="621" spans="1:1" ht="12.75">
      <c r="A621" s="50"/>
    </row>
    <row r="622" spans="1:1" ht="12.75">
      <c r="A622" s="50"/>
    </row>
    <row r="623" spans="1:1" ht="12.75">
      <c r="A623" s="50"/>
    </row>
    <row r="624" spans="1:1" ht="12.75">
      <c r="A624" s="50"/>
    </row>
    <row r="625" spans="1:1" ht="12.75">
      <c r="A625" s="50"/>
    </row>
    <row r="626" spans="1:1" ht="12.75">
      <c r="A626" s="50"/>
    </row>
    <row r="627" spans="1:1" ht="12.75">
      <c r="A627" s="50"/>
    </row>
    <row r="628" spans="1:1" ht="12.75">
      <c r="A628" s="50"/>
    </row>
    <row r="629" spans="1:1" ht="12.75">
      <c r="A629" s="50"/>
    </row>
    <row r="630" spans="1:1" ht="12.75">
      <c r="A630" s="50"/>
    </row>
    <row r="631" spans="1:1" ht="12.75">
      <c r="A631" s="50"/>
    </row>
    <row r="632" spans="1:1" ht="12.75">
      <c r="A632" s="50"/>
    </row>
    <row r="633" spans="1:1" ht="12.75">
      <c r="A633" s="50"/>
    </row>
    <row r="634" spans="1:1" ht="12.75">
      <c r="A634" s="50"/>
    </row>
    <row r="635" spans="1:1" ht="12.75">
      <c r="A635" s="50"/>
    </row>
    <row r="636" spans="1:1" ht="12.75">
      <c r="A636" s="50"/>
    </row>
    <row r="637" spans="1:1" ht="12.75">
      <c r="A637" s="50"/>
    </row>
    <row r="638" spans="1:1" ht="12.75">
      <c r="A638" s="50"/>
    </row>
    <row r="639" spans="1:1" ht="12.75">
      <c r="A639" s="50"/>
    </row>
    <row r="640" spans="1:1" ht="12.75">
      <c r="A640" s="50"/>
    </row>
    <row r="641" spans="1:1" ht="12.75">
      <c r="A641" s="50"/>
    </row>
    <row r="642" spans="1:1" ht="12.75">
      <c r="A642" s="50"/>
    </row>
    <row r="643" spans="1:1" ht="12.75">
      <c r="A643" s="50"/>
    </row>
    <row r="644" spans="1:1" ht="12.75">
      <c r="A644" s="50"/>
    </row>
    <row r="645" spans="1:1" ht="12.75">
      <c r="A645" s="50"/>
    </row>
    <row r="646" spans="1:1" ht="12.75">
      <c r="A646" s="50"/>
    </row>
    <row r="647" spans="1:1" ht="12.75">
      <c r="A647" s="50"/>
    </row>
    <row r="648" spans="1:1" ht="12.75">
      <c r="A648" s="50"/>
    </row>
    <row r="649" spans="1:1" ht="12.75">
      <c r="A649" s="50"/>
    </row>
    <row r="650" spans="1:1" ht="12.75">
      <c r="A650" s="50"/>
    </row>
    <row r="651" spans="1:1" ht="12.75">
      <c r="A651" s="50"/>
    </row>
    <row r="652" spans="1:1" ht="12.75">
      <c r="A652" s="50"/>
    </row>
    <row r="653" spans="1:1" ht="12.75">
      <c r="A653" s="50"/>
    </row>
    <row r="654" spans="1:1" ht="12.75">
      <c r="A654" s="50"/>
    </row>
    <row r="655" spans="1:1" ht="12.75">
      <c r="A655" s="50"/>
    </row>
    <row r="656" spans="1:1" ht="12.75">
      <c r="A656" s="50"/>
    </row>
    <row r="657" spans="1:1" ht="12.75">
      <c r="A657" s="50"/>
    </row>
    <row r="658" spans="1:1" ht="12.75">
      <c r="A658" s="50"/>
    </row>
    <row r="659" spans="1:1" ht="12.75">
      <c r="A659" s="50"/>
    </row>
    <row r="660" spans="1:1" ht="12.75">
      <c r="A660" s="50"/>
    </row>
    <row r="661" spans="1:1" ht="12.75">
      <c r="A661" s="50"/>
    </row>
    <row r="662" spans="1:1" ht="12.75">
      <c r="A662" s="50"/>
    </row>
    <row r="663" spans="1:1" ht="12.75">
      <c r="A663" s="50"/>
    </row>
    <row r="664" spans="1:1" ht="12.75">
      <c r="A664" s="50"/>
    </row>
    <row r="665" spans="1:1" ht="12.75">
      <c r="A665" s="50"/>
    </row>
    <row r="666" spans="1:1" ht="12.75">
      <c r="A666" s="50"/>
    </row>
    <row r="667" spans="1:1" ht="12.75">
      <c r="A667" s="50"/>
    </row>
    <row r="668" spans="1:1" ht="12.75">
      <c r="A668" s="50"/>
    </row>
    <row r="669" spans="1:1" ht="12.75">
      <c r="A669" s="50"/>
    </row>
    <row r="670" spans="1:1" ht="12.75">
      <c r="A670" s="50"/>
    </row>
    <row r="671" spans="1:1" ht="12.75">
      <c r="A671" s="50"/>
    </row>
    <row r="672" spans="1:1" ht="12.75">
      <c r="A672" s="50"/>
    </row>
    <row r="673" spans="1:1" ht="12.75">
      <c r="A673" s="50"/>
    </row>
    <row r="674" spans="1:1" ht="12.75">
      <c r="A674" s="50"/>
    </row>
    <row r="675" spans="1:1" ht="12.75">
      <c r="A675" s="50"/>
    </row>
    <row r="676" spans="1:1" ht="12.75">
      <c r="A676" s="50"/>
    </row>
    <row r="677" spans="1:1" ht="12.75">
      <c r="A677" s="50"/>
    </row>
    <row r="678" spans="1:1" ht="12.75">
      <c r="A678" s="50"/>
    </row>
    <row r="679" spans="1:1" ht="12.75">
      <c r="A679" s="50"/>
    </row>
    <row r="680" spans="1:1" ht="12.75">
      <c r="A680" s="50"/>
    </row>
    <row r="681" spans="1:1" ht="12.75">
      <c r="A681" s="50"/>
    </row>
    <row r="682" spans="1:1" ht="12.75">
      <c r="A682" s="50"/>
    </row>
    <row r="683" spans="1:1" ht="12.75">
      <c r="A683" s="50"/>
    </row>
    <row r="684" spans="1:1" ht="12.75">
      <c r="A684" s="50"/>
    </row>
    <row r="685" spans="1:1" ht="12.75">
      <c r="A685" s="50"/>
    </row>
    <row r="686" spans="1:1" ht="12.75">
      <c r="A686" s="50"/>
    </row>
    <row r="687" spans="1:1" ht="12.75">
      <c r="A687" s="50"/>
    </row>
    <row r="688" spans="1:1" ht="12.75">
      <c r="A688" s="50"/>
    </row>
    <row r="689" spans="1:1" ht="12.75">
      <c r="A689" s="50"/>
    </row>
    <row r="690" spans="1:1" ht="12.75">
      <c r="A690" s="50"/>
    </row>
    <row r="691" spans="1:1" ht="12.75">
      <c r="A691" s="50"/>
    </row>
    <row r="692" spans="1:1" ht="12.75">
      <c r="A692" s="50"/>
    </row>
    <row r="693" spans="1:1" ht="12.75">
      <c r="A693" s="50"/>
    </row>
    <row r="694" spans="1:1" ht="12.75">
      <c r="A694" s="50"/>
    </row>
    <row r="695" spans="1:1" ht="12.75">
      <c r="A695" s="50"/>
    </row>
    <row r="696" spans="1:1" ht="12.75">
      <c r="A696" s="50"/>
    </row>
    <row r="697" spans="1:1" ht="12.75">
      <c r="A697" s="50"/>
    </row>
    <row r="698" spans="1:1" ht="12.75">
      <c r="A698" s="50"/>
    </row>
    <row r="699" spans="1:1" ht="12.75">
      <c r="A699" s="50"/>
    </row>
    <row r="700" spans="1:1" ht="12.75">
      <c r="A700" s="50"/>
    </row>
    <row r="701" spans="1:1" ht="12.75">
      <c r="A701" s="50"/>
    </row>
    <row r="702" spans="1:1" ht="12.75">
      <c r="A702" s="50"/>
    </row>
    <row r="703" spans="1:1" ht="12.75">
      <c r="A703" s="50"/>
    </row>
    <row r="704" spans="1:1" ht="12.75">
      <c r="A704" s="50"/>
    </row>
    <row r="705" spans="1:1" ht="12.75">
      <c r="A705" s="50"/>
    </row>
    <row r="706" spans="1:1" ht="12.75">
      <c r="A706" s="50"/>
    </row>
    <row r="707" spans="1:1" ht="12.75">
      <c r="A707" s="50"/>
    </row>
    <row r="708" spans="1:1" ht="12.75">
      <c r="A708" s="50"/>
    </row>
    <row r="709" spans="1:1" ht="12.75">
      <c r="A709" s="50"/>
    </row>
    <row r="710" spans="1:1" ht="12.75">
      <c r="A710" s="50"/>
    </row>
    <row r="711" spans="1:1" ht="12.75">
      <c r="A711" s="50"/>
    </row>
    <row r="712" spans="1:1" ht="12.75">
      <c r="A712" s="50"/>
    </row>
    <row r="713" spans="1:1" ht="12.75">
      <c r="A713" s="50"/>
    </row>
    <row r="714" spans="1:1" ht="12.75">
      <c r="A714" s="50"/>
    </row>
    <row r="715" spans="1:1" ht="12.75">
      <c r="A715" s="50"/>
    </row>
    <row r="716" spans="1:1" ht="12.75">
      <c r="A716" s="50"/>
    </row>
    <row r="717" spans="1:1" ht="12.75">
      <c r="A717" s="50"/>
    </row>
    <row r="718" spans="1:1" ht="12.75">
      <c r="A718" s="50"/>
    </row>
    <row r="719" spans="1:1" ht="12.75">
      <c r="A719" s="50"/>
    </row>
    <row r="720" spans="1:1" ht="12.75">
      <c r="A720" s="50"/>
    </row>
    <row r="721" spans="1:1" ht="12.75">
      <c r="A721" s="50"/>
    </row>
    <row r="722" spans="1:1" ht="12.75">
      <c r="A722" s="50"/>
    </row>
    <row r="723" spans="1:1" ht="12.75">
      <c r="A723" s="50"/>
    </row>
    <row r="724" spans="1:1" ht="12.75">
      <c r="A724" s="50"/>
    </row>
    <row r="725" spans="1:1" ht="12.75">
      <c r="A725" s="50"/>
    </row>
    <row r="726" spans="1:1" ht="12.75">
      <c r="A726" s="50"/>
    </row>
    <row r="727" spans="1:1" ht="12.75">
      <c r="A727" s="50"/>
    </row>
    <row r="728" spans="1:1" ht="12.75">
      <c r="A728" s="50"/>
    </row>
    <row r="729" spans="1:1" ht="12.75">
      <c r="A729" s="50"/>
    </row>
    <row r="730" spans="1:1" ht="12.75">
      <c r="A730" s="50"/>
    </row>
    <row r="731" spans="1:1" ht="12.75">
      <c r="A731" s="50"/>
    </row>
    <row r="732" spans="1:1" ht="12.75">
      <c r="A732" s="50"/>
    </row>
    <row r="733" spans="1:1" ht="12.75">
      <c r="A733" s="50"/>
    </row>
    <row r="734" spans="1:1" ht="12.75">
      <c r="A734" s="50"/>
    </row>
    <row r="735" spans="1:1" ht="12.75">
      <c r="A735" s="50"/>
    </row>
    <row r="736" spans="1:1" ht="12.75">
      <c r="A736" s="50"/>
    </row>
    <row r="737" spans="1:1" ht="12.75">
      <c r="A737" s="50"/>
    </row>
    <row r="738" spans="1:1" ht="12.75">
      <c r="A738" s="50"/>
    </row>
    <row r="739" spans="1:1" ht="12.75">
      <c r="A739" s="50"/>
    </row>
    <row r="740" spans="1:1" ht="12.75">
      <c r="A740" s="50"/>
    </row>
    <row r="741" spans="1:1" ht="12.75">
      <c r="A741" s="50"/>
    </row>
    <row r="742" spans="1:1" ht="12.75">
      <c r="A742" s="50"/>
    </row>
    <row r="743" spans="1:1" ht="12.75">
      <c r="A743" s="50"/>
    </row>
    <row r="744" spans="1:1" ht="12.75">
      <c r="A744" s="50"/>
    </row>
    <row r="745" spans="1:1" ht="12.75">
      <c r="A745" s="50"/>
    </row>
    <row r="746" spans="1:1" ht="12.75">
      <c r="A746" s="50"/>
    </row>
    <row r="747" spans="1:1" ht="12.75">
      <c r="A747" s="50"/>
    </row>
    <row r="748" spans="1:1" ht="12.75">
      <c r="A748" s="50"/>
    </row>
    <row r="749" spans="1:1" ht="12.75">
      <c r="A749" s="50"/>
    </row>
    <row r="750" spans="1:1" ht="12.75">
      <c r="A750" s="50"/>
    </row>
    <row r="751" spans="1:1" ht="12.75">
      <c r="A751" s="50"/>
    </row>
    <row r="752" spans="1:1" ht="12.75">
      <c r="A752" s="50"/>
    </row>
    <row r="753" spans="1:1" ht="12.75">
      <c r="A753" s="50"/>
    </row>
    <row r="754" spans="1:1" ht="12.75">
      <c r="A754" s="50"/>
    </row>
    <row r="755" spans="1:1" ht="12.75">
      <c r="A755" s="50"/>
    </row>
    <row r="756" spans="1:1" ht="12.75">
      <c r="A756" s="50"/>
    </row>
    <row r="757" spans="1:1" ht="12.75">
      <c r="A757" s="50"/>
    </row>
    <row r="758" spans="1:1" ht="12.75">
      <c r="A758" s="50"/>
    </row>
    <row r="759" spans="1:1" ht="12.75">
      <c r="A759" s="50"/>
    </row>
    <row r="760" spans="1:1" ht="12.75">
      <c r="A760" s="50"/>
    </row>
    <row r="761" spans="1:1" ht="12.75">
      <c r="A761" s="50"/>
    </row>
    <row r="762" spans="1:1" ht="12.75">
      <c r="A762" s="50"/>
    </row>
    <row r="763" spans="1:1" ht="12.75">
      <c r="A763" s="50"/>
    </row>
    <row r="764" spans="1:1" ht="12.75">
      <c r="A764" s="50"/>
    </row>
    <row r="765" spans="1:1" ht="12.75">
      <c r="A765" s="50"/>
    </row>
    <row r="766" spans="1:1" ht="12.75">
      <c r="A766" s="50"/>
    </row>
    <row r="767" spans="1:1" ht="12.75">
      <c r="A767" s="50"/>
    </row>
    <row r="768" spans="1:1" ht="12.75">
      <c r="A768" s="50"/>
    </row>
    <row r="769" spans="1:1" ht="12.75">
      <c r="A769" s="50"/>
    </row>
    <row r="770" spans="1:1" ht="12.75">
      <c r="A770" s="50"/>
    </row>
    <row r="771" spans="1:1" ht="12.75">
      <c r="A771" s="50"/>
    </row>
    <row r="772" spans="1:1" ht="12.75">
      <c r="A772" s="50"/>
    </row>
    <row r="773" spans="1:1" ht="12.75">
      <c r="A773" s="50"/>
    </row>
    <row r="774" spans="1:1" ht="12.75">
      <c r="A774" s="50"/>
    </row>
    <row r="775" spans="1:1" ht="12.75">
      <c r="A775" s="50"/>
    </row>
    <row r="776" spans="1:1" ht="12.75">
      <c r="A776" s="50"/>
    </row>
    <row r="777" spans="1:1" ht="12.75">
      <c r="A777" s="50"/>
    </row>
    <row r="778" spans="1:1" ht="12.75">
      <c r="A778" s="50"/>
    </row>
    <row r="779" spans="1:1" ht="12.75">
      <c r="A779" s="50"/>
    </row>
    <row r="780" spans="1:1" ht="12.75">
      <c r="A780" s="50"/>
    </row>
    <row r="781" spans="1:1" ht="12.75">
      <c r="A781" s="50"/>
    </row>
    <row r="782" spans="1:1" ht="12.75">
      <c r="A782" s="50"/>
    </row>
    <row r="783" spans="1:1" ht="12.75">
      <c r="A783" s="50"/>
    </row>
    <row r="784" spans="1:1" ht="12.75">
      <c r="A784" s="50"/>
    </row>
    <row r="785" spans="1:1" ht="12.75">
      <c r="A785" s="50"/>
    </row>
    <row r="786" spans="1:1" ht="12.75">
      <c r="A786" s="50"/>
    </row>
    <row r="787" spans="1:1" ht="12.75">
      <c r="A787" s="50"/>
    </row>
    <row r="788" spans="1:1" ht="12.75">
      <c r="A788" s="50"/>
    </row>
    <row r="789" spans="1:1" ht="12.75">
      <c r="A789" s="50"/>
    </row>
    <row r="790" spans="1:1" ht="12.75">
      <c r="A790" s="50"/>
    </row>
    <row r="791" spans="1:1" ht="12.75">
      <c r="A791" s="50"/>
    </row>
    <row r="792" spans="1:1" ht="12.75">
      <c r="A792" s="50"/>
    </row>
    <row r="793" spans="1:1" ht="12.75">
      <c r="A793" s="50"/>
    </row>
    <row r="794" spans="1:1" ht="12.75">
      <c r="A794" s="50"/>
    </row>
    <row r="795" spans="1:1" ht="12.75">
      <c r="A795" s="50"/>
    </row>
    <row r="796" spans="1:1" ht="12.75">
      <c r="A796" s="50"/>
    </row>
    <row r="797" spans="1:1" ht="12.75">
      <c r="A797" s="50"/>
    </row>
    <row r="798" spans="1:1" ht="12.75">
      <c r="A798" s="50"/>
    </row>
    <row r="799" spans="1:1" ht="12.75">
      <c r="A799" s="50"/>
    </row>
    <row r="800" spans="1:1" ht="12.75">
      <c r="A800" s="50"/>
    </row>
    <row r="801" spans="1:1" ht="12.75">
      <c r="A801" s="50"/>
    </row>
    <row r="802" spans="1:1" ht="12.75">
      <c r="A802" s="50"/>
    </row>
    <row r="803" spans="1:1" ht="12.75">
      <c r="A803" s="50"/>
    </row>
    <row r="804" spans="1:1" ht="12.75">
      <c r="A804" s="50"/>
    </row>
    <row r="805" spans="1:1" ht="12.75">
      <c r="A805" s="50"/>
    </row>
    <row r="806" spans="1:1" ht="12.75">
      <c r="A806" s="50"/>
    </row>
    <row r="807" spans="1:1" ht="12.75">
      <c r="A807" s="50"/>
    </row>
    <row r="808" spans="1:1" ht="12.75">
      <c r="A808" s="50"/>
    </row>
    <row r="809" spans="1:1" ht="12.75">
      <c r="A809" s="50"/>
    </row>
    <row r="810" spans="1:1" ht="12.75">
      <c r="A810" s="50"/>
    </row>
    <row r="811" spans="1:1" ht="12.75">
      <c r="A811" s="50"/>
    </row>
    <row r="812" spans="1:1" ht="12.75">
      <c r="A812" s="50"/>
    </row>
    <row r="813" spans="1:1" ht="12.75">
      <c r="A813" s="50"/>
    </row>
    <row r="814" spans="1:1" ht="12.75">
      <c r="A814" s="50"/>
    </row>
    <row r="815" spans="1:1" ht="12.75">
      <c r="A815" s="50"/>
    </row>
    <row r="816" spans="1:1" ht="12.75">
      <c r="A816" s="50"/>
    </row>
    <row r="817" spans="1:1" ht="12.75">
      <c r="A817" s="50"/>
    </row>
    <row r="818" spans="1:1" ht="12.75">
      <c r="A818" s="50"/>
    </row>
    <row r="819" spans="1:1" ht="12.75">
      <c r="A819" s="50"/>
    </row>
    <row r="820" spans="1:1" ht="12.75">
      <c r="A820" s="50"/>
    </row>
    <row r="821" spans="1:1" ht="12.75">
      <c r="A821" s="50"/>
    </row>
    <row r="822" spans="1:1" ht="12.75">
      <c r="A822" s="50"/>
    </row>
    <row r="823" spans="1:1" ht="12.75">
      <c r="A823" s="50"/>
    </row>
    <row r="824" spans="1:1" ht="12.75">
      <c r="A824" s="50"/>
    </row>
    <row r="825" spans="1:1" ht="12.75">
      <c r="A825" s="50"/>
    </row>
    <row r="826" spans="1:1" ht="12.75">
      <c r="A826" s="50"/>
    </row>
    <row r="827" spans="1:1" ht="12.75">
      <c r="A827" s="50"/>
    </row>
    <row r="828" spans="1:1" ht="12.75">
      <c r="A828" s="50"/>
    </row>
    <row r="829" spans="1:1" ht="12.75">
      <c r="A829" s="50"/>
    </row>
    <row r="830" spans="1:1" ht="12.75">
      <c r="A830" s="50"/>
    </row>
    <row r="831" spans="1:1" ht="12.75">
      <c r="A831" s="50"/>
    </row>
    <row r="832" spans="1:1" ht="12.75">
      <c r="A832" s="50"/>
    </row>
    <row r="833" spans="1:1" ht="12.75">
      <c r="A833" s="50"/>
    </row>
    <row r="834" spans="1:1" ht="12.75">
      <c r="A834" s="50"/>
    </row>
    <row r="835" spans="1:1" ht="12.75">
      <c r="A835" s="50"/>
    </row>
    <row r="836" spans="1:1" ht="12.75">
      <c r="A836" s="50"/>
    </row>
    <row r="837" spans="1:1" ht="12.75">
      <c r="A837" s="50"/>
    </row>
    <row r="838" spans="1:1" ht="12.75">
      <c r="A838" s="50"/>
    </row>
    <row r="839" spans="1:1" ht="12.75">
      <c r="A839" s="50"/>
    </row>
    <row r="840" spans="1:1" ht="12.75">
      <c r="A840" s="50"/>
    </row>
    <row r="841" spans="1:1" ht="12.75">
      <c r="A841" s="50"/>
    </row>
    <row r="842" spans="1:1" ht="12.75">
      <c r="A842" s="50"/>
    </row>
    <row r="843" spans="1:1" ht="12.75">
      <c r="A843" s="50"/>
    </row>
    <row r="844" spans="1:1" ht="12.75">
      <c r="A844" s="50"/>
    </row>
    <row r="845" spans="1:1" ht="12.75">
      <c r="A845" s="50"/>
    </row>
    <row r="846" spans="1:1" ht="12.75">
      <c r="A846" s="50"/>
    </row>
    <row r="847" spans="1:1" ht="12.75">
      <c r="A847" s="50"/>
    </row>
    <row r="848" spans="1:1" ht="12.75">
      <c r="A848" s="50"/>
    </row>
    <row r="849" spans="1:1" ht="12.75">
      <c r="A849" s="50"/>
    </row>
    <row r="850" spans="1:1" ht="12.75">
      <c r="A850" s="50"/>
    </row>
    <row r="851" spans="1:1" ht="12.75">
      <c r="A851" s="50"/>
    </row>
    <row r="852" spans="1:1" ht="12.75">
      <c r="A852" s="50"/>
    </row>
    <row r="853" spans="1:1" ht="12.75">
      <c r="A853" s="50"/>
    </row>
    <row r="854" spans="1:1" ht="12.75">
      <c r="A854" s="50"/>
    </row>
    <row r="855" spans="1:1" ht="12.75">
      <c r="A855" s="50"/>
    </row>
    <row r="856" spans="1:1" ht="12.75">
      <c r="A856" s="50"/>
    </row>
    <row r="857" spans="1:1" ht="12.75">
      <c r="A857" s="50"/>
    </row>
    <row r="858" spans="1:1" ht="12.75">
      <c r="A858" s="50"/>
    </row>
    <row r="859" spans="1:1" ht="12.75">
      <c r="A859" s="50"/>
    </row>
    <row r="860" spans="1:1" ht="12.75">
      <c r="A860" s="50"/>
    </row>
    <row r="861" spans="1:1" ht="12.75">
      <c r="A861" s="50"/>
    </row>
    <row r="862" spans="1:1" ht="12.75">
      <c r="A862" s="50"/>
    </row>
    <row r="863" spans="1:1" ht="12.75">
      <c r="A863" s="50"/>
    </row>
    <row r="864" spans="1:1" ht="12.75">
      <c r="A864" s="50"/>
    </row>
    <row r="865" spans="1:1" ht="12.75">
      <c r="A865" s="50"/>
    </row>
    <row r="866" spans="1:1" ht="12.75">
      <c r="A866" s="50"/>
    </row>
    <row r="867" spans="1:1" ht="12.75">
      <c r="A867" s="50"/>
    </row>
    <row r="868" spans="1:1" ht="12.75">
      <c r="A868" s="50"/>
    </row>
    <row r="869" spans="1:1" ht="12.75">
      <c r="A869" s="50"/>
    </row>
    <row r="870" spans="1:1" ht="12.75">
      <c r="A870" s="50"/>
    </row>
    <row r="871" spans="1:1" ht="12.75">
      <c r="A871" s="50"/>
    </row>
    <row r="872" spans="1:1" ht="12.75">
      <c r="A872" s="50"/>
    </row>
    <row r="873" spans="1:1" ht="12.75">
      <c r="A873" s="50"/>
    </row>
    <row r="874" spans="1:1" ht="12.75">
      <c r="A874" s="50"/>
    </row>
    <row r="875" spans="1:1" ht="12.75">
      <c r="A875" s="50"/>
    </row>
    <row r="876" spans="1:1" ht="12.75">
      <c r="A876" s="50"/>
    </row>
    <row r="877" spans="1:1" ht="12.75">
      <c r="A877" s="50"/>
    </row>
    <row r="878" spans="1:1" ht="12.75">
      <c r="A878" s="50"/>
    </row>
    <row r="879" spans="1:1" ht="12.75">
      <c r="A879" s="50"/>
    </row>
    <row r="880" spans="1:1" ht="12.75">
      <c r="A880" s="50"/>
    </row>
    <row r="881" spans="1:1" ht="12.75">
      <c r="A881" s="50"/>
    </row>
    <row r="882" spans="1:1" ht="12.75">
      <c r="A882" s="50"/>
    </row>
    <row r="883" spans="1:1" ht="12.75">
      <c r="A883" s="50"/>
    </row>
    <row r="884" spans="1:1" ht="12.75">
      <c r="A884" s="50"/>
    </row>
    <row r="885" spans="1:1" ht="12.75">
      <c r="A885" s="50"/>
    </row>
    <row r="886" spans="1:1" ht="12.75">
      <c r="A886" s="50"/>
    </row>
    <row r="887" spans="1:1" ht="12.75">
      <c r="A887" s="50"/>
    </row>
    <row r="888" spans="1:1" ht="12.75">
      <c r="A888" s="50"/>
    </row>
    <row r="889" spans="1:1" ht="12.75">
      <c r="A889" s="50"/>
    </row>
    <row r="890" spans="1:1" ht="12.75">
      <c r="A890" s="50"/>
    </row>
    <row r="891" spans="1:1" ht="12.75">
      <c r="A891" s="50"/>
    </row>
    <row r="892" spans="1:1" ht="12.75">
      <c r="A892" s="50"/>
    </row>
    <row r="893" spans="1:1" ht="12.75">
      <c r="A893" s="50"/>
    </row>
    <row r="894" spans="1:1" ht="12.75">
      <c r="A894" s="50"/>
    </row>
    <row r="895" spans="1:1" ht="12.75">
      <c r="A895" s="50"/>
    </row>
    <row r="896" spans="1:1" ht="12.75">
      <c r="A896" s="50"/>
    </row>
    <row r="897" spans="1:1" ht="12.75">
      <c r="A897" s="50"/>
    </row>
    <row r="898" spans="1:1" ht="12.75">
      <c r="A898" s="50"/>
    </row>
    <row r="899" spans="1:1" ht="12.75">
      <c r="A899" s="50"/>
    </row>
    <row r="900" spans="1:1" ht="12.75">
      <c r="A900" s="50"/>
    </row>
    <row r="901" spans="1:1" ht="12.75">
      <c r="A901" s="50"/>
    </row>
    <row r="902" spans="1:1" ht="12.75">
      <c r="A902" s="50"/>
    </row>
    <row r="903" spans="1:1" ht="12.75">
      <c r="A903" s="50"/>
    </row>
    <row r="904" spans="1:1" ht="12.75">
      <c r="A904" s="50"/>
    </row>
    <row r="905" spans="1:1" ht="12.75">
      <c r="A905" s="50"/>
    </row>
    <row r="906" spans="1:1" ht="12.75">
      <c r="A906" s="50"/>
    </row>
    <row r="907" spans="1:1" ht="12.75">
      <c r="A907" s="50"/>
    </row>
    <row r="908" spans="1:1" ht="12.75">
      <c r="A908" s="50"/>
    </row>
    <row r="909" spans="1:1" ht="12.75">
      <c r="A909" s="50"/>
    </row>
    <row r="910" spans="1:1" ht="12.75">
      <c r="A910" s="50"/>
    </row>
    <row r="911" spans="1:1" ht="12.75">
      <c r="A911" s="50"/>
    </row>
    <row r="912" spans="1:1" ht="12.75">
      <c r="A912" s="50"/>
    </row>
    <row r="913" spans="1:1" ht="12.75">
      <c r="A913" s="50"/>
    </row>
    <row r="914" spans="1:1" ht="12.75">
      <c r="A914" s="50"/>
    </row>
    <row r="915" spans="1:1" ht="12.75">
      <c r="A915" s="50"/>
    </row>
    <row r="916" spans="1:1" ht="12.75">
      <c r="A916" s="50"/>
    </row>
    <row r="917" spans="1:1" ht="12.75">
      <c r="A917" s="50"/>
    </row>
    <row r="918" spans="1:1" ht="12.75">
      <c r="A918" s="50"/>
    </row>
    <row r="919" spans="1:1" ht="12.75">
      <c r="A919" s="50"/>
    </row>
    <row r="920" spans="1:1" ht="12.75">
      <c r="A920" s="50"/>
    </row>
    <row r="921" spans="1:1" ht="12.75">
      <c r="A921" s="50"/>
    </row>
    <row r="922" spans="1:1" ht="12.75">
      <c r="A922" s="50"/>
    </row>
    <row r="923" spans="1:1" ht="12.75">
      <c r="A923" s="50"/>
    </row>
    <row r="924" spans="1:1" ht="12.75">
      <c r="A924" s="50"/>
    </row>
    <row r="925" spans="1:1" ht="12.75">
      <c r="A925" s="50"/>
    </row>
    <row r="926" spans="1:1" ht="12.75">
      <c r="A926" s="50"/>
    </row>
    <row r="927" spans="1:1" ht="12.75">
      <c r="A927" s="50"/>
    </row>
    <row r="928" spans="1:1" ht="12.75">
      <c r="A928" s="50"/>
    </row>
    <row r="929" spans="1:1" ht="12.75">
      <c r="A929" s="50"/>
    </row>
    <row r="930" spans="1:1" ht="12.75">
      <c r="A930" s="50"/>
    </row>
    <row r="931" spans="1:1" ht="12.75">
      <c r="A931" s="50"/>
    </row>
    <row r="932" spans="1:1" ht="12.75">
      <c r="A932" s="50"/>
    </row>
    <row r="933" spans="1:1" ht="12.75">
      <c r="A933" s="50"/>
    </row>
    <row r="934" spans="1:1" ht="12.75">
      <c r="A934" s="50"/>
    </row>
    <row r="935" spans="1:1" ht="12.75">
      <c r="A935" s="50"/>
    </row>
    <row r="936" spans="1:1" ht="12.75">
      <c r="A936" s="50"/>
    </row>
    <row r="937" spans="1:1" ht="12.75">
      <c r="A937" s="50"/>
    </row>
    <row r="938" spans="1:1" ht="12.75">
      <c r="A938" s="50"/>
    </row>
    <row r="939" spans="1:1" ht="12.75">
      <c r="A939" s="50"/>
    </row>
    <row r="940" spans="1:1" ht="12.75">
      <c r="A940" s="50"/>
    </row>
    <row r="941" spans="1:1" ht="12.75">
      <c r="A941" s="50"/>
    </row>
    <row r="942" spans="1:1" ht="12.75">
      <c r="A942" s="50"/>
    </row>
    <row r="943" spans="1:1" ht="12.75">
      <c r="A943" s="50"/>
    </row>
    <row r="944" spans="1:1" ht="12.75">
      <c r="A944" s="50"/>
    </row>
    <row r="945" spans="1:1" ht="12.75">
      <c r="A945" s="50"/>
    </row>
    <row r="946" spans="1:1" ht="12.75">
      <c r="A946" s="50"/>
    </row>
    <row r="947" spans="1:1" ht="12.75">
      <c r="A947" s="50"/>
    </row>
    <row r="948" spans="1:1" ht="12.75">
      <c r="A948" s="50"/>
    </row>
    <row r="949" spans="1:1" ht="12.75">
      <c r="A949" s="50"/>
    </row>
    <row r="950" spans="1:1" ht="12.75">
      <c r="A950" s="50"/>
    </row>
    <row r="951" spans="1:1" ht="12.75">
      <c r="A951" s="50"/>
    </row>
    <row r="952" spans="1:1" ht="12.75">
      <c r="A952" s="50"/>
    </row>
    <row r="953" spans="1:1" ht="12.75">
      <c r="A953" s="50"/>
    </row>
    <row r="954" spans="1:1" ht="12.75">
      <c r="A954" s="50"/>
    </row>
    <row r="955" spans="1:1" ht="12.75">
      <c r="A955" s="50"/>
    </row>
    <row r="956" spans="1:1" ht="12.75">
      <c r="A956" s="50"/>
    </row>
    <row r="957" spans="1:1" ht="12.75">
      <c r="A957" s="50"/>
    </row>
    <row r="958" spans="1:1" ht="12.75">
      <c r="A958" s="50"/>
    </row>
    <row r="959" spans="1:1" ht="12.75">
      <c r="A959" s="50"/>
    </row>
    <row r="960" spans="1:1" ht="12.75">
      <c r="A960" s="50"/>
    </row>
    <row r="961" spans="1:1" ht="12.75">
      <c r="A961" s="50"/>
    </row>
    <row r="962" spans="1:1" ht="12.75">
      <c r="A962" s="50"/>
    </row>
    <row r="963" spans="1:1" ht="12.75">
      <c r="A963" s="50"/>
    </row>
    <row r="964" spans="1:1" ht="12.75">
      <c r="A964" s="50"/>
    </row>
    <row r="965" spans="1:1" ht="12.75">
      <c r="A965" s="50"/>
    </row>
    <row r="966" spans="1:1" ht="12.75">
      <c r="A966" s="50"/>
    </row>
    <row r="967" spans="1:1" ht="12.75">
      <c r="A967" s="50"/>
    </row>
    <row r="968" spans="1:1" ht="12.75">
      <c r="A968" s="50"/>
    </row>
    <row r="969" spans="1:1" ht="12.75">
      <c r="A969" s="50"/>
    </row>
    <row r="970" spans="1:1" ht="12.75">
      <c r="A970" s="50"/>
    </row>
    <row r="971" spans="1:1" ht="12.75">
      <c r="A971" s="50"/>
    </row>
    <row r="972" spans="1:1" ht="12.75">
      <c r="A972" s="50"/>
    </row>
    <row r="973" spans="1:1" ht="12.75">
      <c r="A973" s="50"/>
    </row>
    <row r="974" spans="1:1" ht="12.75">
      <c r="A974" s="50"/>
    </row>
    <row r="975" spans="1:1" ht="12.75">
      <c r="A975" s="50"/>
    </row>
    <row r="976" spans="1:1" ht="12.75">
      <c r="A976" s="50"/>
    </row>
    <row r="977" spans="1:1" ht="12.75">
      <c r="A977" s="50"/>
    </row>
    <row r="978" spans="1:1" ht="12.75">
      <c r="A978" s="50"/>
    </row>
    <row r="979" spans="1:1" ht="12.75">
      <c r="A979" s="50"/>
    </row>
    <row r="980" spans="1:1" ht="12.75">
      <c r="A980" s="50"/>
    </row>
    <row r="981" spans="1:1" ht="12.75">
      <c r="A981" s="50"/>
    </row>
    <row r="982" spans="1:1" ht="12.75">
      <c r="A982" s="50"/>
    </row>
    <row r="983" spans="1:1" ht="12.75">
      <c r="A983" s="50"/>
    </row>
    <row r="984" spans="1:1" ht="12.75">
      <c r="A984" s="50"/>
    </row>
    <row r="985" spans="1:1" ht="12.75">
      <c r="A985" s="50"/>
    </row>
    <row r="986" spans="1:1" ht="12.75">
      <c r="A986" s="50"/>
    </row>
    <row r="987" spans="1:1" ht="12.75">
      <c r="A987" s="50"/>
    </row>
    <row r="988" spans="1:1" ht="12.75">
      <c r="A988" s="50"/>
    </row>
    <row r="989" spans="1:1" ht="12.75">
      <c r="A989" s="50"/>
    </row>
    <row r="990" spans="1:1" ht="12.75">
      <c r="A990" s="50"/>
    </row>
    <row r="991" spans="1:1" ht="12.75">
      <c r="A991" s="50"/>
    </row>
    <row r="992" spans="1:1" ht="12.75">
      <c r="A992" s="50"/>
    </row>
    <row r="993" spans="1:1" ht="12.75">
      <c r="A993" s="50"/>
    </row>
    <row r="994" spans="1:1" ht="12.75">
      <c r="A994" s="50"/>
    </row>
    <row r="995" spans="1:1" ht="12.75">
      <c r="A995" s="50"/>
    </row>
    <row r="996" spans="1:1" ht="12.75">
      <c r="A996" s="50"/>
    </row>
    <row r="997" spans="1:1" ht="12.75">
      <c r="A997" s="50"/>
    </row>
    <row r="998" spans="1:1" ht="12.75">
      <c r="A998" s="50"/>
    </row>
    <row r="999" spans="1:1" ht="12.75">
      <c r="A999" s="50"/>
    </row>
    <row r="1000" spans="1:1" ht="12.75">
      <c r="A1000" s="50"/>
    </row>
    <row r="1001" spans="1:1" ht="12.75">
      <c r="A1001" s="50"/>
    </row>
    <row r="1002" spans="1:1" ht="12.75">
      <c r="A1002" s="50"/>
    </row>
    <row r="1003" spans="1:1" ht="12.75">
      <c r="A1003" s="50"/>
    </row>
    <row r="1004" spans="1:1" ht="12.75">
      <c r="A1004" s="50"/>
    </row>
    <row r="1005" spans="1:1" ht="12.75">
      <c r="A1005" s="50"/>
    </row>
  </sheetData>
  <mergeCells count="2">
    <mergeCell ref="A1:C1"/>
    <mergeCell ref="F1:H1"/>
  </mergeCells>
  <pageMargins left="0.7" right="0.7" top="0.75" bottom="0.75" header="0.3" footer="0.3"/>
  <headerFooter>
    <oddHeader>&amp;C&amp;"Calibri"&amp;10&amp;K000000 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4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6.28515625" customWidth="1"/>
    <col min="2" max="2" width="9.42578125" customWidth="1"/>
    <col min="24" max="24" width="13.85546875" customWidth="1"/>
  </cols>
  <sheetData>
    <row r="1" spans="1:26" ht="36.75" customHeight="1">
      <c r="A1" s="115"/>
      <c r="B1" s="116"/>
      <c r="C1" s="117"/>
      <c r="D1" s="1"/>
      <c r="E1" s="2" t="s">
        <v>79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6" ht="4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7" t="s">
        <v>22</v>
      </c>
      <c r="W2" s="7" t="s">
        <v>23</v>
      </c>
      <c r="X2" s="6" t="s">
        <v>24</v>
      </c>
      <c r="Y2" s="50"/>
      <c r="Z2" s="50"/>
    </row>
    <row r="3" spans="1:26" ht="15">
      <c r="A3" s="9">
        <v>1</v>
      </c>
      <c r="B3" s="10">
        <v>44856</v>
      </c>
      <c r="C3" s="25" t="s">
        <v>25</v>
      </c>
      <c r="D3" s="11" t="s">
        <v>26</v>
      </c>
      <c r="E3" s="11" t="s">
        <v>27</v>
      </c>
      <c r="F3" s="12">
        <v>1968</v>
      </c>
      <c r="G3" s="13">
        <v>1968</v>
      </c>
      <c r="H3" s="14">
        <f t="shared" ref="H3:H22" si="0">IFERROR(G3/F3,0)</f>
        <v>1</v>
      </c>
      <c r="I3" s="15">
        <v>13</v>
      </c>
      <c r="J3" s="15">
        <v>13</v>
      </c>
      <c r="K3" s="16">
        <f t="shared" ref="K3:K15" si="1">G3-I3-J3</f>
        <v>1942</v>
      </c>
      <c r="L3" s="53">
        <v>389250000</v>
      </c>
      <c r="M3" s="13">
        <f t="shared" ref="M3:M5" si="2">I3*5000</f>
        <v>65000</v>
      </c>
      <c r="N3" s="13">
        <f t="shared" ref="N3:N5" si="3">-J3*5000</f>
        <v>-65000</v>
      </c>
      <c r="O3" s="17">
        <f t="shared" ref="O3:O22" si="4">N3+M3</f>
        <v>0</v>
      </c>
      <c r="P3" s="17">
        <f t="shared" ref="P3:P22" si="5">M3-N3</f>
        <v>130000</v>
      </c>
      <c r="Q3" s="16">
        <f t="shared" ref="Q3:Q17" si="6">IFERROR(L3-N3-M3,0)</f>
        <v>389250000</v>
      </c>
      <c r="R3" s="18">
        <f t="shared" ref="R3:R22" si="7">IFERROR((K3/G3),0)</f>
        <v>0.98678861788617889</v>
      </c>
      <c r="S3" s="18">
        <f t="shared" ref="S3:S22" si="8">IFERROR(1-(O3/L3),0)</f>
        <v>1</v>
      </c>
      <c r="T3" s="18">
        <f t="shared" ref="T3:T22" si="9">IFERROR(1-(P3/L3),0)</f>
        <v>0.99966602440590879</v>
      </c>
      <c r="U3" s="19">
        <v>1E-3</v>
      </c>
      <c r="V3" s="20">
        <f t="shared" ref="V3:V22" si="10">IFERROR(I3/G3,0)</f>
        <v>6.6056910569105695E-3</v>
      </c>
      <c r="W3" s="20">
        <f t="shared" ref="W3:W22" si="11">IFERROR(J3/G3,0)</f>
        <v>6.6056910569105695E-3</v>
      </c>
      <c r="X3" s="11" t="s">
        <v>28</v>
      </c>
    </row>
    <row r="4" spans="1:26" ht="15">
      <c r="A4" s="9">
        <f t="shared" ref="A4:A21" si="12">A3+1</f>
        <v>2</v>
      </c>
      <c r="B4" s="10">
        <v>44856</v>
      </c>
      <c r="C4" s="25" t="s">
        <v>65</v>
      </c>
      <c r="D4" s="11" t="s">
        <v>26</v>
      </c>
      <c r="E4" s="11" t="s">
        <v>27</v>
      </c>
      <c r="F4" s="12">
        <v>4364</v>
      </c>
      <c r="G4" s="13">
        <v>4364</v>
      </c>
      <c r="H4" s="14">
        <f t="shared" si="0"/>
        <v>1</v>
      </c>
      <c r="I4" s="15"/>
      <c r="J4" s="15">
        <v>2</v>
      </c>
      <c r="K4" s="16">
        <f t="shared" si="1"/>
        <v>4362</v>
      </c>
      <c r="L4" s="54">
        <v>1242570606</v>
      </c>
      <c r="M4" s="13">
        <f t="shared" si="2"/>
        <v>0</v>
      </c>
      <c r="N4" s="13">
        <f t="shared" si="3"/>
        <v>-10000</v>
      </c>
      <c r="O4" s="17">
        <f t="shared" si="4"/>
        <v>-10000</v>
      </c>
      <c r="P4" s="17">
        <f t="shared" si="5"/>
        <v>10000</v>
      </c>
      <c r="Q4" s="16">
        <f t="shared" si="6"/>
        <v>1242580606</v>
      </c>
      <c r="R4" s="18">
        <f t="shared" si="7"/>
        <v>0.99954170485792848</v>
      </c>
      <c r="S4" s="18">
        <f t="shared" si="8"/>
        <v>1.0000080478324143</v>
      </c>
      <c r="T4" s="18">
        <f t="shared" si="9"/>
        <v>0.99999195216758574</v>
      </c>
      <c r="U4" s="19">
        <v>1.5E-3</v>
      </c>
      <c r="V4" s="20">
        <f t="shared" si="10"/>
        <v>0</v>
      </c>
      <c r="W4" s="20">
        <f t="shared" si="11"/>
        <v>4.5829514207149406E-4</v>
      </c>
      <c r="X4" s="11" t="s">
        <v>28</v>
      </c>
    </row>
    <row r="5" spans="1:26" ht="15">
      <c r="A5" s="9">
        <f t="shared" si="12"/>
        <v>3</v>
      </c>
      <c r="B5" s="10">
        <v>44856</v>
      </c>
      <c r="C5" s="25" t="s">
        <v>66</v>
      </c>
      <c r="D5" s="11" t="s">
        <v>26</v>
      </c>
      <c r="E5" s="11" t="s">
        <v>27</v>
      </c>
      <c r="F5" s="27">
        <v>263</v>
      </c>
      <c r="G5" s="13">
        <v>263</v>
      </c>
      <c r="H5" s="14">
        <f t="shared" si="0"/>
        <v>1</v>
      </c>
      <c r="I5" s="15">
        <v>0</v>
      </c>
      <c r="J5" s="15">
        <v>0</v>
      </c>
      <c r="K5" s="16">
        <f t="shared" si="1"/>
        <v>263</v>
      </c>
      <c r="L5" s="26">
        <v>13178816</v>
      </c>
      <c r="M5" s="13">
        <f t="shared" si="2"/>
        <v>0</v>
      </c>
      <c r="N5" s="13">
        <f t="shared" si="3"/>
        <v>0</v>
      </c>
      <c r="O5" s="17">
        <f t="shared" si="4"/>
        <v>0</v>
      </c>
      <c r="P5" s="17">
        <f t="shared" si="5"/>
        <v>0</v>
      </c>
      <c r="Q5" s="16">
        <f t="shared" si="6"/>
        <v>13178816</v>
      </c>
      <c r="R5" s="18">
        <f t="shared" si="7"/>
        <v>1</v>
      </c>
      <c r="S5" s="18">
        <f t="shared" si="8"/>
        <v>1</v>
      </c>
      <c r="T5" s="18">
        <f t="shared" si="9"/>
        <v>1</v>
      </c>
      <c r="U5" s="19">
        <v>0</v>
      </c>
      <c r="V5" s="20">
        <f t="shared" si="10"/>
        <v>0</v>
      </c>
      <c r="W5" s="20">
        <f t="shared" si="11"/>
        <v>0</v>
      </c>
      <c r="X5" s="11" t="s">
        <v>28</v>
      </c>
    </row>
    <row r="6" spans="1:26" ht="15">
      <c r="A6" s="9">
        <f t="shared" si="12"/>
        <v>4</v>
      </c>
      <c r="B6" s="10">
        <v>44856</v>
      </c>
      <c r="C6" s="25" t="s">
        <v>31</v>
      </c>
      <c r="D6" s="11" t="s">
        <v>26</v>
      </c>
      <c r="E6" s="11" t="s">
        <v>27</v>
      </c>
      <c r="F6" s="12">
        <v>162</v>
      </c>
      <c r="G6" s="13">
        <v>162</v>
      </c>
      <c r="H6" s="14">
        <f t="shared" si="0"/>
        <v>1</v>
      </c>
      <c r="I6" s="15">
        <v>0</v>
      </c>
      <c r="J6" s="15">
        <v>0</v>
      </c>
      <c r="K6" s="16">
        <f t="shared" si="1"/>
        <v>162</v>
      </c>
      <c r="L6" s="26">
        <v>187844412</v>
      </c>
      <c r="M6" s="13">
        <v>0</v>
      </c>
      <c r="N6" s="13">
        <v>0</v>
      </c>
      <c r="O6" s="17">
        <f t="shared" si="4"/>
        <v>0</v>
      </c>
      <c r="P6" s="17">
        <f t="shared" si="5"/>
        <v>0</v>
      </c>
      <c r="Q6" s="16">
        <f t="shared" si="6"/>
        <v>187844412</v>
      </c>
      <c r="R6" s="18">
        <f t="shared" si="7"/>
        <v>1</v>
      </c>
      <c r="S6" s="18">
        <f t="shared" si="8"/>
        <v>1</v>
      </c>
      <c r="T6" s="18">
        <f t="shared" si="9"/>
        <v>1</v>
      </c>
      <c r="U6" s="19">
        <v>1.5E-3</v>
      </c>
      <c r="V6" s="20">
        <f t="shared" si="10"/>
        <v>0</v>
      </c>
      <c r="W6" s="20">
        <f t="shared" si="11"/>
        <v>0</v>
      </c>
      <c r="X6" s="11" t="s">
        <v>28</v>
      </c>
    </row>
    <row r="7" spans="1:26" ht="15">
      <c r="A7" s="9">
        <f t="shared" si="12"/>
        <v>5</v>
      </c>
      <c r="B7" s="10">
        <v>44856</v>
      </c>
      <c r="C7" s="25" t="s">
        <v>32</v>
      </c>
      <c r="D7" s="11" t="s">
        <v>26</v>
      </c>
      <c r="E7" s="11" t="s">
        <v>27</v>
      </c>
      <c r="F7" s="12">
        <v>2350</v>
      </c>
      <c r="G7" s="13">
        <v>2321</v>
      </c>
      <c r="H7" s="14">
        <f t="shared" si="0"/>
        <v>0.98765957446808506</v>
      </c>
      <c r="I7" s="15">
        <v>0</v>
      </c>
      <c r="J7" s="15">
        <v>0</v>
      </c>
      <c r="K7" s="16">
        <f t="shared" si="1"/>
        <v>2321</v>
      </c>
      <c r="L7" s="26">
        <v>315771901</v>
      </c>
      <c r="M7" s="13">
        <v>0</v>
      </c>
      <c r="N7" s="13">
        <v>0</v>
      </c>
      <c r="O7" s="17">
        <f t="shared" si="4"/>
        <v>0</v>
      </c>
      <c r="P7" s="17">
        <f t="shared" si="5"/>
        <v>0</v>
      </c>
      <c r="Q7" s="16">
        <f t="shared" si="6"/>
        <v>315771901</v>
      </c>
      <c r="R7" s="18">
        <f t="shared" si="7"/>
        <v>1</v>
      </c>
      <c r="S7" s="18">
        <f t="shared" si="8"/>
        <v>1</v>
      </c>
      <c r="T7" s="18">
        <f t="shared" si="9"/>
        <v>1</v>
      </c>
      <c r="U7" s="19">
        <v>1.5E-3</v>
      </c>
      <c r="V7" s="20">
        <f t="shared" si="10"/>
        <v>0</v>
      </c>
      <c r="W7" s="20">
        <f t="shared" si="11"/>
        <v>0</v>
      </c>
      <c r="X7" s="11" t="s">
        <v>33</v>
      </c>
    </row>
    <row r="8" spans="1:26" ht="15">
      <c r="A8" s="9">
        <f t="shared" si="12"/>
        <v>6</v>
      </c>
      <c r="B8" s="10">
        <v>44856</v>
      </c>
      <c r="C8" s="25" t="s">
        <v>34</v>
      </c>
      <c r="D8" s="11" t="s">
        <v>26</v>
      </c>
      <c r="E8" s="11" t="s">
        <v>27</v>
      </c>
      <c r="F8" s="12">
        <v>676</v>
      </c>
      <c r="G8" s="12">
        <v>676</v>
      </c>
      <c r="H8" s="14">
        <f t="shared" si="0"/>
        <v>1</v>
      </c>
      <c r="I8" s="15">
        <v>0</v>
      </c>
      <c r="J8" s="15">
        <v>0</v>
      </c>
      <c r="K8" s="16">
        <f t="shared" si="1"/>
        <v>676</v>
      </c>
      <c r="L8" s="26">
        <v>150799858</v>
      </c>
      <c r="M8" s="13">
        <v>0</v>
      </c>
      <c r="N8" s="13">
        <v>0</v>
      </c>
      <c r="O8" s="17">
        <f t="shared" si="4"/>
        <v>0</v>
      </c>
      <c r="P8" s="17">
        <f t="shared" si="5"/>
        <v>0</v>
      </c>
      <c r="Q8" s="16">
        <f t="shared" si="6"/>
        <v>150799858</v>
      </c>
      <c r="R8" s="18">
        <f t="shared" si="7"/>
        <v>1</v>
      </c>
      <c r="S8" s="18">
        <f t="shared" si="8"/>
        <v>1</v>
      </c>
      <c r="T8" s="18">
        <f t="shared" si="9"/>
        <v>1</v>
      </c>
      <c r="U8" s="19">
        <v>0</v>
      </c>
      <c r="V8" s="20">
        <f t="shared" si="10"/>
        <v>0</v>
      </c>
      <c r="W8" s="20">
        <f t="shared" si="11"/>
        <v>0</v>
      </c>
      <c r="X8" s="11" t="s">
        <v>28</v>
      </c>
    </row>
    <row r="9" spans="1:26" ht="15">
      <c r="A9" s="9">
        <f t="shared" si="12"/>
        <v>7</v>
      </c>
      <c r="B9" s="10">
        <v>44856</v>
      </c>
      <c r="C9" s="25" t="s">
        <v>37</v>
      </c>
      <c r="D9" s="11" t="s">
        <v>26</v>
      </c>
      <c r="E9" s="11" t="s">
        <v>27</v>
      </c>
      <c r="F9" s="12">
        <v>876</v>
      </c>
      <c r="G9" s="13">
        <v>876</v>
      </c>
      <c r="H9" s="14">
        <f t="shared" si="0"/>
        <v>1</v>
      </c>
      <c r="I9" s="15">
        <v>12</v>
      </c>
      <c r="J9" s="15">
        <v>13</v>
      </c>
      <c r="K9" s="16">
        <f t="shared" si="1"/>
        <v>851</v>
      </c>
      <c r="L9" s="26">
        <v>1645851</v>
      </c>
      <c r="M9" s="13">
        <v>1208</v>
      </c>
      <c r="N9" s="13">
        <v>1414</v>
      </c>
      <c r="O9" s="17">
        <f t="shared" si="4"/>
        <v>2622</v>
      </c>
      <c r="P9" s="17">
        <f t="shared" si="5"/>
        <v>-206</v>
      </c>
      <c r="Q9" s="16">
        <f t="shared" si="6"/>
        <v>1643229</v>
      </c>
      <c r="R9" s="18">
        <f t="shared" si="7"/>
        <v>0.97146118721461183</v>
      </c>
      <c r="S9" s="18">
        <f t="shared" si="8"/>
        <v>0.99840690317653302</v>
      </c>
      <c r="T9" s="18">
        <f t="shared" si="9"/>
        <v>1.0001251632134378</v>
      </c>
      <c r="U9" s="19">
        <v>5.0000000000000001E-4</v>
      </c>
      <c r="V9" s="20">
        <f t="shared" si="10"/>
        <v>1.3698630136986301E-2</v>
      </c>
      <c r="W9" s="20">
        <f t="shared" si="11"/>
        <v>1.4840182648401826E-2</v>
      </c>
      <c r="X9" s="11" t="s">
        <v>28</v>
      </c>
    </row>
    <row r="10" spans="1:26" ht="15">
      <c r="A10" s="9">
        <f t="shared" si="12"/>
        <v>8</v>
      </c>
      <c r="B10" s="10">
        <v>44856</v>
      </c>
      <c r="C10" s="25" t="s">
        <v>38</v>
      </c>
      <c r="D10" s="11" t="s">
        <v>26</v>
      </c>
      <c r="E10" s="11" t="s">
        <v>27</v>
      </c>
      <c r="F10" s="12">
        <v>600</v>
      </c>
      <c r="G10" s="13">
        <v>600</v>
      </c>
      <c r="H10" s="14">
        <f t="shared" si="0"/>
        <v>1</v>
      </c>
      <c r="I10" s="13">
        <v>0</v>
      </c>
      <c r="J10" s="13">
        <v>0</v>
      </c>
      <c r="K10" s="16">
        <f t="shared" si="1"/>
        <v>600</v>
      </c>
      <c r="L10" s="26">
        <v>6042970</v>
      </c>
      <c r="M10" s="13">
        <v>0</v>
      </c>
      <c r="N10" s="13">
        <v>0</v>
      </c>
      <c r="O10" s="17">
        <f t="shared" si="4"/>
        <v>0</v>
      </c>
      <c r="P10" s="17">
        <f t="shared" si="5"/>
        <v>0</v>
      </c>
      <c r="Q10" s="16">
        <f t="shared" si="6"/>
        <v>6042970</v>
      </c>
      <c r="R10" s="18">
        <f t="shared" si="7"/>
        <v>1</v>
      </c>
      <c r="S10" s="18">
        <f t="shared" si="8"/>
        <v>1</v>
      </c>
      <c r="T10" s="18">
        <f t="shared" si="9"/>
        <v>1</v>
      </c>
      <c r="U10" s="19">
        <v>0</v>
      </c>
      <c r="V10" s="20">
        <f t="shared" si="10"/>
        <v>0</v>
      </c>
      <c r="W10" s="20">
        <f t="shared" si="11"/>
        <v>0</v>
      </c>
      <c r="X10" s="11" t="s">
        <v>28</v>
      </c>
    </row>
    <row r="11" spans="1:26" ht="15">
      <c r="A11" s="9">
        <f t="shared" si="12"/>
        <v>9</v>
      </c>
      <c r="B11" s="10">
        <v>44856</v>
      </c>
      <c r="C11" s="25" t="s">
        <v>39</v>
      </c>
      <c r="D11" s="11" t="s">
        <v>26</v>
      </c>
      <c r="E11" s="11" t="s">
        <v>27</v>
      </c>
      <c r="F11" s="12">
        <v>1085</v>
      </c>
      <c r="G11" s="13">
        <v>1085</v>
      </c>
      <c r="H11" s="14">
        <f t="shared" si="0"/>
        <v>1</v>
      </c>
      <c r="I11" s="15">
        <v>20</v>
      </c>
      <c r="J11" s="15">
        <v>20</v>
      </c>
      <c r="K11" s="16">
        <f t="shared" si="1"/>
        <v>1045</v>
      </c>
      <c r="L11" s="26"/>
      <c r="M11" s="15"/>
      <c r="N11" s="15"/>
      <c r="O11" s="17">
        <f t="shared" si="4"/>
        <v>0</v>
      </c>
      <c r="P11" s="17">
        <f t="shared" si="5"/>
        <v>0</v>
      </c>
      <c r="Q11" s="16">
        <f t="shared" si="6"/>
        <v>0</v>
      </c>
      <c r="R11" s="18">
        <f t="shared" si="7"/>
        <v>0.96313364055299544</v>
      </c>
      <c r="S11" s="18">
        <f t="shared" si="8"/>
        <v>0</v>
      </c>
      <c r="T11" s="18">
        <f t="shared" si="9"/>
        <v>0</v>
      </c>
      <c r="U11" s="19"/>
      <c r="V11" s="20">
        <f t="shared" si="10"/>
        <v>1.8433179723502304E-2</v>
      </c>
      <c r="W11" s="20">
        <f t="shared" si="11"/>
        <v>1.8433179723502304E-2</v>
      </c>
      <c r="X11" s="11" t="s">
        <v>28</v>
      </c>
    </row>
    <row r="12" spans="1:26" ht="15">
      <c r="A12" s="9">
        <f t="shared" si="12"/>
        <v>10</v>
      </c>
      <c r="B12" s="10">
        <v>44856</v>
      </c>
      <c r="C12" s="25" t="s">
        <v>67</v>
      </c>
      <c r="D12" s="11" t="s">
        <v>26</v>
      </c>
      <c r="E12" s="11" t="s">
        <v>27</v>
      </c>
      <c r="F12" s="12">
        <v>783</v>
      </c>
      <c r="G12" s="13">
        <v>783</v>
      </c>
      <c r="H12" s="14">
        <f t="shared" si="0"/>
        <v>1</v>
      </c>
      <c r="I12" s="15">
        <v>0</v>
      </c>
      <c r="J12" s="15">
        <v>0</v>
      </c>
      <c r="K12" s="16">
        <f t="shared" si="1"/>
        <v>783</v>
      </c>
      <c r="L12" s="26" t="s">
        <v>80</v>
      </c>
      <c r="M12" s="15">
        <v>0</v>
      </c>
      <c r="N12" s="15">
        <v>0</v>
      </c>
      <c r="O12" s="17">
        <f t="shared" si="4"/>
        <v>0</v>
      </c>
      <c r="P12" s="17">
        <f t="shared" si="5"/>
        <v>0</v>
      </c>
      <c r="Q12" s="16">
        <f t="shared" si="6"/>
        <v>0</v>
      </c>
      <c r="R12" s="18">
        <f t="shared" si="7"/>
        <v>1</v>
      </c>
      <c r="S12" s="18">
        <f t="shared" si="8"/>
        <v>0</v>
      </c>
      <c r="T12" s="18">
        <f t="shared" si="9"/>
        <v>0</v>
      </c>
      <c r="U12" s="19">
        <v>0</v>
      </c>
      <c r="V12" s="20">
        <f t="shared" si="10"/>
        <v>0</v>
      </c>
      <c r="W12" s="20">
        <f t="shared" si="11"/>
        <v>0</v>
      </c>
      <c r="X12" s="11" t="s">
        <v>28</v>
      </c>
    </row>
    <row r="13" spans="1:26" ht="15">
      <c r="A13" s="9">
        <f t="shared" si="12"/>
        <v>11</v>
      </c>
      <c r="B13" s="10">
        <v>44856</v>
      </c>
      <c r="C13" s="25" t="s">
        <v>42</v>
      </c>
      <c r="D13" s="11" t="s">
        <v>26</v>
      </c>
      <c r="E13" s="11" t="s">
        <v>27</v>
      </c>
      <c r="F13" s="12">
        <v>2000</v>
      </c>
      <c r="G13" s="13">
        <v>2165</v>
      </c>
      <c r="H13" s="14">
        <f t="shared" si="0"/>
        <v>1.0825</v>
      </c>
      <c r="I13" s="13">
        <v>13</v>
      </c>
      <c r="J13" s="13">
        <v>21</v>
      </c>
      <c r="K13" s="16">
        <f t="shared" si="1"/>
        <v>2131</v>
      </c>
      <c r="L13" s="55">
        <f>144321*2000</f>
        <v>288642000</v>
      </c>
      <c r="M13" s="15"/>
      <c r="N13" s="15"/>
      <c r="O13" s="17">
        <f t="shared" si="4"/>
        <v>0</v>
      </c>
      <c r="P13" s="17">
        <f t="shared" si="5"/>
        <v>0</v>
      </c>
      <c r="Q13" s="16">
        <f t="shared" si="6"/>
        <v>288642000</v>
      </c>
      <c r="R13" s="18">
        <f t="shared" si="7"/>
        <v>0.98429561200923787</v>
      </c>
      <c r="S13" s="18">
        <f t="shared" si="8"/>
        <v>1</v>
      </c>
      <c r="T13" s="18">
        <f t="shared" si="9"/>
        <v>1</v>
      </c>
      <c r="U13" s="19">
        <v>0</v>
      </c>
      <c r="V13" s="20">
        <f t="shared" si="10"/>
        <v>6.0046189376443421E-3</v>
      </c>
      <c r="W13" s="20">
        <f t="shared" si="11"/>
        <v>9.6997690531177832E-3</v>
      </c>
      <c r="X13" s="11" t="s">
        <v>28</v>
      </c>
    </row>
    <row r="14" spans="1:26" ht="15">
      <c r="A14" s="9">
        <f t="shared" si="12"/>
        <v>12</v>
      </c>
      <c r="B14" s="10">
        <v>44856</v>
      </c>
      <c r="C14" s="25" t="s">
        <v>68</v>
      </c>
      <c r="D14" s="11" t="s">
        <v>26</v>
      </c>
      <c r="E14" s="11" t="s">
        <v>27</v>
      </c>
      <c r="F14" s="12">
        <v>4073</v>
      </c>
      <c r="G14" s="12">
        <v>4199</v>
      </c>
      <c r="H14" s="14">
        <f t="shared" si="0"/>
        <v>1.0309354284311318</v>
      </c>
      <c r="I14" s="15">
        <v>386</v>
      </c>
      <c r="J14" s="15">
        <v>283</v>
      </c>
      <c r="K14" s="16">
        <f t="shared" si="1"/>
        <v>3530</v>
      </c>
      <c r="L14" s="26">
        <v>30319964</v>
      </c>
      <c r="M14" s="15">
        <v>1122511</v>
      </c>
      <c r="N14" s="15">
        <v>105157</v>
      </c>
      <c r="O14" s="17">
        <f t="shared" si="4"/>
        <v>1227668</v>
      </c>
      <c r="P14" s="17">
        <f t="shared" si="5"/>
        <v>1017354</v>
      </c>
      <c r="Q14" s="16">
        <f t="shared" si="6"/>
        <v>29092296</v>
      </c>
      <c r="R14" s="18">
        <f t="shared" si="7"/>
        <v>0.84067635151226483</v>
      </c>
      <c r="S14" s="18">
        <f t="shared" si="8"/>
        <v>0.95950958253116658</v>
      </c>
      <c r="T14" s="18">
        <f t="shared" si="9"/>
        <v>0.96644606833965896</v>
      </c>
      <c r="U14" s="19">
        <v>3.0000000000000001E-3</v>
      </c>
      <c r="V14" s="20">
        <f t="shared" si="10"/>
        <v>9.1926649202190999E-2</v>
      </c>
      <c r="W14" s="20">
        <f t="shared" si="11"/>
        <v>6.7396999285544171E-2</v>
      </c>
      <c r="X14" s="11" t="s">
        <v>28</v>
      </c>
    </row>
    <row r="15" spans="1:26" ht="15">
      <c r="A15" s="9">
        <f t="shared" si="12"/>
        <v>13</v>
      </c>
      <c r="B15" s="10">
        <v>44856</v>
      </c>
      <c r="C15" s="25" t="s">
        <v>69</v>
      </c>
      <c r="D15" s="11" t="s">
        <v>26</v>
      </c>
      <c r="E15" s="11" t="s">
        <v>27</v>
      </c>
      <c r="F15" s="12">
        <v>1737</v>
      </c>
      <c r="G15" s="12">
        <v>1737</v>
      </c>
      <c r="H15" s="14">
        <f t="shared" si="0"/>
        <v>1</v>
      </c>
      <c r="I15" s="15">
        <v>0</v>
      </c>
      <c r="J15" s="15">
        <v>0</v>
      </c>
      <c r="K15" s="16">
        <f t="shared" si="1"/>
        <v>1737</v>
      </c>
      <c r="L15" s="26" t="s">
        <v>81</v>
      </c>
      <c r="M15" s="15">
        <v>0</v>
      </c>
      <c r="N15" s="15">
        <v>0</v>
      </c>
      <c r="O15" s="17">
        <f t="shared" si="4"/>
        <v>0</v>
      </c>
      <c r="P15" s="17">
        <f t="shared" si="5"/>
        <v>0</v>
      </c>
      <c r="Q15" s="16">
        <f t="shared" si="6"/>
        <v>0</v>
      </c>
      <c r="R15" s="18">
        <f t="shared" si="7"/>
        <v>1</v>
      </c>
      <c r="S15" s="18">
        <f t="shared" si="8"/>
        <v>0</v>
      </c>
      <c r="T15" s="18">
        <f t="shared" si="9"/>
        <v>0</v>
      </c>
      <c r="U15" s="19">
        <v>0</v>
      </c>
      <c r="V15" s="20">
        <f t="shared" si="10"/>
        <v>0</v>
      </c>
      <c r="W15" s="20">
        <f t="shared" si="11"/>
        <v>0</v>
      </c>
      <c r="X15" s="11" t="s">
        <v>28</v>
      </c>
    </row>
    <row r="16" spans="1:26" ht="15">
      <c r="A16" s="9">
        <f t="shared" si="12"/>
        <v>14</v>
      </c>
      <c r="B16" s="10">
        <v>44856</v>
      </c>
      <c r="C16" s="25" t="s">
        <v>70</v>
      </c>
      <c r="D16" s="11" t="s">
        <v>26</v>
      </c>
      <c r="E16" s="11" t="s">
        <v>27</v>
      </c>
      <c r="F16" s="12">
        <v>0</v>
      </c>
      <c r="G16" s="12">
        <v>0</v>
      </c>
      <c r="H16" s="14">
        <f t="shared" si="0"/>
        <v>0</v>
      </c>
      <c r="I16" s="15">
        <v>0</v>
      </c>
      <c r="J16" s="15">
        <v>0</v>
      </c>
      <c r="K16" s="16"/>
      <c r="L16" s="26"/>
      <c r="M16" s="15"/>
      <c r="N16" s="15"/>
      <c r="O16" s="17">
        <f t="shared" si="4"/>
        <v>0</v>
      </c>
      <c r="P16" s="17">
        <f t="shared" si="5"/>
        <v>0</v>
      </c>
      <c r="Q16" s="16">
        <f t="shared" si="6"/>
        <v>0</v>
      </c>
      <c r="R16" s="18">
        <f t="shared" si="7"/>
        <v>0</v>
      </c>
      <c r="S16" s="18">
        <f t="shared" si="8"/>
        <v>0</v>
      </c>
      <c r="T16" s="18">
        <f t="shared" si="9"/>
        <v>0</v>
      </c>
      <c r="U16" s="19">
        <v>0</v>
      </c>
      <c r="V16" s="20">
        <f t="shared" si="10"/>
        <v>0</v>
      </c>
      <c r="W16" s="20">
        <f t="shared" si="11"/>
        <v>0</v>
      </c>
      <c r="X16" s="11" t="s">
        <v>28</v>
      </c>
    </row>
    <row r="17" spans="1:24" ht="15">
      <c r="A17" s="9">
        <f t="shared" si="12"/>
        <v>15</v>
      </c>
      <c r="B17" s="10">
        <v>44856</v>
      </c>
      <c r="C17" s="25" t="s">
        <v>71</v>
      </c>
      <c r="D17" s="11" t="s">
        <v>26</v>
      </c>
      <c r="E17" s="11" t="s">
        <v>27</v>
      </c>
      <c r="F17" s="12">
        <v>876</v>
      </c>
      <c r="G17" s="12">
        <v>876</v>
      </c>
      <c r="H17" s="14">
        <f t="shared" si="0"/>
        <v>1</v>
      </c>
      <c r="I17" s="15">
        <v>0</v>
      </c>
      <c r="J17" s="15">
        <v>0</v>
      </c>
      <c r="K17" s="16">
        <f t="shared" ref="K17:K22" si="13">G17-I17-J17</f>
        <v>876</v>
      </c>
      <c r="L17" s="26">
        <v>36538900</v>
      </c>
      <c r="M17" s="15">
        <v>0</v>
      </c>
      <c r="N17" s="15">
        <v>0</v>
      </c>
      <c r="O17" s="17">
        <f t="shared" si="4"/>
        <v>0</v>
      </c>
      <c r="P17" s="17">
        <f t="shared" si="5"/>
        <v>0</v>
      </c>
      <c r="Q17" s="16">
        <f t="shared" si="6"/>
        <v>36538900</v>
      </c>
      <c r="R17" s="18">
        <f t="shared" si="7"/>
        <v>1</v>
      </c>
      <c r="S17" s="18">
        <f t="shared" si="8"/>
        <v>1</v>
      </c>
      <c r="T17" s="18">
        <f t="shared" si="9"/>
        <v>1</v>
      </c>
      <c r="U17" s="19">
        <v>0</v>
      </c>
      <c r="V17" s="20">
        <f t="shared" si="10"/>
        <v>0</v>
      </c>
      <c r="W17" s="20">
        <f t="shared" si="11"/>
        <v>0</v>
      </c>
      <c r="X17" s="11" t="s">
        <v>28</v>
      </c>
    </row>
    <row r="18" spans="1:24" ht="34.5">
      <c r="A18" s="9">
        <f t="shared" si="12"/>
        <v>16</v>
      </c>
      <c r="B18" s="10">
        <v>44856</v>
      </c>
      <c r="C18" s="25" t="s">
        <v>72</v>
      </c>
      <c r="D18" s="11" t="s">
        <v>26</v>
      </c>
      <c r="E18" s="11" t="s">
        <v>27</v>
      </c>
      <c r="F18" s="12">
        <v>1085</v>
      </c>
      <c r="G18" s="12">
        <v>1085</v>
      </c>
      <c r="H18" s="14">
        <f t="shared" si="0"/>
        <v>1</v>
      </c>
      <c r="I18" s="15">
        <v>40</v>
      </c>
      <c r="J18" s="12">
        <v>40</v>
      </c>
      <c r="K18" s="16">
        <f t="shared" si="13"/>
        <v>1005</v>
      </c>
      <c r="L18" s="26"/>
      <c r="M18" s="15"/>
      <c r="N18" s="15"/>
      <c r="O18" s="17">
        <f t="shared" si="4"/>
        <v>0</v>
      </c>
      <c r="P18" s="17">
        <f t="shared" si="5"/>
        <v>0</v>
      </c>
      <c r="Q18" s="16"/>
      <c r="R18" s="18">
        <f t="shared" si="7"/>
        <v>0.92626728110599077</v>
      </c>
      <c r="S18" s="18">
        <f t="shared" si="8"/>
        <v>0</v>
      </c>
      <c r="T18" s="18">
        <f t="shared" si="9"/>
        <v>0</v>
      </c>
      <c r="U18" s="19">
        <v>0</v>
      </c>
      <c r="V18" s="20">
        <f t="shared" si="10"/>
        <v>3.6866359447004608E-2</v>
      </c>
      <c r="W18" s="20">
        <f t="shared" si="11"/>
        <v>3.6866359447004608E-2</v>
      </c>
      <c r="X18" s="11" t="s">
        <v>82</v>
      </c>
    </row>
    <row r="19" spans="1:24" ht="15">
      <c r="A19" s="9">
        <f t="shared" si="12"/>
        <v>17</v>
      </c>
      <c r="B19" s="10">
        <v>44856</v>
      </c>
      <c r="C19" s="25" t="s">
        <v>74</v>
      </c>
      <c r="D19" s="11" t="s">
        <v>26</v>
      </c>
      <c r="E19" s="11" t="s">
        <v>27</v>
      </c>
      <c r="F19" s="27">
        <v>31</v>
      </c>
      <c r="G19" s="27">
        <v>31</v>
      </c>
      <c r="H19" s="14">
        <f t="shared" si="0"/>
        <v>1</v>
      </c>
      <c r="I19" s="15">
        <v>0</v>
      </c>
      <c r="J19" s="15">
        <v>0</v>
      </c>
      <c r="K19" s="16">
        <f t="shared" si="13"/>
        <v>31</v>
      </c>
      <c r="L19" s="28">
        <v>167309000</v>
      </c>
      <c r="M19" s="56">
        <v>0</v>
      </c>
      <c r="N19" s="56">
        <v>0</v>
      </c>
      <c r="O19" s="17">
        <f t="shared" si="4"/>
        <v>0</v>
      </c>
      <c r="P19" s="17">
        <f t="shared" si="5"/>
        <v>0</v>
      </c>
      <c r="Q19" s="16">
        <f t="shared" ref="Q19:Q22" si="14">IFERROR(L19-N19-M19,0)</f>
        <v>167309000</v>
      </c>
      <c r="R19" s="18">
        <f t="shared" si="7"/>
        <v>1</v>
      </c>
      <c r="S19" s="18">
        <f t="shared" si="8"/>
        <v>1</v>
      </c>
      <c r="T19" s="18">
        <f t="shared" si="9"/>
        <v>1</v>
      </c>
      <c r="U19" s="19">
        <v>0</v>
      </c>
      <c r="V19" s="20">
        <f t="shared" si="10"/>
        <v>0</v>
      </c>
      <c r="W19" s="20">
        <f t="shared" si="11"/>
        <v>0</v>
      </c>
      <c r="X19" s="25" t="s">
        <v>46</v>
      </c>
    </row>
    <row r="20" spans="1:24" ht="15">
      <c r="A20" s="9">
        <f t="shared" si="12"/>
        <v>18</v>
      </c>
      <c r="B20" s="10">
        <v>44856</v>
      </c>
      <c r="C20" s="25" t="s">
        <v>75</v>
      </c>
      <c r="D20" s="11" t="s">
        <v>26</v>
      </c>
      <c r="E20" s="11" t="s">
        <v>27</v>
      </c>
      <c r="F20" s="27">
        <v>2</v>
      </c>
      <c r="G20" s="27">
        <v>2</v>
      </c>
      <c r="H20" s="14">
        <f t="shared" si="0"/>
        <v>1</v>
      </c>
      <c r="I20" s="15">
        <v>0</v>
      </c>
      <c r="J20" s="15">
        <v>0</v>
      </c>
      <c r="K20" s="16">
        <f t="shared" si="13"/>
        <v>2</v>
      </c>
      <c r="L20" s="29">
        <v>194400000</v>
      </c>
      <c r="M20" s="15">
        <v>0</v>
      </c>
      <c r="N20" s="15">
        <v>0</v>
      </c>
      <c r="O20" s="17">
        <f t="shared" si="4"/>
        <v>0</v>
      </c>
      <c r="P20" s="17">
        <f t="shared" si="5"/>
        <v>0</v>
      </c>
      <c r="Q20" s="16">
        <f t="shared" si="14"/>
        <v>194400000</v>
      </c>
      <c r="R20" s="18">
        <f t="shared" si="7"/>
        <v>1</v>
      </c>
      <c r="S20" s="18">
        <f t="shared" si="8"/>
        <v>1</v>
      </c>
      <c r="T20" s="18">
        <f t="shared" si="9"/>
        <v>1</v>
      </c>
      <c r="U20" s="19">
        <v>0</v>
      </c>
      <c r="V20" s="20">
        <f t="shared" si="10"/>
        <v>0</v>
      </c>
      <c r="W20" s="20">
        <f t="shared" si="11"/>
        <v>0</v>
      </c>
      <c r="X20" s="25" t="s">
        <v>46</v>
      </c>
    </row>
    <row r="21" spans="1:24" ht="15">
      <c r="A21" s="9">
        <f t="shared" si="12"/>
        <v>19</v>
      </c>
      <c r="B21" s="10">
        <v>44856</v>
      </c>
      <c r="C21" s="25" t="s">
        <v>76</v>
      </c>
      <c r="D21" s="11" t="s">
        <v>26</v>
      </c>
      <c r="E21" s="11" t="s">
        <v>27</v>
      </c>
      <c r="F21" s="27">
        <v>13</v>
      </c>
      <c r="G21" s="27">
        <v>13</v>
      </c>
      <c r="H21" s="14">
        <f t="shared" si="0"/>
        <v>1</v>
      </c>
      <c r="I21" s="15">
        <v>0</v>
      </c>
      <c r="J21" s="15">
        <v>0</v>
      </c>
      <c r="K21" s="16">
        <f t="shared" si="13"/>
        <v>13</v>
      </c>
      <c r="L21" s="29">
        <v>101638940</v>
      </c>
      <c r="M21" s="15">
        <v>0</v>
      </c>
      <c r="N21" s="15">
        <v>0</v>
      </c>
      <c r="O21" s="17">
        <f t="shared" si="4"/>
        <v>0</v>
      </c>
      <c r="P21" s="17">
        <f t="shared" si="5"/>
        <v>0</v>
      </c>
      <c r="Q21" s="16">
        <f t="shared" si="14"/>
        <v>101638940</v>
      </c>
      <c r="R21" s="18">
        <f t="shared" si="7"/>
        <v>1</v>
      </c>
      <c r="S21" s="18">
        <f t="shared" si="8"/>
        <v>1</v>
      </c>
      <c r="T21" s="18">
        <f t="shared" si="9"/>
        <v>1</v>
      </c>
      <c r="U21" s="19">
        <v>0</v>
      </c>
      <c r="V21" s="20">
        <f t="shared" si="10"/>
        <v>0</v>
      </c>
      <c r="W21" s="20">
        <f t="shared" si="11"/>
        <v>0</v>
      </c>
      <c r="X21" s="11" t="s">
        <v>28</v>
      </c>
    </row>
    <row r="22" spans="1:24" ht="15">
      <c r="A22" s="30" t="s">
        <v>52</v>
      </c>
      <c r="B22" s="31"/>
      <c r="C22" s="31"/>
      <c r="D22" s="32"/>
      <c r="E22" s="32"/>
      <c r="F22" s="33">
        <f t="shared" ref="F22:G22" si="15">SUM(F3:F20)</f>
        <v>22931</v>
      </c>
      <c r="G22" s="33">
        <f t="shared" si="15"/>
        <v>23193</v>
      </c>
      <c r="H22" s="34">
        <f t="shared" si="0"/>
        <v>1.0114255810910995</v>
      </c>
      <c r="I22" s="33">
        <f t="shared" ref="I22:J22" si="16">SUM(I3:I20)</f>
        <v>484</v>
      </c>
      <c r="J22" s="33">
        <f t="shared" si="16"/>
        <v>392</v>
      </c>
      <c r="K22" s="35">
        <f t="shared" si="13"/>
        <v>22317</v>
      </c>
      <c r="L22" s="36">
        <f t="shared" ref="L22:N22" si="17">SUM(L3:L20)</f>
        <v>3024314278</v>
      </c>
      <c r="M22" s="37">
        <f t="shared" si="17"/>
        <v>1188719</v>
      </c>
      <c r="N22" s="37">
        <f t="shared" si="17"/>
        <v>31571</v>
      </c>
      <c r="O22" s="38">
        <f t="shared" si="4"/>
        <v>1220290</v>
      </c>
      <c r="P22" s="38">
        <f t="shared" si="5"/>
        <v>1157148</v>
      </c>
      <c r="Q22" s="39">
        <f t="shared" si="14"/>
        <v>3023093988</v>
      </c>
      <c r="R22" s="40">
        <f t="shared" si="7"/>
        <v>0.96222998318458153</v>
      </c>
      <c r="S22" s="40">
        <f t="shared" si="8"/>
        <v>0.99959650688128654</v>
      </c>
      <c r="T22" s="40">
        <f t="shared" si="9"/>
        <v>0.99961738500247233</v>
      </c>
      <c r="U22" s="31"/>
      <c r="V22" s="40">
        <f t="shared" si="10"/>
        <v>2.0868365455094209E-2</v>
      </c>
      <c r="W22" s="40">
        <f t="shared" si="11"/>
        <v>1.6901651360324236E-2</v>
      </c>
      <c r="X22" s="31"/>
    </row>
    <row r="23" spans="1:24" ht="1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4" ht="15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15">
      <c r="A25" s="41"/>
      <c r="B25" s="5"/>
      <c r="C25" s="5"/>
      <c r="D25" s="5"/>
      <c r="E25" s="5"/>
      <c r="F25" s="5"/>
      <c r="G25" s="5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51.75">
      <c r="A26" s="43"/>
      <c r="B26" s="44" t="s">
        <v>53</v>
      </c>
      <c r="C26" s="45" t="s">
        <v>3</v>
      </c>
      <c r="D26" s="45" t="str">
        <f t="shared" ref="D26:D34" si="18">H2</f>
        <v>CC Adherance %</v>
      </c>
      <c r="E26" s="45" t="str">
        <f t="shared" ref="E26:G26" si="19">R2</f>
        <v>Inventory Record Accuracy (IRA)</v>
      </c>
      <c r="F26" s="45" t="str">
        <f t="shared" si="19"/>
        <v>Inventory Value Accuracy -GROSS
 (IVA)</v>
      </c>
      <c r="G26" s="45" t="str">
        <f t="shared" si="19"/>
        <v>Inventory Value Accuracy -NET 
 (IVA)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15">
      <c r="A27" s="43"/>
      <c r="B27" s="46">
        <v>1</v>
      </c>
      <c r="C27" s="47" t="str">
        <f t="shared" ref="C27:C34" si="20">C3</f>
        <v>Bic Cello</v>
      </c>
      <c r="D27" s="48">
        <f t="shared" si="18"/>
        <v>1</v>
      </c>
      <c r="E27" s="49">
        <f t="shared" ref="E27:G27" si="21">R3</f>
        <v>0.98678861788617889</v>
      </c>
      <c r="F27" s="49">
        <f t="shared" si="21"/>
        <v>1</v>
      </c>
      <c r="G27" s="49">
        <f t="shared" si="21"/>
        <v>0.99966602440590879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f t="shared" ref="B28:B41" si="22">B27+1</f>
        <v>2</v>
      </c>
      <c r="C28" s="47" t="str">
        <f t="shared" si="20"/>
        <v>Siemens BGR</v>
      </c>
      <c r="D28" s="48">
        <f t="shared" si="18"/>
        <v>1</v>
      </c>
      <c r="E28" s="49">
        <f t="shared" ref="E28:G28" si="23">R4</f>
        <v>0.99954170485792848</v>
      </c>
      <c r="F28" s="49">
        <f t="shared" si="23"/>
        <v>1.0000080478324143</v>
      </c>
      <c r="G28" s="49">
        <f t="shared" si="23"/>
        <v>0.99999195216758574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si="22"/>
        <v>3</v>
      </c>
      <c r="C29" s="47" t="str">
        <f t="shared" si="20"/>
        <v>Siemens Kalwa</v>
      </c>
      <c r="D29" s="48">
        <f t="shared" si="18"/>
        <v>1</v>
      </c>
      <c r="E29" s="49">
        <f t="shared" ref="E29:G29" si="24">R5</f>
        <v>1</v>
      </c>
      <c r="F29" s="49">
        <f t="shared" si="24"/>
        <v>1</v>
      </c>
      <c r="G29" s="49">
        <f t="shared" si="24"/>
        <v>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22"/>
        <v>4</v>
      </c>
      <c r="C30" s="47" t="str">
        <f t="shared" si="20"/>
        <v>Siemens Vapi</v>
      </c>
      <c r="D30" s="48">
        <f t="shared" si="18"/>
        <v>1</v>
      </c>
      <c r="E30" s="49">
        <f t="shared" ref="E30:G30" si="25">R6</f>
        <v>1</v>
      </c>
      <c r="F30" s="49">
        <f t="shared" si="25"/>
        <v>1</v>
      </c>
      <c r="G30" s="49">
        <f t="shared" si="25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22"/>
        <v>5</v>
      </c>
      <c r="C31" s="47" t="str">
        <f t="shared" si="20"/>
        <v>Siemens Medical</v>
      </c>
      <c r="D31" s="48">
        <f t="shared" si="18"/>
        <v>0.98765957446808506</v>
      </c>
      <c r="E31" s="49">
        <f t="shared" ref="E31:G31" si="26">R7</f>
        <v>1</v>
      </c>
      <c r="F31" s="49">
        <f t="shared" si="26"/>
        <v>1</v>
      </c>
      <c r="G31" s="49">
        <f t="shared" si="26"/>
        <v>1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22"/>
        <v>6</v>
      </c>
      <c r="C32" s="47" t="str">
        <f t="shared" si="20"/>
        <v>Godrej Interio</v>
      </c>
      <c r="D32" s="48">
        <f t="shared" si="18"/>
        <v>1</v>
      </c>
      <c r="E32" s="49">
        <f t="shared" ref="E32:G32" si="27">R8</f>
        <v>1</v>
      </c>
      <c r="F32" s="49">
        <f t="shared" si="27"/>
        <v>1</v>
      </c>
      <c r="G32" s="49">
        <f t="shared" si="27"/>
        <v>1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22"/>
        <v>7</v>
      </c>
      <c r="C33" s="47" t="str">
        <f t="shared" si="20"/>
        <v>Godrej Branch</v>
      </c>
      <c r="D33" s="48">
        <f t="shared" si="18"/>
        <v>1</v>
      </c>
      <c r="E33" s="49">
        <f t="shared" ref="E33:G33" si="28">R9</f>
        <v>0.97146118721461183</v>
      </c>
      <c r="F33" s="49">
        <f t="shared" si="28"/>
        <v>0.99840690317653302</v>
      </c>
      <c r="G33" s="49">
        <f t="shared" si="28"/>
        <v>1.0001251632134378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22"/>
        <v>8</v>
      </c>
      <c r="C34" s="47" t="str">
        <f t="shared" si="20"/>
        <v>Godrej spare</v>
      </c>
      <c r="D34" s="48">
        <f t="shared" si="18"/>
        <v>1</v>
      </c>
      <c r="E34" s="49">
        <f t="shared" ref="E34:G34" si="29">R10</f>
        <v>1</v>
      </c>
      <c r="F34" s="49">
        <f t="shared" si="29"/>
        <v>1</v>
      </c>
      <c r="G34" s="49">
        <f t="shared" si="29"/>
        <v>1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22"/>
        <v>9</v>
      </c>
      <c r="C35" s="47" t="str">
        <f t="shared" ref="C35:C38" si="30">C12</f>
        <v>Osram</v>
      </c>
      <c r="D35" s="48">
        <f t="shared" ref="D35:D38" si="31">H12</f>
        <v>1</v>
      </c>
      <c r="E35" s="49">
        <f t="shared" ref="E35:G35" si="32">R12</f>
        <v>1</v>
      </c>
      <c r="F35" s="49">
        <f t="shared" si="32"/>
        <v>0</v>
      </c>
      <c r="G35" s="49">
        <f t="shared" si="32"/>
        <v>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22"/>
        <v>10</v>
      </c>
      <c r="C36" s="47" t="str">
        <f t="shared" si="30"/>
        <v>Celio</v>
      </c>
      <c r="D36" s="48">
        <f t="shared" si="31"/>
        <v>1.0825</v>
      </c>
      <c r="E36" s="49">
        <f t="shared" ref="E36:G36" si="33">R13</f>
        <v>0.98429561200923787</v>
      </c>
      <c r="F36" s="49">
        <f t="shared" si="33"/>
        <v>1</v>
      </c>
      <c r="G36" s="49">
        <f t="shared" si="33"/>
        <v>1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22"/>
        <v>11</v>
      </c>
      <c r="C37" s="47" t="str">
        <f t="shared" si="30"/>
        <v>Welspun</v>
      </c>
      <c r="D37" s="48">
        <f t="shared" si="31"/>
        <v>1.0309354284311318</v>
      </c>
      <c r="E37" s="49">
        <f t="shared" ref="E37:G37" si="34">R14</f>
        <v>0.84067635151226483</v>
      </c>
      <c r="F37" s="49">
        <f t="shared" si="34"/>
        <v>0.95950958253116658</v>
      </c>
      <c r="G37" s="49">
        <f t="shared" si="34"/>
        <v>0.96644606833965896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22"/>
        <v>12</v>
      </c>
      <c r="C38" s="47" t="str">
        <f t="shared" si="30"/>
        <v>Hansgrohe</v>
      </c>
      <c r="D38" s="48">
        <f t="shared" si="31"/>
        <v>1</v>
      </c>
      <c r="E38" s="49">
        <f t="shared" ref="E38:G38" si="35">R15</f>
        <v>1</v>
      </c>
      <c r="F38" s="49">
        <f t="shared" si="35"/>
        <v>0</v>
      </c>
      <c r="G38" s="49">
        <f t="shared" si="35"/>
        <v>0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22"/>
        <v>13</v>
      </c>
      <c r="C39" s="47" t="str">
        <f t="shared" ref="C39:C41" si="36">C18</f>
        <v>Pepe Jeans London</v>
      </c>
      <c r="D39" s="48">
        <f t="shared" ref="D39:D41" si="37">H18</f>
        <v>1</v>
      </c>
      <c r="E39" s="49">
        <f t="shared" ref="E39:G39" si="38">R18</f>
        <v>0.92626728110599077</v>
      </c>
      <c r="F39" s="49">
        <f t="shared" si="38"/>
        <v>0</v>
      </c>
      <c r="G39" s="49">
        <f t="shared" si="38"/>
        <v>0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>
      <c r="A40" s="43"/>
      <c r="B40" s="46">
        <f t="shared" si="22"/>
        <v>14</v>
      </c>
      <c r="C40" s="47" t="str">
        <f t="shared" si="36"/>
        <v>Roquette</v>
      </c>
      <c r="D40" s="48">
        <f t="shared" si="37"/>
        <v>1</v>
      </c>
      <c r="E40" s="49">
        <f t="shared" ref="E40:G40" si="39">R19</f>
        <v>1</v>
      </c>
      <c r="F40" s="49">
        <f t="shared" si="39"/>
        <v>1</v>
      </c>
      <c r="G40" s="49">
        <f t="shared" si="39"/>
        <v>1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spans="1:24" ht="15">
      <c r="A41" s="43"/>
      <c r="B41" s="46">
        <f t="shared" si="22"/>
        <v>15</v>
      </c>
      <c r="C41" s="47" t="str">
        <f t="shared" si="36"/>
        <v>Jubilant</v>
      </c>
      <c r="D41" s="48">
        <f t="shared" si="37"/>
        <v>1</v>
      </c>
      <c r="E41" s="49">
        <f t="shared" ref="E41:G41" si="40">R20</f>
        <v>1</v>
      </c>
      <c r="F41" s="49">
        <f t="shared" si="40"/>
        <v>1</v>
      </c>
      <c r="G41" s="49">
        <f t="shared" si="40"/>
        <v>1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spans="1:24" ht="12.75">
      <c r="A42" s="50"/>
    </row>
    <row r="43" spans="1:24" ht="12.75">
      <c r="A43" s="50"/>
    </row>
    <row r="44" spans="1:24" ht="12.75">
      <c r="A44" s="50"/>
    </row>
    <row r="45" spans="1:24" ht="12.75">
      <c r="A45" s="50"/>
    </row>
    <row r="46" spans="1:24" ht="12.75">
      <c r="A46" s="50"/>
    </row>
    <row r="47" spans="1:24" ht="12.75">
      <c r="A47" s="50"/>
    </row>
    <row r="48" spans="1:24" ht="12.75">
      <c r="A48" s="50"/>
    </row>
    <row r="49" spans="1:1" ht="12.75">
      <c r="A49" s="50"/>
    </row>
    <row r="50" spans="1:1" ht="12.75">
      <c r="A50" s="50"/>
    </row>
    <row r="51" spans="1:1" ht="12.75">
      <c r="A51" s="50"/>
    </row>
    <row r="52" spans="1:1" ht="12.75">
      <c r="A52" s="50"/>
    </row>
    <row r="53" spans="1:1" ht="12.75">
      <c r="A53" s="50"/>
    </row>
    <row r="54" spans="1:1" ht="12.75">
      <c r="A54" s="50"/>
    </row>
    <row r="55" spans="1:1" ht="12.75">
      <c r="A55" s="50"/>
    </row>
    <row r="56" spans="1:1" ht="12.75">
      <c r="A56" s="50"/>
    </row>
    <row r="57" spans="1:1" ht="12.75">
      <c r="A57" s="50"/>
    </row>
    <row r="58" spans="1:1" ht="12.75">
      <c r="A58" s="50"/>
    </row>
    <row r="59" spans="1:1" ht="12.75">
      <c r="A59" s="50"/>
    </row>
    <row r="60" spans="1:1" ht="12.75">
      <c r="A60" s="50"/>
    </row>
    <row r="61" spans="1:1" ht="12.75">
      <c r="A61" s="50"/>
    </row>
    <row r="62" spans="1:1" ht="12.75">
      <c r="A62" s="50"/>
    </row>
    <row r="63" spans="1:1" ht="12.75">
      <c r="A63" s="50"/>
    </row>
    <row r="64" spans="1:1" ht="12.75">
      <c r="A64" s="50"/>
    </row>
    <row r="65" spans="1:1" ht="12.75">
      <c r="A65" s="50"/>
    </row>
    <row r="66" spans="1:1" ht="12.75">
      <c r="A66" s="50"/>
    </row>
    <row r="67" spans="1:1" ht="12.75">
      <c r="A67" s="50"/>
    </row>
    <row r="68" spans="1:1" ht="12.75">
      <c r="A68" s="50"/>
    </row>
    <row r="69" spans="1:1" ht="12.75">
      <c r="A69" s="50"/>
    </row>
    <row r="70" spans="1:1" ht="12.75">
      <c r="A70" s="50"/>
    </row>
    <row r="71" spans="1:1" ht="12.75">
      <c r="A71" s="50"/>
    </row>
    <row r="72" spans="1:1" ht="12.75">
      <c r="A72" s="50"/>
    </row>
    <row r="73" spans="1:1" ht="12.75">
      <c r="A73" s="50"/>
    </row>
    <row r="74" spans="1:1" ht="12.75">
      <c r="A74" s="50"/>
    </row>
    <row r="75" spans="1:1" ht="12.75">
      <c r="A75" s="50"/>
    </row>
    <row r="76" spans="1:1" ht="12.75">
      <c r="A76" s="50"/>
    </row>
    <row r="77" spans="1:1" ht="12.75">
      <c r="A77" s="50"/>
    </row>
    <row r="78" spans="1:1" ht="12.75">
      <c r="A78" s="50"/>
    </row>
    <row r="79" spans="1:1" ht="12.75">
      <c r="A79" s="50"/>
    </row>
    <row r="80" spans="1:1" ht="12.75">
      <c r="A80" s="50"/>
    </row>
    <row r="81" spans="1:1" ht="12.75">
      <c r="A81" s="50"/>
    </row>
    <row r="82" spans="1:1" ht="12.75">
      <c r="A82" s="50"/>
    </row>
    <row r="83" spans="1:1" ht="12.75">
      <c r="A83" s="50"/>
    </row>
    <row r="84" spans="1:1" ht="12.75">
      <c r="A84" s="50"/>
    </row>
    <row r="85" spans="1:1" ht="12.75">
      <c r="A85" s="50"/>
    </row>
    <row r="86" spans="1:1" ht="12.75">
      <c r="A86" s="50"/>
    </row>
    <row r="87" spans="1:1" ht="12.75">
      <c r="A87" s="50"/>
    </row>
    <row r="88" spans="1:1" ht="12.75">
      <c r="A88" s="50"/>
    </row>
    <row r="89" spans="1:1" ht="12.75">
      <c r="A89" s="50"/>
    </row>
    <row r="90" spans="1:1" ht="12.75">
      <c r="A90" s="50"/>
    </row>
    <row r="91" spans="1:1" ht="12.75">
      <c r="A91" s="50"/>
    </row>
    <row r="92" spans="1:1" ht="12.75">
      <c r="A92" s="50"/>
    </row>
    <row r="93" spans="1:1" ht="12.75">
      <c r="A93" s="50"/>
    </row>
    <row r="94" spans="1:1" ht="12.75">
      <c r="A94" s="50"/>
    </row>
    <row r="95" spans="1:1" ht="12.75">
      <c r="A95" s="50"/>
    </row>
    <row r="96" spans="1:1" ht="12.75">
      <c r="A96" s="50"/>
    </row>
    <row r="97" spans="1:1" ht="12.75">
      <c r="A97" s="50"/>
    </row>
    <row r="98" spans="1:1" ht="12.75">
      <c r="A98" s="50"/>
    </row>
    <row r="99" spans="1:1" ht="12.75">
      <c r="A99" s="50"/>
    </row>
    <row r="100" spans="1:1" ht="12.75">
      <c r="A100" s="50"/>
    </row>
    <row r="101" spans="1:1" ht="12.75">
      <c r="A101" s="50"/>
    </row>
    <row r="102" spans="1:1" ht="12.75">
      <c r="A102" s="50"/>
    </row>
    <row r="103" spans="1:1" ht="12.75">
      <c r="A103" s="50"/>
    </row>
    <row r="104" spans="1:1" ht="12.75">
      <c r="A104" s="50"/>
    </row>
    <row r="105" spans="1:1" ht="12.75">
      <c r="A105" s="50"/>
    </row>
    <row r="106" spans="1:1" ht="12.75">
      <c r="A106" s="50"/>
    </row>
    <row r="107" spans="1:1" ht="12.75">
      <c r="A107" s="50"/>
    </row>
    <row r="108" spans="1:1" ht="12.75">
      <c r="A108" s="50"/>
    </row>
    <row r="109" spans="1:1" ht="12.75">
      <c r="A109" s="50"/>
    </row>
    <row r="110" spans="1:1" ht="12.75">
      <c r="A110" s="50"/>
    </row>
    <row r="111" spans="1:1" ht="12.75">
      <c r="A111" s="50"/>
    </row>
    <row r="112" spans="1:1" ht="12.75">
      <c r="A112" s="50"/>
    </row>
    <row r="113" spans="1:1" ht="12.75">
      <c r="A113" s="50"/>
    </row>
    <row r="114" spans="1:1" ht="12.75">
      <c r="A114" s="50"/>
    </row>
    <row r="115" spans="1:1" ht="12.75">
      <c r="A115" s="50"/>
    </row>
    <row r="116" spans="1:1" ht="12.75">
      <c r="A116" s="50"/>
    </row>
    <row r="117" spans="1:1" ht="12.75">
      <c r="A117" s="50"/>
    </row>
    <row r="118" spans="1:1" ht="12.75">
      <c r="A118" s="50"/>
    </row>
    <row r="119" spans="1:1" ht="12.75">
      <c r="A119" s="50"/>
    </row>
    <row r="120" spans="1:1" ht="12.75">
      <c r="A120" s="50"/>
    </row>
    <row r="121" spans="1:1" ht="12.75">
      <c r="A121" s="50"/>
    </row>
    <row r="122" spans="1:1" ht="12.75">
      <c r="A122" s="50"/>
    </row>
    <row r="123" spans="1:1" ht="12.75">
      <c r="A123" s="50"/>
    </row>
    <row r="124" spans="1:1" ht="12.75">
      <c r="A124" s="50"/>
    </row>
    <row r="125" spans="1:1" ht="12.75">
      <c r="A125" s="50"/>
    </row>
    <row r="126" spans="1:1" ht="12.75">
      <c r="A126" s="50"/>
    </row>
    <row r="127" spans="1:1" ht="12.75">
      <c r="A127" s="50"/>
    </row>
    <row r="128" spans="1:1" ht="12.75">
      <c r="A128" s="50"/>
    </row>
    <row r="129" spans="1:1" ht="12.75">
      <c r="A129" s="50"/>
    </row>
    <row r="130" spans="1:1" ht="12.75">
      <c r="A130" s="50"/>
    </row>
    <row r="131" spans="1:1" ht="12.75">
      <c r="A131" s="50"/>
    </row>
    <row r="132" spans="1:1" ht="12.75">
      <c r="A132" s="50"/>
    </row>
    <row r="133" spans="1:1" ht="12.75">
      <c r="A133" s="50"/>
    </row>
    <row r="134" spans="1:1" ht="12.75">
      <c r="A134" s="50"/>
    </row>
    <row r="135" spans="1:1" ht="12.75">
      <c r="A135" s="50"/>
    </row>
    <row r="136" spans="1:1" ht="12.75">
      <c r="A136" s="50"/>
    </row>
    <row r="137" spans="1:1" ht="12.75">
      <c r="A137" s="50"/>
    </row>
    <row r="138" spans="1:1" ht="12.75">
      <c r="A138" s="50"/>
    </row>
    <row r="139" spans="1:1" ht="12.75">
      <c r="A139" s="50"/>
    </row>
    <row r="140" spans="1:1" ht="12.75">
      <c r="A140" s="50"/>
    </row>
    <row r="141" spans="1:1" ht="12.75">
      <c r="A141" s="50"/>
    </row>
    <row r="142" spans="1:1" ht="12.75">
      <c r="A142" s="50"/>
    </row>
    <row r="143" spans="1:1" ht="12.75">
      <c r="A143" s="50"/>
    </row>
    <row r="144" spans="1:1" ht="12.75">
      <c r="A144" s="50"/>
    </row>
    <row r="145" spans="1:1" ht="12.75">
      <c r="A145" s="50"/>
    </row>
    <row r="146" spans="1:1" ht="12.75">
      <c r="A146" s="50"/>
    </row>
    <row r="147" spans="1:1" ht="12.75">
      <c r="A147" s="50"/>
    </row>
    <row r="148" spans="1:1" ht="12.75">
      <c r="A148" s="50"/>
    </row>
    <row r="149" spans="1:1" ht="12.75">
      <c r="A149" s="50"/>
    </row>
    <row r="150" spans="1:1" ht="12.75">
      <c r="A150" s="50"/>
    </row>
    <row r="151" spans="1:1" ht="12.75">
      <c r="A151" s="50"/>
    </row>
    <row r="152" spans="1:1" ht="12.75">
      <c r="A152" s="50"/>
    </row>
    <row r="153" spans="1:1" ht="12.75">
      <c r="A153" s="50"/>
    </row>
    <row r="154" spans="1:1" ht="12.75">
      <c r="A154" s="50"/>
    </row>
    <row r="155" spans="1:1" ht="12.75">
      <c r="A155" s="50"/>
    </row>
    <row r="156" spans="1:1" ht="12.75">
      <c r="A156" s="50"/>
    </row>
    <row r="157" spans="1:1" ht="12.75">
      <c r="A157" s="50"/>
    </row>
    <row r="158" spans="1:1" ht="12.75">
      <c r="A158" s="50"/>
    </row>
    <row r="159" spans="1:1" ht="12.75">
      <c r="A159" s="50"/>
    </row>
    <row r="160" spans="1:1" ht="12.75">
      <c r="A160" s="50"/>
    </row>
    <row r="161" spans="1:1" ht="12.75">
      <c r="A161" s="50"/>
    </row>
    <row r="162" spans="1:1" ht="12.75">
      <c r="A162" s="50"/>
    </row>
    <row r="163" spans="1:1" ht="12.75">
      <c r="A163" s="50"/>
    </row>
    <row r="164" spans="1:1" ht="12.75">
      <c r="A164" s="50"/>
    </row>
    <row r="165" spans="1:1" ht="12.75">
      <c r="A165" s="50"/>
    </row>
    <row r="166" spans="1:1" ht="12.75">
      <c r="A166" s="50"/>
    </row>
    <row r="167" spans="1:1" ht="12.75">
      <c r="A167" s="50"/>
    </row>
    <row r="168" spans="1:1" ht="12.75">
      <c r="A168" s="50"/>
    </row>
    <row r="169" spans="1:1" ht="12.75">
      <c r="A169" s="50"/>
    </row>
    <row r="170" spans="1:1" ht="12.75">
      <c r="A170" s="50"/>
    </row>
    <row r="171" spans="1:1" ht="12.75">
      <c r="A171" s="50"/>
    </row>
    <row r="172" spans="1:1" ht="12.75">
      <c r="A172" s="50"/>
    </row>
    <row r="173" spans="1:1" ht="12.75">
      <c r="A173" s="50"/>
    </row>
    <row r="174" spans="1:1" ht="12.75">
      <c r="A174" s="50"/>
    </row>
    <row r="175" spans="1:1" ht="12.75">
      <c r="A175" s="50"/>
    </row>
    <row r="176" spans="1:1" ht="12.75">
      <c r="A176" s="50"/>
    </row>
    <row r="177" spans="1:1" ht="12.75">
      <c r="A177" s="50"/>
    </row>
    <row r="178" spans="1:1" ht="12.75">
      <c r="A178" s="50"/>
    </row>
    <row r="179" spans="1:1" ht="12.75">
      <c r="A179" s="50"/>
    </row>
    <row r="180" spans="1:1" ht="12.75">
      <c r="A180" s="50"/>
    </row>
    <row r="181" spans="1:1" ht="12.75">
      <c r="A181" s="50"/>
    </row>
    <row r="182" spans="1:1" ht="12.75">
      <c r="A182" s="50"/>
    </row>
    <row r="183" spans="1:1" ht="12.75">
      <c r="A183" s="50"/>
    </row>
    <row r="184" spans="1:1" ht="12.75">
      <c r="A184" s="50"/>
    </row>
    <row r="185" spans="1:1" ht="12.75">
      <c r="A185" s="50"/>
    </row>
    <row r="186" spans="1:1" ht="12.75">
      <c r="A186" s="50"/>
    </row>
    <row r="187" spans="1:1" ht="12.75">
      <c r="A187" s="50"/>
    </row>
    <row r="188" spans="1:1" ht="12.75">
      <c r="A188" s="50"/>
    </row>
    <row r="189" spans="1:1" ht="12.75">
      <c r="A189" s="50"/>
    </row>
    <row r="190" spans="1:1" ht="12.75">
      <c r="A190" s="50"/>
    </row>
    <row r="191" spans="1:1" ht="12.75">
      <c r="A191" s="50"/>
    </row>
    <row r="192" spans="1:1" ht="12.75">
      <c r="A192" s="50"/>
    </row>
    <row r="193" spans="1:1" ht="12.75">
      <c r="A193" s="50"/>
    </row>
    <row r="194" spans="1:1" ht="12.75">
      <c r="A194" s="50"/>
    </row>
    <row r="195" spans="1:1" ht="12.75">
      <c r="A195" s="50"/>
    </row>
    <row r="196" spans="1:1" ht="12.75">
      <c r="A196" s="50"/>
    </row>
    <row r="197" spans="1:1" ht="12.75">
      <c r="A197" s="50"/>
    </row>
    <row r="198" spans="1:1" ht="12.75">
      <c r="A198" s="50"/>
    </row>
    <row r="199" spans="1:1" ht="12.75">
      <c r="A199" s="50"/>
    </row>
    <row r="200" spans="1:1" ht="12.75">
      <c r="A200" s="50"/>
    </row>
    <row r="201" spans="1:1" ht="12.75">
      <c r="A201" s="50"/>
    </row>
    <row r="202" spans="1:1" ht="12.75">
      <c r="A202" s="50"/>
    </row>
    <row r="203" spans="1:1" ht="12.75">
      <c r="A203" s="50"/>
    </row>
    <row r="204" spans="1:1" ht="12.75">
      <c r="A204" s="50"/>
    </row>
    <row r="205" spans="1:1" ht="12.75">
      <c r="A205" s="50"/>
    </row>
    <row r="206" spans="1:1" ht="12.75">
      <c r="A206" s="50"/>
    </row>
    <row r="207" spans="1:1" ht="12.75">
      <c r="A207" s="50"/>
    </row>
    <row r="208" spans="1:1" ht="12.75">
      <c r="A208" s="50"/>
    </row>
    <row r="209" spans="1:1" ht="12.75">
      <c r="A209" s="50"/>
    </row>
    <row r="210" spans="1:1" ht="12.75">
      <c r="A210" s="50"/>
    </row>
    <row r="211" spans="1:1" ht="12.75">
      <c r="A211" s="50"/>
    </row>
    <row r="212" spans="1:1" ht="12.75">
      <c r="A212" s="50"/>
    </row>
    <row r="213" spans="1:1" ht="12.75">
      <c r="A213" s="50"/>
    </row>
    <row r="214" spans="1:1" ht="12.75">
      <c r="A214" s="50"/>
    </row>
    <row r="215" spans="1:1" ht="12.75">
      <c r="A215" s="50"/>
    </row>
    <row r="216" spans="1:1" ht="12.75">
      <c r="A216" s="50"/>
    </row>
    <row r="217" spans="1:1" ht="12.75">
      <c r="A217" s="50"/>
    </row>
    <row r="218" spans="1:1" ht="12.75">
      <c r="A218" s="50"/>
    </row>
    <row r="219" spans="1:1" ht="12.75">
      <c r="A219" s="50"/>
    </row>
    <row r="220" spans="1:1" ht="12.75">
      <c r="A220" s="50"/>
    </row>
    <row r="221" spans="1:1" ht="12.75">
      <c r="A221" s="50"/>
    </row>
    <row r="222" spans="1:1" ht="12.75">
      <c r="A222" s="50"/>
    </row>
    <row r="223" spans="1:1" ht="12.75">
      <c r="A223" s="50"/>
    </row>
    <row r="224" spans="1:1" ht="12.75">
      <c r="A224" s="50"/>
    </row>
    <row r="225" spans="1:1" ht="12.75">
      <c r="A225" s="50"/>
    </row>
    <row r="226" spans="1:1" ht="12.75">
      <c r="A226" s="50"/>
    </row>
    <row r="227" spans="1:1" ht="12.75">
      <c r="A227" s="50"/>
    </row>
    <row r="228" spans="1:1" ht="12.75">
      <c r="A228" s="50"/>
    </row>
    <row r="229" spans="1:1" ht="12.75">
      <c r="A229" s="50"/>
    </row>
    <row r="230" spans="1:1" ht="12.75">
      <c r="A230" s="50"/>
    </row>
    <row r="231" spans="1:1" ht="12.75">
      <c r="A231" s="50"/>
    </row>
    <row r="232" spans="1:1" ht="12.75">
      <c r="A232" s="50"/>
    </row>
    <row r="233" spans="1:1" ht="12.75">
      <c r="A233" s="50"/>
    </row>
    <row r="234" spans="1:1" ht="12.75">
      <c r="A234" s="50"/>
    </row>
    <row r="235" spans="1:1" ht="12.75">
      <c r="A235" s="50"/>
    </row>
    <row r="236" spans="1:1" ht="12.75">
      <c r="A236" s="50"/>
    </row>
    <row r="237" spans="1:1" ht="12.75">
      <c r="A237" s="50"/>
    </row>
    <row r="238" spans="1:1" ht="12.75">
      <c r="A238" s="50"/>
    </row>
    <row r="239" spans="1:1" ht="12.75">
      <c r="A239" s="50"/>
    </row>
    <row r="240" spans="1:1" ht="12.75">
      <c r="A240" s="50"/>
    </row>
    <row r="241" spans="1:1" ht="12.75">
      <c r="A241" s="50"/>
    </row>
    <row r="242" spans="1:1" ht="12.75">
      <c r="A242" s="50"/>
    </row>
    <row r="243" spans="1:1" ht="12.75">
      <c r="A243" s="50"/>
    </row>
    <row r="244" spans="1:1" ht="12.75">
      <c r="A244" s="50"/>
    </row>
    <row r="245" spans="1:1" ht="12.75">
      <c r="A245" s="50"/>
    </row>
    <row r="246" spans="1:1" ht="12.75">
      <c r="A246" s="50"/>
    </row>
    <row r="247" spans="1:1" ht="12.75">
      <c r="A247" s="50"/>
    </row>
    <row r="248" spans="1:1" ht="12.75">
      <c r="A248" s="50"/>
    </row>
    <row r="249" spans="1:1" ht="12.75">
      <c r="A249" s="50"/>
    </row>
    <row r="250" spans="1:1" ht="12.75">
      <c r="A250" s="50"/>
    </row>
    <row r="251" spans="1:1" ht="12.75">
      <c r="A251" s="50"/>
    </row>
    <row r="252" spans="1:1" ht="12.75">
      <c r="A252" s="50"/>
    </row>
    <row r="253" spans="1:1" ht="12.75">
      <c r="A253" s="50"/>
    </row>
    <row r="254" spans="1:1" ht="12.75">
      <c r="A254" s="50"/>
    </row>
    <row r="255" spans="1:1" ht="12.75">
      <c r="A255" s="50"/>
    </row>
    <row r="256" spans="1:1" ht="12.75">
      <c r="A256" s="50"/>
    </row>
    <row r="257" spans="1:1" ht="12.75">
      <c r="A257" s="50"/>
    </row>
    <row r="258" spans="1:1" ht="12.75">
      <c r="A258" s="50"/>
    </row>
    <row r="259" spans="1:1" ht="12.75">
      <c r="A259" s="50"/>
    </row>
    <row r="260" spans="1:1" ht="12.75">
      <c r="A260" s="50"/>
    </row>
    <row r="261" spans="1:1" ht="12.75">
      <c r="A261" s="50"/>
    </row>
    <row r="262" spans="1:1" ht="12.75">
      <c r="A262" s="50"/>
    </row>
    <row r="263" spans="1:1" ht="12.75">
      <c r="A263" s="50"/>
    </row>
    <row r="264" spans="1:1" ht="12.75">
      <c r="A264" s="50"/>
    </row>
    <row r="265" spans="1:1" ht="12.75">
      <c r="A265" s="50"/>
    </row>
    <row r="266" spans="1:1" ht="12.75">
      <c r="A266" s="50"/>
    </row>
    <row r="267" spans="1:1" ht="12.75">
      <c r="A267" s="50"/>
    </row>
    <row r="268" spans="1:1" ht="12.75">
      <c r="A268" s="50"/>
    </row>
    <row r="269" spans="1:1" ht="12.75">
      <c r="A269" s="50"/>
    </row>
    <row r="270" spans="1:1" ht="12.75">
      <c r="A270" s="50"/>
    </row>
    <row r="271" spans="1:1" ht="12.75">
      <c r="A271" s="50"/>
    </row>
    <row r="272" spans="1:1" ht="12.75">
      <c r="A272" s="50"/>
    </row>
    <row r="273" spans="1:1" ht="12.75">
      <c r="A273" s="50"/>
    </row>
    <row r="274" spans="1:1" ht="12.75">
      <c r="A274" s="50"/>
    </row>
    <row r="275" spans="1:1" ht="12.75">
      <c r="A275" s="50"/>
    </row>
    <row r="276" spans="1:1" ht="12.75">
      <c r="A276" s="50"/>
    </row>
    <row r="277" spans="1:1" ht="12.75">
      <c r="A277" s="50"/>
    </row>
    <row r="278" spans="1:1" ht="12.75">
      <c r="A278" s="50"/>
    </row>
    <row r="279" spans="1:1" ht="12.75">
      <c r="A279" s="50"/>
    </row>
    <row r="280" spans="1:1" ht="12.75">
      <c r="A280" s="50"/>
    </row>
    <row r="281" spans="1:1" ht="12.75">
      <c r="A281" s="50"/>
    </row>
    <row r="282" spans="1:1" ht="12.75">
      <c r="A282" s="50"/>
    </row>
    <row r="283" spans="1:1" ht="12.75">
      <c r="A283" s="50"/>
    </row>
    <row r="284" spans="1:1" ht="12.75">
      <c r="A284" s="50"/>
    </row>
    <row r="285" spans="1:1" ht="12.75">
      <c r="A285" s="50"/>
    </row>
    <row r="286" spans="1:1" ht="12.75">
      <c r="A286" s="50"/>
    </row>
    <row r="287" spans="1:1" ht="12.75">
      <c r="A287" s="50"/>
    </row>
    <row r="288" spans="1:1" ht="12.75">
      <c r="A288" s="50"/>
    </row>
    <row r="289" spans="1:1" ht="12.75">
      <c r="A289" s="50"/>
    </row>
    <row r="290" spans="1:1" ht="12.75">
      <c r="A290" s="50"/>
    </row>
    <row r="291" spans="1:1" ht="12.75">
      <c r="A291" s="50"/>
    </row>
    <row r="292" spans="1:1" ht="12.75">
      <c r="A292" s="50"/>
    </row>
    <row r="293" spans="1:1" ht="12.75">
      <c r="A293" s="50"/>
    </row>
    <row r="294" spans="1:1" ht="12.75">
      <c r="A294" s="50"/>
    </row>
    <row r="295" spans="1:1" ht="12.75">
      <c r="A295" s="50"/>
    </row>
    <row r="296" spans="1:1" ht="12.75">
      <c r="A296" s="50"/>
    </row>
    <row r="297" spans="1:1" ht="12.75">
      <c r="A297" s="50"/>
    </row>
    <row r="298" spans="1:1" ht="12.75">
      <c r="A298" s="50"/>
    </row>
    <row r="299" spans="1:1" ht="12.75">
      <c r="A299" s="50"/>
    </row>
    <row r="300" spans="1:1" ht="12.75">
      <c r="A300" s="50"/>
    </row>
    <row r="301" spans="1:1" ht="12.75">
      <c r="A301" s="50"/>
    </row>
    <row r="302" spans="1:1" ht="12.75">
      <c r="A302" s="50"/>
    </row>
    <row r="303" spans="1:1" ht="12.75">
      <c r="A303" s="50"/>
    </row>
    <row r="304" spans="1:1" ht="12.75">
      <c r="A304" s="50"/>
    </row>
    <row r="305" spans="1:1" ht="12.75">
      <c r="A305" s="50"/>
    </row>
    <row r="306" spans="1:1" ht="12.75">
      <c r="A306" s="50"/>
    </row>
    <row r="307" spans="1:1" ht="12.75">
      <c r="A307" s="50"/>
    </row>
    <row r="308" spans="1:1" ht="12.75">
      <c r="A308" s="50"/>
    </row>
    <row r="309" spans="1:1" ht="12.75">
      <c r="A309" s="50"/>
    </row>
    <row r="310" spans="1:1" ht="12.75">
      <c r="A310" s="50"/>
    </row>
    <row r="311" spans="1:1" ht="12.75">
      <c r="A311" s="50"/>
    </row>
    <row r="312" spans="1:1" ht="12.75">
      <c r="A312" s="50"/>
    </row>
    <row r="313" spans="1:1" ht="12.75">
      <c r="A313" s="50"/>
    </row>
    <row r="314" spans="1:1" ht="12.75">
      <c r="A314" s="50"/>
    </row>
    <row r="315" spans="1:1" ht="12.75">
      <c r="A315" s="50"/>
    </row>
    <row r="316" spans="1:1" ht="12.75">
      <c r="A316" s="50"/>
    </row>
    <row r="317" spans="1:1" ht="12.75">
      <c r="A317" s="50"/>
    </row>
    <row r="318" spans="1:1" ht="12.75">
      <c r="A318" s="50"/>
    </row>
    <row r="319" spans="1:1" ht="12.75">
      <c r="A319" s="50"/>
    </row>
    <row r="320" spans="1:1" ht="12.75">
      <c r="A320" s="50"/>
    </row>
    <row r="321" spans="1:1" ht="12.75">
      <c r="A321" s="50"/>
    </row>
    <row r="322" spans="1:1" ht="12.75">
      <c r="A322" s="50"/>
    </row>
    <row r="323" spans="1:1" ht="12.75">
      <c r="A323" s="50"/>
    </row>
    <row r="324" spans="1:1" ht="12.75">
      <c r="A324" s="50"/>
    </row>
    <row r="325" spans="1:1" ht="12.75">
      <c r="A325" s="50"/>
    </row>
    <row r="326" spans="1:1" ht="12.75">
      <c r="A326" s="50"/>
    </row>
    <row r="327" spans="1:1" ht="12.75">
      <c r="A327" s="50"/>
    </row>
    <row r="328" spans="1:1" ht="12.75">
      <c r="A328" s="50"/>
    </row>
    <row r="329" spans="1:1" ht="12.75">
      <c r="A329" s="50"/>
    </row>
    <row r="330" spans="1:1" ht="12.75">
      <c r="A330" s="50"/>
    </row>
    <row r="331" spans="1:1" ht="12.75">
      <c r="A331" s="50"/>
    </row>
    <row r="332" spans="1:1" ht="12.75">
      <c r="A332" s="50"/>
    </row>
    <row r="333" spans="1:1" ht="12.75">
      <c r="A333" s="50"/>
    </row>
    <row r="334" spans="1:1" ht="12.75">
      <c r="A334" s="50"/>
    </row>
    <row r="335" spans="1:1" ht="12.75">
      <c r="A335" s="50"/>
    </row>
    <row r="336" spans="1:1" ht="12.75">
      <c r="A336" s="50"/>
    </row>
    <row r="337" spans="1:1" ht="12.75">
      <c r="A337" s="50"/>
    </row>
    <row r="338" spans="1:1" ht="12.75">
      <c r="A338" s="50"/>
    </row>
    <row r="339" spans="1:1" ht="12.75">
      <c r="A339" s="50"/>
    </row>
    <row r="340" spans="1:1" ht="12.75">
      <c r="A340" s="50"/>
    </row>
    <row r="341" spans="1:1" ht="12.75">
      <c r="A341" s="50"/>
    </row>
    <row r="342" spans="1:1" ht="12.75">
      <c r="A342" s="50"/>
    </row>
    <row r="343" spans="1:1" ht="12.75">
      <c r="A343" s="50"/>
    </row>
    <row r="344" spans="1:1" ht="12.75">
      <c r="A344" s="50"/>
    </row>
    <row r="345" spans="1:1" ht="12.75">
      <c r="A345" s="50"/>
    </row>
    <row r="346" spans="1:1" ht="12.75">
      <c r="A346" s="50"/>
    </row>
    <row r="347" spans="1:1" ht="12.75">
      <c r="A347" s="50"/>
    </row>
    <row r="348" spans="1:1" ht="12.75">
      <c r="A348" s="50"/>
    </row>
    <row r="349" spans="1:1" ht="12.75">
      <c r="A349" s="50"/>
    </row>
    <row r="350" spans="1:1" ht="12.75">
      <c r="A350" s="50"/>
    </row>
    <row r="351" spans="1:1" ht="12.75">
      <c r="A351" s="50"/>
    </row>
    <row r="352" spans="1:1" ht="12.75">
      <c r="A352" s="50"/>
    </row>
    <row r="353" spans="1:1" ht="12.75">
      <c r="A353" s="50"/>
    </row>
    <row r="354" spans="1:1" ht="12.75">
      <c r="A354" s="50"/>
    </row>
    <row r="355" spans="1:1" ht="12.75">
      <c r="A355" s="50"/>
    </row>
    <row r="356" spans="1:1" ht="12.75">
      <c r="A356" s="50"/>
    </row>
    <row r="357" spans="1:1" ht="12.75">
      <c r="A357" s="50"/>
    </row>
    <row r="358" spans="1:1" ht="12.75">
      <c r="A358" s="50"/>
    </row>
    <row r="359" spans="1:1" ht="12.75">
      <c r="A359" s="50"/>
    </row>
    <row r="360" spans="1:1" ht="12.75">
      <c r="A360" s="50"/>
    </row>
    <row r="361" spans="1:1" ht="12.75">
      <c r="A361" s="50"/>
    </row>
    <row r="362" spans="1:1" ht="12.75">
      <c r="A362" s="50"/>
    </row>
    <row r="363" spans="1:1" ht="12.75">
      <c r="A363" s="50"/>
    </row>
    <row r="364" spans="1:1" ht="12.75">
      <c r="A364" s="50"/>
    </row>
    <row r="365" spans="1:1" ht="12.75">
      <c r="A365" s="50"/>
    </row>
    <row r="366" spans="1:1" ht="12.75">
      <c r="A366" s="50"/>
    </row>
    <row r="367" spans="1:1" ht="12.75">
      <c r="A367" s="50"/>
    </row>
    <row r="368" spans="1:1" ht="12.75">
      <c r="A368" s="50"/>
    </row>
    <row r="369" spans="1:1" ht="12.75">
      <c r="A369" s="50"/>
    </row>
    <row r="370" spans="1:1" ht="12.75">
      <c r="A370" s="50"/>
    </row>
    <row r="371" spans="1:1" ht="12.75">
      <c r="A371" s="50"/>
    </row>
    <row r="372" spans="1:1" ht="12.75">
      <c r="A372" s="50"/>
    </row>
    <row r="373" spans="1:1" ht="12.75">
      <c r="A373" s="50"/>
    </row>
    <row r="374" spans="1:1" ht="12.75">
      <c r="A374" s="50"/>
    </row>
    <row r="375" spans="1:1" ht="12.75">
      <c r="A375" s="50"/>
    </row>
    <row r="376" spans="1:1" ht="12.75">
      <c r="A376" s="50"/>
    </row>
    <row r="377" spans="1:1" ht="12.75">
      <c r="A377" s="50"/>
    </row>
    <row r="378" spans="1:1" ht="12.75">
      <c r="A378" s="50"/>
    </row>
    <row r="379" spans="1:1" ht="12.75">
      <c r="A379" s="50"/>
    </row>
    <row r="380" spans="1:1" ht="12.75">
      <c r="A380" s="50"/>
    </row>
    <row r="381" spans="1:1" ht="12.75">
      <c r="A381" s="50"/>
    </row>
    <row r="382" spans="1:1" ht="12.75">
      <c r="A382" s="50"/>
    </row>
    <row r="383" spans="1:1" ht="12.75">
      <c r="A383" s="50"/>
    </row>
    <row r="384" spans="1:1" ht="12.75">
      <c r="A384" s="50"/>
    </row>
    <row r="385" spans="1:1" ht="12.75">
      <c r="A385" s="50"/>
    </row>
    <row r="386" spans="1:1" ht="12.75">
      <c r="A386" s="50"/>
    </row>
    <row r="387" spans="1:1" ht="12.75">
      <c r="A387" s="50"/>
    </row>
    <row r="388" spans="1:1" ht="12.75">
      <c r="A388" s="50"/>
    </row>
    <row r="389" spans="1:1" ht="12.75">
      <c r="A389" s="50"/>
    </row>
    <row r="390" spans="1:1" ht="12.75">
      <c r="A390" s="50"/>
    </row>
    <row r="391" spans="1:1" ht="12.75">
      <c r="A391" s="50"/>
    </row>
    <row r="392" spans="1:1" ht="12.75">
      <c r="A392" s="50"/>
    </row>
    <row r="393" spans="1:1" ht="12.75">
      <c r="A393" s="50"/>
    </row>
    <row r="394" spans="1:1" ht="12.75">
      <c r="A394" s="50"/>
    </row>
    <row r="395" spans="1:1" ht="12.75">
      <c r="A395" s="50"/>
    </row>
    <row r="396" spans="1:1" ht="12.75">
      <c r="A396" s="50"/>
    </row>
    <row r="397" spans="1:1" ht="12.75">
      <c r="A397" s="50"/>
    </row>
    <row r="398" spans="1:1" ht="12.75">
      <c r="A398" s="50"/>
    </row>
    <row r="399" spans="1:1" ht="12.75">
      <c r="A399" s="50"/>
    </row>
    <row r="400" spans="1:1" ht="12.75">
      <c r="A400" s="50"/>
    </row>
    <row r="401" spans="1:1" ht="12.75">
      <c r="A401" s="50"/>
    </row>
    <row r="402" spans="1:1" ht="12.75">
      <c r="A402" s="50"/>
    </row>
    <row r="403" spans="1:1" ht="12.75">
      <c r="A403" s="50"/>
    </row>
    <row r="404" spans="1:1" ht="12.75">
      <c r="A404" s="50"/>
    </row>
    <row r="405" spans="1:1" ht="12.75">
      <c r="A405" s="50"/>
    </row>
    <row r="406" spans="1:1" ht="12.75">
      <c r="A406" s="50"/>
    </row>
    <row r="407" spans="1:1" ht="12.75">
      <c r="A407" s="50"/>
    </row>
    <row r="408" spans="1:1" ht="12.75">
      <c r="A408" s="50"/>
    </row>
    <row r="409" spans="1:1" ht="12.75">
      <c r="A409" s="50"/>
    </row>
    <row r="410" spans="1:1" ht="12.75">
      <c r="A410" s="50"/>
    </row>
    <row r="411" spans="1:1" ht="12.75">
      <c r="A411" s="50"/>
    </row>
    <row r="412" spans="1:1" ht="12.75">
      <c r="A412" s="50"/>
    </row>
    <row r="413" spans="1:1" ht="12.75">
      <c r="A413" s="50"/>
    </row>
    <row r="414" spans="1:1" ht="12.75">
      <c r="A414" s="50"/>
    </row>
    <row r="415" spans="1:1" ht="12.75">
      <c r="A415" s="50"/>
    </row>
    <row r="416" spans="1:1" ht="12.75">
      <c r="A416" s="50"/>
    </row>
    <row r="417" spans="1:1" ht="12.75">
      <c r="A417" s="50"/>
    </row>
    <row r="418" spans="1:1" ht="12.75">
      <c r="A418" s="50"/>
    </row>
    <row r="419" spans="1:1" ht="12.75">
      <c r="A419" s="50"/>
    </row>
    <row r="420" spans="1:1" ht="12.75">
      <c r="A420" s="50"/>
    </row>
    <row r="421" spans="1:1" ht="12.75">
      <c r="A421" s="50"/>
    </row>
    <row r="422" spans="1:1" ht="12.75">
      <c r="A422" s="50"/>
    </row>
    <row r="423" spans="1:1" ht="12.75">
      <c r="A423" s="50"/>
    </row>
    <row r="424" spans="1:1" ht="12.75">
      <c r="A424" s="50"/>
    </row>
    <row r="425" spans="1:1" ht="12.75">
      <c r="A425" s="50"/>
    </row>
    <row r="426" spans="1:1" ht="12.75">
      <c r="A426" s="50"/>
    </row>
    <row r="427" spans="1:1" ht="12.75">
      <c r="A427" s="50"/>
    </row>
    <row r="428" spans="1:1" ht="12.75">
      <c r="A428" s="50"/>
    </row>
    <row r="429" spans="1:1" ht="12.75">
      <c r="A429" s="50"/>
    </row>
    <row r="430" spans="1:1" ht="12.75">
      <c r="A430" s="50"/>
    </row>
    <row r="431" spans="1:1" ht="12.75">
      <c r="A431" s="50"/>
    </row>
    <row r="432" spans="1:1" ht="12.75">
      <c r="A432" s="50"/>
    </row>
    <row r="433" spans="1:1" ht="12.75">
      <c r="A433" s="50"/>
    </row>
    <row r="434" spans="1:1" ht="12.75">
      <c r="A434" s="50"/>
    </row>
    <row r="435" spans="1:1" ht="12.75">
      <c r="A435" s="50"/>
    </row>
    <row r="436" spans="1:1" ht="12.75">
      <c r="A436" s="50"/>
    </row>
    <row r="437" spans="1:1" ht="12.75">
      <c r="A437" s="50"/>
    </row>
    <row r="438" spans="1:1" ht="12.75">
      <c r="A438" s="50"/>
    </row>
    <row r="439" spans="1:1" ht="12.75">
      <c r="A439" s="50"/>
    </row>
    <row r="440" spans="1:1" ht="12.75">
      <c r="A440" s="50"/>
    </row>
    <row r="441" spans="1:1" ht="12.75">
      <c r="A441" s="50"/>
    </row>
    <row r="442" spans="1:1" ht="12.75">
      <c r="A442" s="50"/>
    </row>
    <row r="443" spans="1:1" ht="12.75">
      <c r="A443" s="50"/>
    </row>
    <row r="444" spans="1:1" ht="12.75">
      <c r="A444" s="50"/>
    </row>
    <row r="445" spans="1:1" ht="12.75">
      <c r="A445" s="50"/>
    </row>
    <row r="446" spans="1:1" ht="12.75">
      <c r="A446" s="50"/>
    </row>
    <row r="447" spans="1:1" ht="12.75">
      <c r="A447" s="50"/>
    </row>
    <row r="448" spans="1:1" ht="12.75">
      <c r="A448" s="50"/>
    </row>
    <row r="449" spans="1:1" ht="12.75">
      <c r="A449" s="50"/>
    </row>
    <row r="450" spans="1:1" ht="12.75">
      <c r="A450" s="50"/>
    </row>
    <row r="451" spans="1:1" ht="12.75">
      <c r="A451" s="50"/>
    </row>
    <row r="452" spans="1:1" ht="12.75">
      <c r="A452" s="50"/>
    </row>
    <row r="453" spans="1:1" ht="12.75">
      <c r="A453" s="50"/>
    </row>
    <row r="454" spans="1:1" ht="12.75">
      <c r="A454" s="50"/>
    </row>
    <row r="455" spans="1:1" ht="12.75">
      <c r="A455" s="50"/>
    </row>
    <row r="456" spans="1:1" ht="12.75">
      <c r="A456" s="50"/>
    </row>
    <row r="457" spans="1:1" ht="12.75">
      <c r="A457" s="50"/>
    </row>
    <row r="458" spans="1:1" ht="12.75">
      <c r="A458" s="50"/>
    </row>
    <row r="459" spans="1:1" ht="12.75">
      <c r="A459" s="50"/>
    </row>
    <row r="460" spans="1:1" ht="12.75">
      <c r="A460" s="50"/>
    </row>
    <row r="461" spans="1:1" ht="12.75">
      <c r="A461" s="50"/>
    </row>
    <row r="462" spans="1:1" ht="12.75">
      <c r="A462" s="50"/>
    </row>
    <row r="463" spans="1:1" ht="12.75">
      <c r="A463" s="50"/>
    </row>
    <row r="464" spans="1:1" ht="12.75">
      <c r="A464" s="50"/>
    </row>
    <row r="465" spans="1:1" ht="12.75">
      <c r="A465" s="50"/>
    </row>
    <row r="466" spans="1:1" ht="12.75">
      <c r="A466" s="50"/>
    </row>
    <row r="467" spans="1:1" ht="12.75">
      <c r="A467" s="50"/>
    </row>
    <row r="468" spans="1:1" ht="12.75">
      <c r="A468" s="50"/>
    </row>
    <row r="469" spans="1:1" ht="12.75">
      <c r="A469" s="50"/>
    </row>
    <row r="470" spans="1:1" ht="12.75">
      <c r="A470" s="50"/>
    </row>
    <row r="471" spans="1:1" ht="12.75">
      <c r="A471" s="50"/>
    </row>
    <row r="472" spans="1:1" ht="12.75">
      <c r="A472" s="50"/>
    </row>
    <row r="473" spans="1:1" ht="12.75">
      <c r="A473" s="50"/>
    </row>
    <row r="474" spans="1:1" ht="12.75">
      <c r="A474" s="50"/>
    </row>
    <row r="475" spans="1:1" ht="12.75">
      <c r="A475" s="50"/>
    </row>
    <row r="476" spans="1:1" ht="12.75">
      <c r="A476" s="50"/>
    </row>
    <row r="477" spans="1:1" ht="12.75">
      <c r="A477" s="50"/>
    </row>
    <row r="478" spans="1:1" ht="12.75">
      <c r="A478" s="50"/>
    </row>
    <row r="479" spans="1:1" ht="12.75">
      <c r="A479" s="50"/>
    </row>
    <row r="480" spans="1:1" ht="12.75">
      <c r="A480" s="50"/>
    </row>
    <row r="481" spans="1:1" ht="12.75">
      <c r="A481" s="50"/>
    </row>
    <row r="482" spans="1:1" ht="12.75">
      <c r="A482" s="50"/>
    </row>
    <row r="483" spans="1:1" ht="12.75">
      <c r="A483" s="50"/>
    </row>
    <row r="484" spans="1:1" ht="12.75">
      <c r="A484" s="50"/>
    </row>
    <row r="485" spans="1:1" ht="12.75">
      <c r="A485" s="50"/>
    </row>
    <row r="486" spans="1:1" ht="12.75">
      <c r="A486" s="50"/>
    </row>
    <row r="487" spans="1:1" ht="12.75">
      <c r="A487" s="50"/>
    </row>
    <row r="488" spans="1:1" ht="12.75">
      <c r="A488" s="50"/>
    </row>
    <row r="489" spans="1:1" ht="12.75">
      <c r="A489" s="50"/>
    </row>
    <row r="490" spans="1:1" ht="12.75">
      <c r="A490" s="50"/>
    </row>
    <row r="491" spans="1:1" ht="12.75">
      <c r="A491" s="50"/>
    </row>
    <row r="492" spans="1:1" ht="12.75">
      <c r="A492" s="50"/>
    </row>
    <row r="493" spans="1:1" ht="12.75">
      <c r="A493" s="50"/>
    </row>
    <row r="494" spans="1:1" ht="12.75">
      <c r="A494" s="50"/>
    </row>
    <row r="495" spans="1:1" ht="12.75">
      <c r="A495" s="50"/>
    </row>
    <row r="496" spans="1:1" ht="12.75">
      <c r="A496" s="50"/>
    </row>
    <row r="497" spans="1:1" ht="12.75">
      <c r="A497" s="50"/>
    </row>
    <row r="498" spans="1:1" ht="12.75">
      <c r="A498" s="50"/>
    </row>
    <row r="499" spans="1:1" ht="12.75">
      <c r="A499" s="50"/>
    </row>
    <row r="500" spans="1:1" ht="12.75">
      <c r="A500" s="50"/>
    </row>
    <row r="501" spans="1:1" ht="12.75">
      <c r="A501" s="50"/>
    </row>
    <row r="502" spans="1:1" ht="12.75">
      <c r="A502" s="50"/>
    </row>
    <row r="503" spans="1:1" ht="12.75">
      <c r="A503" s="50"/>
    </row>
    <row r="504" spans="1:1" ht="12.75">
      <c r="A504" s="50"/>
    </row>
    <row r="505" spans="1:1" ht="12.75">
      <c r="A505" s="50"/>
    </row>
    <row r="506" spans="1:1" ht="12.75">
      <c r="A506" s="50"/>
    </row>
    <row r="507" spans="1:1" ht="12.75">
      <c r="A507" s="50"/>
    </row>
    <row r="508" spans="1:1" ht="12.75">
      <c r="A508" s="50"/>
    </row>
    <row r="509" spans="1:1" ht="12.75">
      <c r="A509" s="50"/>
    </row>
    <row r="510" spans="1:1" ht="12.75">
      <c r="A510" s="50"/>
    </row>
    <row r="511" spans="1:1" ht="12.75">
      <c r="A511" s="50"/>
    </row>
    <row r="512" spans="1:1" ht="12.75">
      <c r="A512" s="50"/>
    </row>
    <row r="513" spans="1:1" ht="12.75">
      <c r="A513" s="50"/>
    </row>
    <row r="514" spans="1:1" ht="12.75">
      <c r="A514" s="50"/>
    </row>
    <row r="515" spans="1:1" ht="12.75">
      <c r="A515" s="50"/>
    </row>
    <row r="516" spans="1:1" ht="12.75">
      <c r="A516" s="50"/>
    </row>
    <row r="517" spans="1:1" ht="12.75">
      <c r="A517" s="50"/>
    </row>
    <row r="518" spans="1:1" ht="12.75">
      <c r="A518" s="50"/>
    </row>
    <row r="519" spans="1:1" ht="12.75">
      <c r="A519" s="50"/>
    </row>
    <row r="520" spans="1:1" ht="12.75">
      <c r="A520" s="50"/>
    </row>
    <row r="521" spans="1:1" ht="12.75">
      <c r="A521" s="50"/>
    </row>
    <row r="522" spans="1:1" ht="12.75">
      <c r="A522" s="50"/>
    </row>
    <row r="523" spans="1:1" ht="12.75">
      <c r="A523" s="50"/>
    </row>
    <row r="524" spans="1:1" ht="12.75">
      <c r="A524" s="50"/>
    </row>
    <row r="525" spans="1:1" ht="12.75">
      <c r="A525" s="50"/>
    </row>
    <row r="526" spans="1:1" ht="12.75">
      <c r="A526" s="50"/>
    </row>
    <row r="527" spans="1:1" ht="12.75">
      <c r="A527" s="50"/>
    </row>
    <row r="528" spans="1:1" ht="12.75">
      <c r="A528" s="50"/>
    </row>
    <row r="529" spans="1:1" ht="12.75">
      <c r="A529" s="50"/>
    </row>
    <row r="530" spans="1:1" ht="12.75">
      <c r="A530" s="50"/>
    </row>
    <row r="531" spans="1:1" ht="12.75">
      <c r="A531" s="50"/>
    </row>
    <row r="532" spans="1:1" ht="12.75">
      <c r="A532" s="50"/>
    </row>
    <row r="533" spans="1:1" ht="12.75">
      <c r="A533" s="50"/>
    </row>
    <row r="534" spans="1:1" ht="12.75">
      <c r="A534" s="50"/>
    </row>
    <row r="535" spans="1:1" ht="12.75">
      <c r="A535" s="50"/>
    </row>
    <row r="536" spans="1:1" ht="12.75">
      <c r="A536" s="50"/>
    </row>
    <row r="537" spans="1:1" ht="12.75">
      <c r="A537" s="50"/>
    </row>
    <row r="538" spans="1:1" ht="12.75">
      <c r="A538" s="50"/>
    </row>
    <row r="539" spans="1:1" ht="12.75">
      <c r="A539" s="50"/>
    </row>
    <row r="540" spans="1:1" ht="12.75">
      <c r="A540" s="50"/>
    </row>
    <row r="541" spans="1:1" ht="12.75">
      <c r="A541" s="50"/>
    </row>
    <row r="542" spans="1:1" ht="12.75">
      <c r="A542" s="50"/>
    </row>
    <row r="543" spans="1:1" ht="12.75">
      <c r="A543" s="50"/>
    </row>
    <row r="544" spans="1:1" ht="12.75">
      <c r="A544" s="50"/>
    </row>
    <row r="545" spans="1:1" ht="12.75">
      <c r="A545" s="50"/>
    </row>
    <row r="546" spans="1:1" ht="12.75">
      <c r="A546" s="50"/>
    </row>
    <row r="547" spans="1:1" ht="12.75">
      <c r="A547" s="50"/>
    </row>
    <row r="548" spans="1:1" ht="12.75">
      <c r="A548" s="50"/>
    </row>
    <row r="549" spans="1:1" ht="12.75">
      <c r="A549" s="50"/>
    </row>
    <row r="550" spans="1:1" ht="12.75">
      <c r="A550" s="50"/>
    </row>
    <row r="551" spans="1:1" ht="12.75">
      <c r="A551" s="50"/>
    </row>
    <row r="552" spans="1:1" ht="12.75">
      <c r="A552" s="50"/>
    </row>
    <row r="553" spans="1:1" ht="12.75">
      <c r="A553" s="50"/>
    </row>
    <row r="554" spans="1:1" ht="12.75">
      <c r="A554" s="50"/>
    </row>
    <row r="555" spans="1:1" ht="12.75">
      <c r="A555" s="50"/>
    </row>
    <row r="556" spans="1:1" ht="12.75">
      <c r="A556" s="50"/>
    </row>
    <row r="557" spans="1:1" ht="12.75">
      <c r="A557" s="50"/>
    </row>
    <row r="558" spans="1:1" ht="12.75">
      <c r="A558" s="50"/>
    </row>
    <row r="559" spans="1:1" ht="12.75">
      <c r="A559" s="50"/>
    </row>
    <row r="560" spans="1:1" ht="12.75">
      <c r="A560" s="50"/>
    </row>
    <row r="561" spans="1:1" ht="12.75">
      <c r="A561" s="50"/>
    </row>
    <row r="562" spans="1:1" ht="12.75">
      <c r="A562" s="50"/>
    </row>
    <row r="563" spans="1:1" ht="12.75">
      <c r="A563" s="50"/>
    </row>
    <row r="564" spans="1:1" ht="12.75">
      <c r="A564" s="50"/>
    </row>
    <row r="565" spans="1:1" ht="12.75">
      <c r="A565" s="50"/>
    </row>
    <row r="566" spans="1:1" ht="12.75">
      <c r="A566" s="50"/>
    </row>
    <row r="567" spans="1:1" ht="12.75">
      <c r="A567" s="50"/>
    </row>
    <row r="568" spans="1:1" ht="12.75">
      <c r="A568" s="50"/>
    </row>
    <row r="569" spans="1:1" ht="12.75">
      <c r="A569" s="50"/>
    </row>
    <row r="570" spans="1:1" ht="12.75">
      <c r="A570" s="50"/>
    </row>
    <row r="571" spans="1:1" ht="12.75">
      <c r="A571" s="50"/>
    </row>
    <row r="572" spans="1:1" ht="12.75">
      <c r="A572" s="50"/>
    </row>
    <row r="573" spans="1:1" ht="12.75">
      <c r="A573" s="50"/>
    </row>
    <row r="574" spans="1:1" ht="12.75">
      <c r="A574" s="50"/>
    </row>
    <row r="575" spans="1:1" ht="12.75">
      <c r="A575" s="50"/>
    </row>
    <row r="576" spans="1:1" ht="12.75">
      <c r="A576" s="50"/>
    </row>
    <row r="577" spans="1:1" ht="12.75">
      <c r="A577" s="50"/>
    </row>
    <row r="578" spans="1:1" ht="12.75">
      <c r="A578" s="50"/>
    </row>
    <row r="579" spans="1:1" ht="12.75">
      <c r="A579" s="50"/>
    </row>
    <row r="580" spans="1:1" ht="12.75">
      <c r="A580" s="50"/>
    </row>
    <row r="581" spans="1:1" ht="12.75">
      <c r="A581" s="50"/>
    </row>
    <row r="582" spans="1:1" ht="12.75">
      <c r="A582" s="50"/>
    </row>
    <row r="583" spans="1:1" ht="12.75">
      <c r="A583" s="50"/>
    </row>
    <row r="584" spans="1:1" ht="12.75">
      <c r="A584" s="50"/>
    </row>
    <row r="585" spans="1:1" ht="12.75">
      <c r="A585" s="50"/>
    </row>
    <row r="586" spans="1:1" ht="12.75">
      <c r="A586" s="50"/>
    </row>
    <row r="587" spans="1:1" ht="12.75">
      <c r="A587" s="50"/>
    </row>
    <row r="588" spans="1:1" ht="12.75">
      <c r="A588" s="50"/>
    </row>
    <row r="589" spans="1:1" ht="12.75">
      <c r="A589" s="50"/>
    </row>
    <row r="590" spans="1:1" ht="12.75">
      <c r="A590" s="50"/>
    </row>
    <row r="591" spans="1:1" ht="12.75">
      <c r="A591" s="50"/>
    </row>
    <row r="592" spans="1:1" ht="12.75">
      <c r="A592" s="50"/>
    </row>
    <row r="593" spans="1:1" ht="12.75">
      <c r="A593" s="50"/>
    </row>
    <row r="594" spans="1:1" ht="12.75">
      <c r="A594" s="50"/>
    </row>
    <row r="595" spans="1:1" ht="12.75">
      <c r="A595" s="50"/>
    </row>
    <row r="596" spans="1:1" ht="12.75">
      <c r="A596" s="50"/>
    </row>
    <row r="597" spans="1:1" ht="12.75">
      <c r="A597" s="50"/>
    </row>
    <row r="598" spans="1:1" ht="12.75">
      <c r="A598" s="50"/>
    </row>
    <row r="599" spans="1:1" ht="12.75">
      <c r="A599" s="50"/>
    </row>
    <row r="600" spans="1:1" ht="12.75">
      <c r="A600" s="50"/>
    </row>
    <row r="601" spans="1:1" ht="12.75">
      <c r="A601" s="50"/>
    </row>
    <row r="602" spans="1:1" ht="12.75">
      <c r="A602" s="50"/>
    </row>
    <row r="603" spans="1:1" ht="12.75">
      <c r="A603" s="50"/>
    </row>
    <row r="604" spans="1:1" ht="12.75">
      <c r="A604" s="50"/>
    </row>
    <row r="605" spans="1:1" ht="12.75">
      <c r="A605" s="50"/>
    </row>
    <row r="606" spans="1:1" ht="12.75">
      <c r="A606" s="50"/>
    </row>
    <row r="607" spans="1:1" ht="12.75">
      <c r="A607" s="50"/>
    </row>
    <row r="608" spans="1:1" ht="12.75">
      <c r="A608" s="50"/>
    </row>
    <row r="609" spans="1:1" ht="12.75">
      <c r="A609" s="50"/>
    </row>
    <row r="610" spans="1:1" ht="12.75">
      <c r="A610" s="50"/>
    </row>
    <row r="611" spans="1:1" ht="12.75">
      <c r="A611" s="50"/>
    </row>
    <row r="612" spans="1:1" ht="12.75">
      <c r="A612" s="50"/>
    </row>
    <row r="613" spans="1:1" ht="12.75">
      <c r="A613" s="50"/>
    </row>
    <row r="614" spans="1:1" ht="12.75">
      <c r="A614" s="50"/>
    </row>
    <row r="615" spans="1:1" ht="12.75">
      <c r="A615" s="50"/>
    </row>
    <row r="616" spans="1:1" ht="12.75">
      <c r="A616" s="50"/>
    </row>
    <row r="617" spans="1:1" ht="12.75">
      <c r="A617" s="50"/>
    </row>
    <row r="618" spans="1:1" ht="12.75">
      <c r="A618" s="50"/>
    </row>
    <row r="619" spans="1:1" ht="12.75">
      <c r="A619" s="50"/>
    </row>
    <row r="620" spans="1:1" ht="12.75">
      <c r="A620" s="50"/>
    </row>
    <row r="621" spans="1:1" ht="12.75">
      <c r="A621" s="50"/>
    </row>
    <row r="622" spans="1:1" ht="12.75">
      <c r="A622" s="50"/>
    </row>
    <row r="623" spans="1:1" ht="12.75">
      <c r="A623" s="50"/>
    </row>
    <row r="624" spans="1:1" ht="12.75">
      <c r="A624" s="50"/>
    </row>
    <row r="625" spans="1:1" ht="12.75">
      <c r="A625" s="50"/>
    </row>
    <row r="626" spans="1:1" ht="12.75">
      <c r="A626" s="50"/>
    </row>
    <row r="627" spans="1:1" ht="12.75">
      <c r="A627" s="50"/>
    </row>
    <row r="628" spans="1:1" ht="12.75">
      <c r="A628" s="50"/>
    </row>
    <row r="629" spans="1:1" ht="12.75">
      <c r="A629" s="50"/>
    </row>
    <row r="630" spans="1:1" ht="12.75">
      <c r="A630" s="50"/>
    </row>
    <row r="631" spans="1:1" ht="12.75">
      <c r="A631" s="50"/>
    </row>
    <row r="632" spans="1:1" ht="12.75">
      <c r="A632" s="50"/>
    </row>
    <row r="633" spans="1:1" ht="12.75">
      <c r="A633" s="50"/>
    </row>
    <row r="634" spans="1:1" ht="12.75">
      <c r="A634" s="50"/>
    </row>
    <row r="635" spans="1:1" ht="12.75">
      <c r="A635" s="50"/>
    </row>
    <row r="636" spans="1:1" ht="12.75">
      <c r="A636" s="50"/>
    </row>
    <row r="637" spans="1:1" ht="12.75">
      <c r="A637" s="50"/>
    </row>
    <row r="638" spans="1:1" ht="12.75">
      <c r="A638" s="50"/>
    </row>
    <row r="639" spans="1:1" ht="12.75">
      <c r="A639" s="50"/>
    </row>
    <row r="640" spans="1:1" ht="12.75">
      <c r="A640" s="50"/>
    </row>
    <row r="641" spans="1:1" ht="12.75">
      <c r="A641" s="50"/>
    </row>
    <row r="642" spans="1:1" ht="12.75">
      <c r="A642" s="50"/>
    </row>
    <row r="643" spans="1:1" ht="12.75">
      <c r="A643" s="50"/>
    </row>
    <row r="644" spans="1:1" ht="12.75">
      <c r="A644" s="50"/>
    </row>
    <row r="645" spans="1:1" ht="12.75">
      <c r="A645" s="50"/>
    </row>
    <row r="646" spans="1:1" ht="12.75">
      <c r="A646" s="50"/>
    </row>
    <row r="647" spans="1:1" ht="12.75">
      <c r="A647" s="50"/>
    </row>
    <row r="648" spans="1:1" ht="12.75">
      <c r="A648" s="50"/>
    </row>
    <row r="649" spans="1:1" ht="12.75">
      <c r="A649" s="50"/>
    </row>
    <row r="650" spans="1:1" ht="12.75">
      <c r="A650" s="50"/>
    </row>
    <row r="651" spans="1:1" ht="12.75">
      <c r="A651" s="50"/>
    </row>
    <row r="652" spans="1:1" ht="12.75">
      <c r="A652" s="50"/>
    </row>
    <row r="653" spans="1:1" ht="12.75">
      <c r="A653" s="50"/>
    </row>
    <row r="654" spans="1:1" ht="12.75">
      <c r="A654" s="50"/>
    </row>
    <row r="655" spans="1:1" ht="12.75">
      <c r="A655" s="50"/>
    </row>
    <row r="656" spans="1:1" ht="12.75">
      <c r="A656" s="50"/>
    </row>
    <row r="657" spans="1:1" ht="12.75">
      <c r="A657" s="50"/>
    </row>
    <row r="658" spans="1:1" ht="12.75">
      <c r="A658" s="50"/>
    </row>
    <row r="659" spans="1:1" ht="12.75">
      <c r="A659" s="50"/>
    </row>
    <row r="660" spans="1:1" ht="12.75">
      <c r="A660" s="50"/>
    </row>
    <row r="661" spans="1:1" ht="12.75">
      <c r="A661" s="50"/>
    </row>
    <row r="662" spans="1:1" ht="12.75">
      <c r="A662" s="50"/>
    </row>
    <row r="663" spans="1:1" ht="12.75">
      <c r="A663" s="50"/>
    </row>
    <row r="664" spans="1:1" ht="12.75">
      <c r="A664" s="50"/>
    </row>
    <row r="665" spans="1:1" ht="12.75">
      <c r="A665" s="50"/>
    </row>
    <row r="666" spans="1:1" ht="12.75">
      <c r="A666" s="50"/>
    </row>
    <row r="667" spans="1:1" ht="12.75">
      <c r="A667" s="50"/>
    </row>
    <row r="668" spans="1:1" ht="12.75">
      <c r="A668" s="50"/>
    </row>
    <row r="669" spans="1:1" ht="12.75">
      <c r="A669" s="50"/>
    </row>
    <row r="670" spans="1:1" ht="12.75">
      <c r="A670" s="50"/>
    </row>
    <row r="671" spans="1:1" ht="12.75">
      <c r="A671" s="50"/>
    </row>
    <row r="672" spans="1:1" ht="12.75">
      <c r="A672" s="50"/>
    </row>
    <row r="673" spans="1:1" ht="12.75">
      <c r="A673" s="50"/>
    </row>
    <row r="674" spans="1:1" ht="12.75">
      <c r="A674" s="50"/>
    </row>
    <row r="675" spans="1:1" ht="12.75">
      <c r="A675" s="50"/>
    </row>
    <row r="676" spans="1:1" ht="12.75">
      <c r="A676" s="50"/>
    </row>
    <row r="677" spans="1:1" ht="12.75">
      <c r="A677" s="50"/>
    </row>
    <row r="678" spans="1:1" ht="12.75">
      <c r="A678" s="50"/>
    </row>
    <row r="679" spans="1:1" ht="12.75">
      <c r="A679" s="50"/>
    </row>
    <row r="680" spans="1:1" ht="12.75">
      <c r="A680" s="50"/>
    </row>
    <row r="681" spans="1:1" ht="12.75">
      <c r="A681" s="50"/>
    </row>
    <row r="682" spans="1:1" ht="12.75">
      <c r="A682" s="50"/>
    </row>
    <row r="683" spans="1:1" ht="12.75">
      <c r="A683" s="50"/>
    </row>
    <row r="684" spans="1:1" ht="12.75">
      <c r="A684" s="50"/>
    </row>
    <row r="685" spans="1:1" ht="12.75">
      <c r="A685" s="50"/>
    </row>
    <row r="686" spans="1:1" ht="12.75">
      <c r="A686" s="50"/>
    </row>
    <row r="687" spans="1:1" ht="12.75">
      <c r="A687" s="50"/>
    </row>
    <row r="688" spans="1:1" ht="12.75">
      <c r="A688" s="50"/>
    </row>
    <row r="689" spans="1:1" ht="12.75">
      <c r="A689" s="50"/>
    </row>
    <row r="690" spans="1:1" ht="12.75">
      <c r="A690" s="50"/>
    </row>
    <row r="691" spans="1:1" ht="12.75">
      <c r="A691" s="50"/>
    </row>
    <row r="692" spans="1:1" ht="12.75">
      <c r="A692" s="50"/>
    </row>
    <row r="693" spans="1:1" ht="12.75">
      <c r="A693" s="50"/>
    </row>
    <row r="694" spans="1:1" ht="12.75">
      <c r="A694" s="50"/>
    </row>
    <row r="695" spans="1:1" ht="12.75">
      <c r="A695" s="50"/>
    </row>
    <row r="696" spans="1:1" ht="12.75">
      <c r="A696" s="50"/>
    </row>
    <row r="697" spans="1:1" ht="12.75">
      <c r="A697" s="50"/>
    </row>
    <row r="698" spans="1:1" ht="12.75">
      <c r="A698" s="50"/>
    </row>
    <row r="699" spans="1:1" ht="12.75">
      <c r="A699" s="50"/>
    </row>
    <row r="700" spans="1:1" ht="12.75">
      <c r="A700" s="50"/>
    </row>
    <row r="701" spans="1:1" ht="12.75">
      <c r="A701" s="50"/>
    </row>
    <row r="702" spans="1:1" ht="12.75">
      <c r="A702" s="50"/>
    </row>
    <row r="703" spans="1:1" ht="12.75">
      <c r="A703" s="50"/>
    </row>
    <row r="704" spans="1:1" ht="12.75">
      <c r="A704" s="50"/>
    </row>
    <row r="705" spans="1:1" ht="12.75">
      <c r="A705" s="50"/>
    </row>
    <row r="706" spans="1:1" ht="12.75">
      <c r="A706" s="50"/>
    </row>
    <row r="707" spans="1:1" ht="12.75">
      <c r="A707" s="50"/>
    </row>
    <row r="708" spans="1:1" ht="12.75">
      <c r="A708" s="50"/>
    </row>
    <row r="709" spans="1:1" ht="12.75">
      <c r="A709" s="50"/>
    </row>
    <row r="710" spans="1:1" ht="12.75">
      <c r="A710" s="50"/>
    </row>
    <row r="711" spans="1:1" ht="12.75">
      <c r="A711" s="50"/>
    </row>
    <row r="712" spans="1:1" ht="12.75">
      <c r="A712" s="50"/>
    </row>
    <row r="713" spans="1:1" ht="12.75">
      <c r="A713" s="50"/>
    </row>
    <row r="714" spans="1:1" ht="12.75">
      <c r="A714" s="50"/>
    </row>
    <row r="715" spans="1:1" ht="12.75">
      <c r="A715" s="50"/>
    </row>
    <row r="716" spans="1:1" ht="12.75">
      <c r="A716" s="50"/>
    </row>
    <row r="717" spans="1:1" ht="12.75">
      <c r="A717" s="50"/>
    </row>
    <row r="718" spans="1:1" ht="12.75">
      <c r="A718" s="50"/>
    </row>
    <row r="719" spans="1:1" ht="12.75">
      <c r="A719" s="50"/>
    </row>
    <row r="720" spans="1:1" ht="12.75">
      <c r="A720" s="50"/>
    </row>
    <row r="721" spans="1:1" ht="12.75">
      <c r="A721" s="50"/>
    </row>
    <row r="722" spans="1:1" ht="12.75">
      <c r="A722" s="50"/>
    </row>
    <row r="723" spans="1:1" ht="12.75">
      <c r="A723" s="50"/>
    </row>
    <row r="724" spans="1:1" ht="12.75">
      <c r="A724" s="50"/>
    </row>
    <row r="725" spans="1:1" ht="12.75">
      <c r="A725" s="50"/>
    </row>
    <row r="726" spans="1:1" ht="12.75">
      <c r="A726" s="50"/>
    </row>
    <row r="727" spans="1:1" ht="12.75">
      <c r="A727" s="50"/>
    </row>
    <row r="728" spans="1:1" ht="12.75">
      <c r="A728" s="50"/>
    </row>
    <row r="729" spans="1:1" ht="12.75">
      <c r="A729" s="50"/>
    </row>
    <row r="730" spans="1:1" ht="12.75">
      <c r="A730" s="50"/>
    </row>
    <row r="731" spans="1:1" ht="12.75">
      <c r="A731" s="50"/>
    </row>
    <row r="732" spans="1:1" ht="12.75">
      <c r="A732" s="50"/>
    </row>
    <row r="733" spans="1:1" ht="12.75">
      <c r="A733" s="50"/>
    </row>
    <row r="734" spans="1:1" ht="12.75">
      <c r="A734" s="50"/>
    </row>
    <row r="735" spans="1:1" ht="12.75">
      <c r="A735" s="50"/>
    </row>
    <row r="736" spans="1:1" ht="12.75">
      <c r="A736" s="50"/>
    </row>
    <row r="737" spans="1:1" ht="12.75">
      <c r="A737" s="50"/>
    </row>
    <row r="738" spans="1:1" ht="12.75">
      <c r="A738" s="50"/>
    </row>
    <row r="739" spans="1:1" ht="12.75">
      <c r="A739" s="50"/>
    </row>
    <row r="740" spans="1:1" ht="12.75">
      <c r="A740" s="50"/>
    </row>
    <row r="741" spans="1:1" ht="12.75">
      <c r="A741" s="50"/>
    </row>
    <row r="742" spans="1:1" ht="12.75">
      <c r="A742" s="50"/>
    </row>
    <row r="743" spans="1:1" ht="12.75">
      <c r="A743" s="50"/>
    </row>
    <row r="744" spans="1:1" ht="12.75">
      <c r="A744" s="50"/>
    </row>
    <row r="745" spans="1:1" ht="12.75">
      <c r="A745" s="50"/>
    </row>
    <row r="746" spans="1:1" ht="12.75">
      <c r="A746" s="50"/>
    </row>
    <row r="747" spans="1:1" ht="12.75">
      <c r="A747" s="50"/>
    </row>
    <row r="748" spans="1:1" ht="12.75">
      <c r="A748" s="50"/>
    </row>
    <row r="749" spans="1:1" ht="12.75">
      <c r="A749" s="50"/>
    </row>
    <row r="750" spans="1:1" ht="12.75">
      <c r="A750" s="50"/>
    </row>
    <row r="751" spans="1:1" ht="12.75">
      <c r="A751" s="50"/>
    </row>
    <row r="752" spans="1:1" ht="12.75">
      <c r="A752" s="50"/>
    </row>
    <row r="753" spans="1:1" ht="12.75">
      <c r="A753" s="50"/>
    </row>
    <row r="754" spans="1:1" ht="12.75">
      <c r="A754" s="50"/>
    </row>
    <row r="755" spans="1:1" ht="12.75">
      <c r="A755" s="50"/>
    </row>
    <row r="756" spans="1:1" ht="12.75">
      <c r="A756" s="50"/>
    </row>
    <row r="757" spans="1:1" ht="12.75">
      <c r="A757" s="50"/>
    </row>
    <row r="758" spans="1:1" ht="12.75">
      <c r="A758" s="50"/>
    </row>
    <row r="759" spans="1:1" ht="12.75">
      <c r="A759" s="50"/>
    </row>
    <row r="760" spans="1:1" ht="12.75">
      <c r="A760" s="50"/>
    </row>
    <row r="761" spans="1:1" ht="12.75">
      <c r="A761" s="50"/>
    </row>
    <row r="762" spans="1:1" ht="12.75">
      <c r="A762" s="50"/>
    </row>
    <row r="763" spans="1:1" ht="12.75">
      <c r="A763" s="50"/>
    </row>
    <row r="764" spans="1:1" ht="12.75">
      <c r="A764" s="50"/>
    </row>
    <row r="765" spans="1:1" ht="12.75">
      <c r="A765" s="50"/>
    </row>
    <row r="766" spans="1:1" ht="12.75">
      <c r="A766" s="50"/>
    </row>
    <row r="767" spans="1:1" ht="12.75">
      <c r="A767" s="50"/>
    </row>
    <row r="768" spans="1:1" ht="12.75">
      <c r="A768" s="50"/>
    </row>
    <row r="769" spans="1:1" ht="12.75">
      <c r="A769" s="50"/>
    </row>
    <row r="770" spans="1:1" ht="12.75">
      <c r="A770" s="50"/>
    </row>
    <row r="771" spans="1:1" ht="12.75">
      <c r="A771" s="50"/>
    </row>
    <row r="772" spans="1:1" ht="12.75">
      <c r="A772" s="50"/>
    </row>
    <row r="773" spans="1:1" ht="12.75">
      <c r="A773" s="50"/>
    </row>
    <row r="774" spans="1:1" ht="12.75">
      <c r="A774" s="50"/>
    </row>
    <row r="775" spans="1:1" ht="12.75">
      <c r="A775" s="50"/>
    </row>
    <row r="776" spans="1:1" ht="12.75">
      <c r="A776" s="50"/>
    </row>
    <row r="777" spans="1:1" ht="12.75">
      <c r="A777" s="50"/>
    </row>
    <row r="778" spans="1:1" ht="12.75">
      <c r="A778" s="50"/>
    </row>
    <row r="779" spans="1:1" ht="12.75">
      <c r="A779" s="50"/>
    </row>
    <row r="780" spans="1:1" ht="12.75">
      <c r="A780" s="50"/>
    </row>
    <row r="781" spans="1:1" ht="12.75">
      <c r="A781" s="50"/>
    </row>
    <row r="782" spans="1:1" ht="12.75">
      <c r="A782" s="50"/>
    </row>
    <row r="783" spans="1:1" ht="12.75">
      <c r="A783" s="50"/>
    </row>
    <row r="784" spans="1:1" ht="12.75">
      <c r="A784" s="50"/>
    </row>
    <row r="785" spans="1:1" ht="12.75">
      <c r="A785" s="50"/>
    </row>
    <row r="786" spans="1:1" ht="12.75">
      <c r="A786" s="50"/>
    </row>
    <row r="787" spans="1:1" ht="12.75">
      <c r="A787" s="50"/>
    </row>
    <row r="788" spans="1:1" ht="12.75">
      <c r="A788" s="50"/>
    </row>
    <row r="789" spans="1:1" ht="12.75">
      <c r="A789" s="50"/>
    </row>
    <row r="790" spans="1:1" ht="12.75">
      <c r="A790" s="50"/>
    </row>
    <row r="791" spans="1:1" ht="12.75">
      <c r="A791" s="50"/>
    </row>
    <row r="792" spans="1:1" ht="12.75">
      <c r="A792" s="50"/>
    </row>
    <row r="793" spans="1:1" ht="12.75">
      <c r="A793" s="50"/>
    </row>
    <row r="794" spans="1:1" ht="12.75">
      <c r="A794" s="50"/>
    </row>
    <row r="795" spans="1:1" ht="12.75">
      <c r="A795" s="50"/>
    </row>
    <row r="796" spans="1:1" ht="12.75">
      <c r="A796" s="50"/>
    </row>
    <row r="797" spans="1:1" ht="12.75">
      <c r="A797" s="50"/>
    </row>
    <row r="798" spans="1:1" ht="12.75">
      <c r="A798" s="50"/>
    </row>
    <row r="799" spans="1:1" ht="12.75">
      <c r="A799" s="50"/>
    </row>
    <row r="800" spans="1:1" ht="12.75">
      <c r="A800" s="50"/>
    </row>
    <row r="801" spans="1:1" ht="12.75">
      <c r="A801" s="50"/>
    </row>
    <row r="802" spans="1:1" ht="12.75">
      <c r="A802" s="50"/>
    </row>
    <row r="803" spans="1:1" ht="12.75">
      <c r="A803" s="50"/>
    </row>
    <row r="804" spans="1:1" ht="12.75">
      <c r="A804" s="50"/>
    </row>
    <row r="805" spans="1:1" ht="12.75">
      <c r="A805" s="50"/>
    </row>
    <row r="806" spans="1:1" ht="12.75">
      <c r="A806" s="50"/>
    </row>
    <row r="807" spans="1:1" ht="12.75">
      <c r="A807" s="50"/>
    </row>
    <row r="808" spans="1:1" ht="12.75">
      <c r="A808" s="50"/>
    </row>
    <row r="809" spans="1:1" ht="12.75">
      <c r="A809" s="50"/>
    </row>
    <row r="810" spans="1:1" ht="12.75">
      <c r="A810" s="50"/>
    </row>
    <row r="811" spans="1:1" ht="12.75">
      <c r="A811" s="50"/>
    </row>
    <row r="812" spans="1:1" ht="12.75">
      <c r="A812" s="50"/>
    </row>
    <row r="813" spans="1:1" ht="12.75">
      <c r="A813" s="50"/>
    </row>
    <row r="814" spans="1:1" ht="12.75">
      <c r="A814" s="50"/>
    </row>
    <row r="815" spans="1:1" ht="12.75">
      <c r="A815" s="50"/>
    </row>
    <row r="816" spans="1:1" ht="12.75">
      <c r="A816" s="50"/>
    </row>
    <row r="817" spans="1:1" ht="12.75">
      <c r="A817" s="50"/>
    </row>
    <row r="818" spans="1:1" ht="12.75">
      <c r="A818" s="50"/>
    </row>
    <row r="819" spans="1:1" ht="12.75">
      <c r="A819" s="50"/>
    </row>
    <row r="820" spans="1:1" ht="12.75">
      <c r="A820" s="50"/>
    </row>
    <row r="821" spans="1:1" ht="12.75">
      <c r="A821" s="50"/>
    </row>
    <row r="822" spans="1:1" ht="12.75">
      <c r="A822" s="50"/>
    </row>
    <row r="823" spans="1:1" ht="12.75">
      <c r="A823" s="50"/>
    </row>
    <row r="824" spans="1:1" ht="12.75">
      <c r="A824" s="50"/>
    </row>
    <row r="825" spans="1:1" ht="12.75">
      <c r="A825" s="50"/>
    </row>
    <row r="826" spans="1:1" ht="12.75">
      <c r="A826" s="50"/>
    </row>
    <row r="827" spans="1:1" ht="12.75">
      <c r="A827" s="50"/>
    </row>
    <row r="828" spans="1:1" ht="12.75">
      <c r="A828" s="50"/>
    </row>
    <row r="829" spans="1:1" ht="12.75">
      <c r="A829" s="50"/>
    </row>
    <row r="830" spans="1:1" ht="12.75">
      <c r="A830" s="50"/>
    </row>
    <row r="831" spans="1:1" ht="12.75">
      <c r="A831" s="50"/>
    </row>
    <row r="832" spans="1:1" ht="12.75">
      <c r="A832" s="50"/>
    </row>
    <row r="833" spans="1:1" ht="12.75">
      <c r="A833" s="50"/>
    </row>
    <row r="834" spans="1:1" ht="12.75">
      <c r="A834" s="50"/>
    </row>
    <row r="835" spans="1:1" ht="12.75">
      <c r="A835" s="50"/>
    </row>
    <row r="836" spans="1:1" ht="12.75">
      <c r="A836" s="50"/>
    </row>
    <row r="837" spans="1:1" ht="12.75">
      <c r="A837" s="50"/>
    </row>
    <row r="838" spans="1:1" ht="12.75">
      <c r="A838" s="50"/>
    </row>
    <row r="839" spans="1:1" ht="12.75">
      <c r="A839" s="50"/>
    </row>
    <row r="840" spans="1:1" ht="12.75">
      <c r="A840" s="50"/>
    </row>
    <row r="841" spans="1:1" ht="12.75">
      <c r="A841" s="50"/>
    </row>
    <row r="842" spans="1:1" ht="12.75">
      <c r="A842" s="50"/>
    </row>
    <row r="843" spans="1:1" ht="12.75">
      <c r="A843" s="50"/>
    </row>
    <row r="844" spans="1:1" ht="12.75">
      <c r="A844" s="50"/>
    </row>
    <row r="845" spans="1:1" ht="12.75">
      <c r="A845" s="50"/>
    </row>
    <row r="846" spans="1:1" ht="12.75">
      <c r="A846" s="50"/>
    </row>
    <row r="847" spans="1:1" ht="12.75">
      <c r="A847" s="50"/>
    </row>
    <row r="848" spans="1:1" ht="12.75">
      <c r="A848" s="50"/>
    </row>
    <row r="849" spans="1:1" ht="12.75">
      <c r="A849" s="50"/>
    </row>
    <row r="850" spans="1:1" ht="12.75">
      <c r="A850" s="50"/>
    </row>
    <row r="851" spans="1:1" ht="12.75">
      <c r="A851" s="50"/>
    </row>
    <row r="852" spans="1:1" ht="12.75">
      <c r="A852" s="50"/>
    </row>
    <row r="853" spans="1:1" ht="12.75">
      <c r="A853" s="50"/>
    </row>
    <row r="854" spans="1:1" ht="12.75">
      <c r="A854" s="50"/>
    </row>
    <row r="855" spans="1:1" ht="12.75">
      <c r="A855" s="50"/>
    </row>
    <row r="856" spans="1:1" ht="12.75">
      <c r="A856" s="50"/>
    </row>
    <row r="857" spans="1:1" ht="12.75">
      <c r="A857" s="50"/>
    </row>
    <row r="858" spans="1:1" ht="12.75">
      <c r="A858" s="50"/>
    </row>
    <row r="859" spans="1:1" ht="12.75">
      <c r="A859" s="50"/>
    </row>
    <row r="860" spans="1:1" ht="12.75">
      <c r="A860" s="50"/>
    </row>
    <row r="861" spans="1:1" ht="12.75">
      <c r="A861" s="50"/>
    </row>
    <row r="862" spans="1:1" ht="12.75">
      <c r="A862" s="50"/>
    </row>
    <row r="863" spans="1:1" ht="12.75">
      <c r="A863" s="50"/>
    </row>
    <row r="864" spans="1:1" ht="12.75">
      <c r="A864" s="50"/>
    </row>
    <row r="865" spans="1:1" ht="12.75">
      <c r="A865" s="50"/>
    </row>
    <row r="866" spans="1:1" ht="12.75">
      <c r="A866" s="50"/>
    </row>
    <row r="867" spans="1:1" ht="12.75">
      <c r="A867" s="50"/>
    </row>
    <row r="868" spans="1:1" ht="12.75">
      <c r="A868" s="50"/>
    </row>
    <row r="869" spans="1:1" ht="12.75">
      <c r="A869" s="50"/>
    </row>
    <row r="870" spans="1:1" ht="12.75">
      <c r="A870" s="50"/>
    </row>
    <row r="871" spans="1:1" ht="12.75">
      <c r="A871" s="50"/>
    </row>
    <row r="872" spans="1:1" ht="12.75">
      <c r="A872" s="50"/>
    </row>
    <row r="873" spans="1:1" ht="12.75">
      <c r="A873" s="50"/>
    </row>
    <row r="874" spans="1:1" ht="12.75">
      <c r="A874" s="50"/>
    </row>
    <row r="875" spans="1:1" ht="12.75">
      <c r="A875" s="50"/>
    </row>
    <row r="876" spans="1:1" ht="12.75">
      <c r="A876" s="50"/>
    </row>
    <row r="877" spans="1:1" ht="12.75">
      <c r="A877" s="50"/>
    </row>
    <row r="878" spans="1:1" ht="12.75">
      <c r="A878" s="50"/>
    </row>
    <row r="879" spans="1:1" ht="12.75">
      <c r="A879" s="50"/>
    </row>
    <row r="880" spans="1:1" ht="12.75">
      <c r="A880" s="50"/>
    </row>
    <row r="881" spans="1:1" ht="12.75">
      <c r="A881" s="50"/>
    </row>
    <row r="882" spans="1:1" ht="12.75">
      <c r="A882" s="50"/>
    </row>
    <row r="883" spans="1:1" ht="12.75">
      <c r="A883" s="50"/>
    </row>
    <row r="884" spans="1:1" ht="12.75">
      <c r="A884" s="50"/>
    </row>
    <row r="885" spans="1:1" ht="12.75">
      <c r="A885" s="50"/>
    </row>
    <row r="886" spans="1:1" ht="12.75">
      <c r="A886" s="50"/>
    </row>
    <row r="887" spans="1:1" ht="12.75">
      <c r="A887" s="50"/>
    </row>
    <row r="888" spans="1:1" ht="12.75">
      <c r="A888" s="50"/>
    </row>
    <row r="889" spans="1:1" ht="12.75">
      <c r="A889" s="50"/>
    </row>
    <row r="890" spans="1:1" ht="12.75">
      <c r="A890" s="50"/>
    </row>
    <row r="891" spans="1:1" ht="12.75">
      <c r="A891" s="50"/>
    </row>
    <row r="892" spans="1:1" ht="12.75">
      <c r="A892" s="50"/>
    </row>
    <row r="893" spans="1:1" ht="12.75">
      <c r="A893" s="50"/>
    </row>
    <row r="894" spans="1:1" ht="12.75">
      <c r="A894" s="50"/>
    </row>
    <row r="895" spans="1:1" ht="12.75">
      <c r="A895" s="50"/>
    </row>
    <row r="896" spans="1:1" ht="12.75">
      <c r="A896" s="50"/>
    </row>
    <row r="897" spans="1:1" ht="12.75">
      <c r="A897" s="50"/>
    </row>
    <row r="898" spans="1:1" ht="12.75">
      <c r="A898" s="50"/>
    </row>
    <row r="899" spans="1:1" ht="12.75">
      <c r="A899" s="50"/>
    </row>
    <row r="900" spans="1:1" ht="12.75">
      <c r="A900" s="50"/>
    </row>
    <row r="901" spans="1:1" ht="12.75">
      <c r="A901" s="50"/>
    </row>
    <row r="902" spans="1:1" ht="12.75">
      <c r="A902" s="50"/>
    </row>
    <row r="903" spans="1:1" ht="12.75">
      <c r="A903" s="50"/>
    </row>
    <row r="904" spans="1:1" ht="12.75">
      <c r="A904" s="50"/>
    </row>
    <row r="905" spans="1:1" ht="12.75">
      <c r="A905" s="50"/>
    </row>
    <row r="906" spans="1:1" ht="12.75">
      <c r="A906" s="50"/>
    </row>
    <row r="907" spans="1:1" ht="12.75">
      <c r="A907" s="50"/>
    </row>
    <row r="908" spans="1:1" ht="12.75">
      <c r="A908" s="50"/>
    </row>
    <row r="909" spans="1:1" ht="12.75">
      <c r="A909" s="50"/>
    </row>
    <row r="910" spans="1:1" ht="12.75">
      <c r="A910" s="50"/>
    </row>
    <row r="911" spans="1:1" ht="12.75">
      <c r="A911" s="50"/>
    </row>
    <row r="912" spans="1:1" ht="12.75">
      <c r="A912" s="50"/>
    </row>
    <row r="913" spans="1:1" ht="12.75">
      <c r="A913" s="50"/>
    </row>
    <row r="914" spans="1:1" ht="12.75">
      <c r="A914" s="50"/>
    </row>
    <row r="915" spans="1:1" ht="12.75">
      <c r="A915" s="50"/>
    </row>
    <row r="916" spans="1:1" ht="12.75">
      <c r="A916" s="50"/>
    </row>
    <row r="917" spans="1:1" ht="12.75">
      <c r="A917" s="50"/>
    </row>
    <row r="918" spans="1:1" ht="12.75">
      <c r="A918" s="50"/>
    </row>
    <row r="919" spans="1:1" ht="12.75">
      <c r="A919" s="50"/>
    </row>
    <row r="920" spans="1:1" ht="12.75">
      <c r="A920" s="50"/>
    </row>
    <row r="921" spans="1:1" ht="12.75">
      <c r="A921" s="50"/>
    </row>
    <row r="922" spans="1:1" ht="12.75">
      <c r="A922" s="50"/>
    </row>
    <row r="923" spans="1:1" ht="12.75">
      <c r="A923" s="50"/>
    </row>
    <row r="924" spans="1:1" ht="12.75">
      <c r="A924" s="50"/>
    </row>
    <row r="925" spans="1:1" ht="12.75">
      <c r="A925" s="50"/>
    </row>
    <row r="926" spans="1:1" ht="12.75">
      <c r="A926" s="50"/>
    </row>
    <row r="927" spans="1:1" ht="12.75">
      <c r="A927" s="50"/>
    </row>
    <row r="928" spans="1:1" ht="12.75">
      <c r="A928" s="50"/>
    </row>
    <row r="929" spans="1:1" ht="12.75">
      <c r="A929" s="50"/>
    </row>
    <row r="930" spans="1:1" ht="12.75">
      <c r="A930" s="50"/>
    </row>
    <row r="931" spans="1:1" ht="12.75">
      <c r="A931" s="50"/>
    </row>
    <row r="932" spans="1:1" ht="12.75">
      <c r="A932" s="50"/>
    </row>
    <row r="933" spans="1:1" ht="12.75">
      <c r="A933" s="50"/>
    </row>
    <row r="934" spans="1:1" ht="12.75">
      <c r="A934" s="50"/>
    </row>
    <row r="935" spans="1:1" ht="12.75">
      <c r="A935" s="50"/>
    </row>
    <row r="936" spans="1:1" ht="12.75">
      <c r="A936" s="50"/>
    </row>
    <row r="937" spans="1:1" ht="12.75">
      <c r="A937" s="50"/>
    </row>
    <row r="938" spans="1:1" ht="12.75">
      <c r="A938" s="50"/>
    </row>
    <row r="939" spans="1:1" ht="12.75">
      <c r="A939" s="50"/>
    </row>
    <row r="940" spans="1:1" ht="12.75">
      <c r="A940" s="50"/>
    </row>
    <row r="941" spans="1:1" ht="12.75">
      <c r="A941" s="50"/>
    </row>
    <row r="942" spans="1:1" ht="12.75">
      <c r="A942" s="50"/>
    </row>
    <row r="943" spans="1:1" ht="12.75">
      <c r="A943" s="50"/>
    </row>
    <row r="944" spans="1:1" ht="12.75">
      <c r="A944" s="50"/>
    </row>
    <row r="945" spans="1:1" ht="12.75">
      <c r="A945" s="50"/>
    </row>
    <row r="946" spans="1:1" ht="12.75">
      <c r="A946" s="50"/>
    </row>
    <row r="947" spans="1:1" ht="12.75">
      <c r="A947" s="50"/>
    </row>
    <row r="948" spans="1:1" ht="12.75">
      <c r="A948" s="50"/>
    </row>
    <row r="949" spans="1:1" ht="12.75">
      <c r="A949" s="50"/>
    </row>
    <row r="950" spans="1:1" ht="12.75">
      <c r="A950" s="50"/>
    </row>
    <row r="951" spans="1:1" ht="12.75">
      <c r="A951" s="50"/>
    </row>
    <row r="952" spans="1:1" ht="12.75">
      <c r="A952" s="50"/>
    </row>
    <row r="953" spans="1:1" ht="12.75">
      <c r="A953" s="50"/>
    </row>
    <row r="954" spans="1:1" ht="12.75">
      <c r="A954" s="50"/>
    </row>
    <row r="955" spans="1:1" ht="12.75">
      <c r="A955" s="50"/>
    </row>
    <row r="956" spans="1:1" ht="12.75">
      <c r="A956" s="50"/>
    </row>
    <row r="957" spans="1:1" ht="12.75">
      <c r="A957" s="50"/>
    </row>
    <row r="958" spans="1:1" ht="12.75">
      <c r="A958" s="50"/>
    </row>
    <row r="959" spans="1:1" ht="12.75">
      <c r="A959" s="50"/>
    </row>
    <row r="960" spans="1:1" ht="12.75">
      <c r="A960" s="50"/>
    </row>
    <row r="961" spans="1:1" ht="12.75">
      <c r="A961" s="50"/>
    </row>
    <row r="962" spans="1:1" ht="12.75">
      <c r="A962" s="50"/>
    </row>
    <row r="963" spans="1:1" ht="12.75">
      <c r="A963" s="50"/>
    </row>
    <row r="964" spans="1:1" ht="12.75">
      <c r="A964" s="50"/>
    </row>
    <row r="965" spans="1:1" ht="12.75">
      <c r="A965" s="50"/>
    </row>
    <row r="966" spans="1:1" ht="12.75">
      <c r="A966" s="50"/>
    </row>
    <row r="967" spans="1:1" ht="12.75">
      <c r="A967" s="50"/>
    </row>
    <row r="968" spans="1:1" ht="12.75">
      <c r="A968" s="50"/>
    </row>
    <row r="969" spans="1:1" ht="12.75">
      <c r="A969" s="50"/>
    </row>
    <row r="970" spans="1:1" ht="12.75">
      <c r="A970" s="50"/>
    </row>
    <row r="971" spans="1:1" ht="12.75">
      <c r="A971" s="50"/>
    </row>
    <row r="972" spans="1:1" ht="12.75">
      <c r="A972" s="50"/>
    </row>
    <row r="973" spans="1:1" ht="12.75">
      <c r="A973" s="50"/>
    </row>
    <row r="974" spans="1:1" ht="12.75">
      <c r="A974" s="50"/>
    </row>
    <row r="975" spans="1:1" ht="12.75">
      <c r="A975" s="50"/>
    </row>
    <row r="976" spans="1:1" ht="12.75">
      <c r="A976" s="50"/>
    </row>
    <row r="977" spans="1:1" ht="12.75">
      <c r="A977" s="50"/>
    </row>
    <row r="978" spans="1:1" ht="12.75">
      <c r="A978" s="50"/>
    </row>
    <row r="979" spans="1:1" ht="12.75">
      <c r="A979" s="50"/>
    </row>
    <row r="980" spans="1:1" ht="12.75">
      <c r="A980" s="50"/>
    </row>
    <row r="981" spans="1:1" ht="12.75">
      <c r="A981" s="50"/>
    </row>
    <row r="982" spans="1:1" ht="12.75">
      <c r="A982" s="50"/>
    </row>
    <row r="983" spans="1:1" ht="12.75">
      <c r="A983" s="50"/>
    </row>
    <row r="984" spans="1:1" ht="12.75">
      <c r="A984" s="50"/>
    </row>
    <row r="985" spans="1:1" ht="12.75">
      <c r="A985" s="50"/>
    </row>
    <row r="986" spans="1:1" ht="12.75">
      <c r="A986" s="50"/>
    </row>
    <row r="987" spans="1:1" ht="12.75">
      <c r="A987" s="50"/>
    </row>
    <row r="988" spans="1:1" ht="12.75">
      <c r="A988" s="50"/>
    </row>
    <row r="989" spans="1:1" ht="12.75">
      <c r="A989" s="50"/>
    </row>
    <row r="990" spans="1:1" ht="12.75">
      <c r="A990" s="50"/>
    </row>
    <row r="991" spans="1:1" ht="12.75">
      <c r="A991" s="50"/>
    </row>
    <row r="992" spans="1:1" ht="12.75">
      <c r="A992" s="50"/>
    </row>
    <row r="993" spans="1:1" ht="12.75">
      <c r="A993" s="50"/>
    </row>
    <row r="994" spans="1:1" ht="12.75">
      <c r="A994" s="50"/>
    </row>
    <row r="995" spans="1:1" ht="12.75">
      <c r="A995" s="50"/>
    </row>
    <row r="996" spans="1:1" ht="12.75">
      <c r="A996" s="50"/>
    </row>
    <row r="997" spans="1:1" ht="12.75">
      <c r="A997" s="50"/>
    </row>
    <row r="998" spans="1:1" ht="12.75">
      <c r="A998" s="50"/>
    </row>
    <row r="999" spans="1:1" ht="12.75">
      <c r="A999" s="50"/>
    </row>
    <row r="1000" spans="1:1" ht="12.75">
      <c r="A1000" s="50"/>
    </row>
    <row r="1001" spans="1:1" ht="12.75">
      <c r="A1001" s="50"/>
    </row>
    <row r="1002" spans="1:1" ht="12.75">
      <c r="A1002" s="50"/>
    </row>
    <row r="1003" spans="1:1" ht="12.75">
      <c r="A1003" s="50"/>
    </row>
    <row r="1004" spans="1:1" ht="12.75">
      <c r="A1004" s="50"/>
    </row>
  </sheetData>
  <mergeCells count="1">
    <mergeCell ref="A1:C1"/>
  </mergeCells>
  <pageMargins left="0.7" right="0.7" top="0.75" bottom="0.75" header="0.3" footer="0.3"/>
  <headerFooter>
    <oddHeader>&amp;C&amp;"Calibri"&amp;10&amp;K000000 Public&amp;1#_x000D_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2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9.42578125" customWidth="1"/>
    <col min="2" max="2" width="15.5703125" customWidth="1"/>
    <col min="24" max="24" width="13.85546875" customWidth="1"/>
  </cols>
  <sheetData>
    <row r="1" spans="1:24" ht="36.75" customHeight="1">
      <c r="A1" s="115"/>
      <c r="B1" s="117"/>
      <c r="C1" s="119" t="s">
        <v>83</v>
      </c>
      <c r="D1" s="116"/>
      <c r="E1" s="11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</row>
    <row r="2" spans="1:24" ht="45">
      <c r="A2" s="6" t="s">
        <v>1</v>
      </c>
      <c r="B2" s="57" t="s">
        <v>2</v>
      </c>
      <c r="C2" s="57" t="s">
        <v>3</v>
      </c>
      <c r="D2" s="58" t="s">
        <v>4</v>
      </c>
      <c r="E2" s="57" t="s">
        <v>5</v>
      </c>
      <c r="F2" s="57" t="s">
        <v>6</v>
      </c>
      <c r="G2" s="57" t="s">
        <v>7</v>
      </c>
      <c r="H2" s="59" t="s">
        <v>8</v>
      </c>
      <c r="I2" s="57" t="s">
        <v>9</v>
      </c>
      <c r="J2" s="57" t="s">
        <v>10</v>
      </c>
      <c r="K2" s="59" t="s">
        <v>11</v>
      </c>
      <c r="L2" s="57" t="s">
        <v>12</v>
      </c>
      <c r="M2" s="57" t="s">
        <v>13</v>
      </c>
      <c r="N2" s="57" t="s">
        <v>14</v>
      </c>
      <c r="O2" s="59" t="s">
        <v>15</v>
      </c>
      <c r="P2" s="59" t="s">
        <v>16</v>
      </c>
      <c r="Q2" s="59" t="s">
        <v>17</v>
      </c>
      <c r="R2" s="59" t="s">
        <v>18</v>
      </c>
      <c r="S2" s="59" t="s">
        <v>19</v>
      </c>
      <c r="T2" s="59" t="s">
        <v>20</v>
      </c>
      <c r="U2" s="60" t="s">
        <v>21</v>
      </c>
      <c r="V2" s="59" t="s">
        <v>22</v>
      </c>
      <c r="W2" s="59" t="s">
        <v>23</v>
      </c>
      <c r="X2" s="57" t="s">
        <v>24</v>
      </c>
    </row>
    <row r="3" spans="1:24" ht="15">
      <c r="A3" s="9">
        <v>1</v>
      </c>
      <c r="B3" s="10">
        <v>44826</v>
      </c>
      <c r="C3" s="25" t="s">
        <v>25</v>
      </c>
      <c r="D3" s="11" t="s">
        <v>26</v>
      </c>
      <c r="E3" s="11" t="s">
        <v>27</v>
      </c>
      <c r="F3" s="12">
        <v>2666</v>
      </c>
      <c r="G3" s="13">
        <v>2666</v>
      </c>
      <c r="H3" s="14">
        <f t="shared" ref="H3:H10" si="0">IFERROR(G3/F3,0)</f>
        <v>1</v>
      </c>
      <c r="I3" s="15">
        <v>0</v>
      </c>
      <c r="J3" s="15">
        <v>0</v>
      </c>
      <c r="K3" s="16">
        <f t="shared" ref="K3:K20" si="1">G3-I3-J3</f>
        <v>2666</v>
      </c>
      <c r="L3" s="12">
        <v>969500000</v>
      </c>
      <c r="M3" s="13">
        <v>0</v>
      </c>
      <c r="N3" s="13">
        <v>0</v>
      </c>
      <c r="O3" s="17">
        <f t="shared" ref="O3:O20" si="2">N3+M3</f>
        <v>0</v>
      </c>
      <c r="P3" s="17">
        <f t="shared" ref="P3:P20" si="3">M3-N3</f>
        <v>0</v>
      </c>
      <c r="Q3" s="16">
        <f t="shared" ref="Q3:Q20" si="4">IFERROR(L3-N3-M3,0)</f>
        <v>969500000</v>
      </c>
      <c r="R3" s="18">
        <f t="shared" ref="R3:R20" si="5">IFERROR((K3/G3),0)</f>
        <v>1</v>
      </c>
      <c r="S3" s="18">
        <v>1</v>
      </c>
      <c r="T3" s="61">
        <v>1</v>
      </c>
      <c r="U3" s="19">
        <v>1E-3</v>
      </c>
      <c r="V3" s="20">
        <f t="shared" ref="V3:V20" si="6">IFERROR(I3/G3,0)</f>
        <v>0</v>
      </c>
      <c r="W3" s="20">
        <f t="shared" ref="W3:W20" si="7">IFERROR(J3/G3,0)</f>
        <v>0</v>
      </c>
      <c r="X3" s="11" t="s">
        <v>28</v>
      </c>
    </row>
    <row r="4" spans="1:24" ht="15">
      <c r="A4" s="9">
        <f t="shared" ref="A4:A19" si="8">A3+1</f>
        <v>2</v>
      </c>
      <c r="B4" s="10">
        <v>44826</v>
      </c>
      <c r="C4" s="25" t="s">
        <v>65</v>
      </c>
      <c r="D4" s="11" t="s">
        <v>26</v>
      </c>
      <c r="E4" s="11" t="s">
        <v>27</v>
      </c>
      <c r="F4" s="12">
        <v>5002</v>
      </c>
      <c r="G4" s="13">
        <v>5002</v>
      </c>
      <c r="H4" s="14">
        <f t="shared" si="0"/>
        <v>1</v>
      </c>
      <c r="I4" s="15">
        <v>0</v>
      </c>
      <c r="J4" s="15">
        <v>0</v>
      </c>
      <c r="K4" s="16">
        <f t="shared" si="1"/>
        <v>5002</v>
      </c>
      <c r="L4" s="12">
        <v>265477883.780002</v>
      </c>
      <c r="M4" s="13"/>
      <c r="N4" s="13"/>
      <c r="O4" s="17">
        <f t="shared" si="2"/>
        <v>0</v>
      </c>
      <c r="P4" s="17">
        <f t="shared" si="3"/>
        <v>0</v>
      </c>
      <c r="Q4" s="16">
        <f t="shared" si="4"/>
        <v>265477883.780002</v>
      </c>
      <c r="R4" s="18">
        <f t="shared" si="5"/>
        <v>1</v>
      </c>
      <c r="S4" s="18">
        <f t="shared" ref="S4:S20" si="9">IFERROR(1-(O4/L4),0)</f>
        <v>1</v>
      </c>
      <c r="T4" s="18">
        <f t="shared" ref="T4:T20" si="10">IFERROR(1-(P4/L4),0)</f>
        <v>1</v>
      </c>
      <c r="U4" s="19">
        <v>1.5E-3</v>
      </c>
      <c r="V4" s="20">
        <f t="shared" si="6"/>
        <v>0</v>
      </c>
      <c r="W4" s="20">
        <f t="shared" si="7"/>
        <v>0</v>
      </c>
      <c r="X4" s="11" t="s">
        <v>28</v>
      </c>
    </row>
    <row r="5" spans="1:24" ht="15">
      <c r="A5" s="9">
        <f t="shared" si="8"/>
        <v>3</v>
      </c>
      <c r="B5" s="10">
        <v>44826</v>
      </c>
      <c r="C5" s="25" t="s">
        <v>66</v>
      </c>
      <c r="D5" s="11" t="s">
        <v>26</v>
      </c>
      <c r="E5" s="11" t="s">
        <v>27</v>
      </c>
      <c r="F5" s="27">
        <v>298</v>
      </c>
      <c r="G5" s="13">
        <v>298</v>
      </c>
      <c r="H5" s="14">
        <f t="shared" si="0"/>
        <v>1</v>
      </c>
      <c r="I5" s="15">
        <v>0</v>
      </c>
      <c r="J5" s="15">
        <v>0</v>
      </c>
      <c r="K5" s="16">
        <f t="shared" si="1"/>
        <v>298</v>
      </c>
      <c r="L5" s="26">
        <v>13596556</v>
      </c>
      <c r="M5" s="13">
        <v>0</v>
      </c>
      <c r="N5" s="13">
        <v>0</v>
      </c>
      <c r="O5" s="17">
        <f t="shared" si="2"/>
        <v>0</v>
      </c>
      <c r="P5" s="17">
        <f t="shared" si="3"/>
        <v>0</v>
      </c>
      <c r="Q5" s="16">
        <f t="shared" si="4"/>
        <v>13596556</v>
      </c>
      <c r="R5" s="18">
        <f t="shared" si="5"/>
        <v>1</v>
      </c>
      <c r="S5" s="18">
        <f t="shared" si="9"/>
        <v>1</v>
      </c>
      <c r="T5" s="18">
        <f t="shared" si="10"/>
        <v>1</v>
      </c>
      <c r="U5" s="19">
        <v>0</v>
      </c>
      <c r="V5" s="20">
        <f t="shared" si="6"/>
        <v>0</v>
      </c>
      <c r="W5" s="20">
        <f t="shared" si="7"/>
        <v>0</v>
      </c>
      <c r="X5" s="11" t="s">
        <v>28</v>
      </c>
    </row>
    <row r="6" spans="1:24" ht="15">
      <c r="A6" s="9">
        <f t="shared" si="8"/>
        <v>4</v>
      </c>
      <c r="B6" s="10">
        <v>44826</v>
      </c>
      <c r="C6" s="25" t="s">
        <v>31</v>
      </c>
      <c r="D6" s="11" t="s">
        <v>26</v>
      </c>
      <c r="E6" s="11" t="s">
        <v>27</v>
      </c>
      <c r="F6" s="12">
        <v>578</v>
      </c>
      <c r="G6" s="13">
        <v>578</v>
      </c>
      <c r="H6" s="14">
        <f t="shared" si="0"/>
        <v>1</v>
      </c>
      <c r="I6" s="15">
        <v>0</v>
      </c>
      <c r="J6" s="15">
        <v>0</v>
      </c>
      <c r="K6" s="16">
        <f t="shared" si="1"/>
        <v>578</v>
      </c>
      <c r="L6" s="26">
        <v>190044525</v>
      </c>
      <c r="M6" s="13">
        <v>0</v>
      </c>
      <c r="N6" s="13">
        <v>0</v>
      </c>
      <c r="O6" s="17">
        <f t="shared" si="2"/>
        <v>0</v>
      </c>
      <c r="P6" s="17">
        <f t="shared" si="3"/>
        <v>0</v>
      </c>
      <c r="Q6" s="16">
        <f t="shared" si="4"/>
        <v>190044525</v>
      </c>
      <c r="R6" s="18">
        <f t="shared" si="5"/>
        <v>1</v>
      </c>
      <c r="S6" s="18">
        <f t="shared" si="9"/>
        <v>1</v>
      </c>
      <c r="T6" s="18">
        <f t="shared" si="10"/>
        <v>1</v>
      </c>
      <c r="U6" s="19">
        <v>1.5E-3</v>
      </c>
      <c r="V6" s="20">
        <f t="shared" si="6"/>
        <v>0</v>
      </c>
      <c r="W6" s="20">
        <f t="shared" si="7"/>
        <v>0</v>
      </c>
      <c r="X6" s="11" t="s">
        <v>28</v>
      </c>
    </row>
    <row r="7" spans="1:24" ht="15">
      <c r="A7" s="9">
        <f t="shared" si="8"/>
        <v>5</v>
      </c>
      <c r="B7" s="10">
        <v>44826</v>
      </c>
      <c r="C7" s="25" t="s">
        <v>32</v>
      </c>
      <c r="D7" s="11" t="s">
        <v>26</v>
      </c>
      <c r="E7" s="11" t="s">
        <v>27</v>
      </c>
      <c r="F7" s="12">
        <v>1750</v>
      </c>
      <c r="G7" s="13">
        <v>1731</v>
      </c>
      <c r="H7" s="14">
        <f t="shared" si="0"/>
        <v>0.9891428571428571</v>
      </c>
      <c r="I7" s="15">
        <v>0</v>
      </c>
      <c r="J7" s="15">
        <v>0</v>
      </c>
      <c r="K7" s="16">
        <f t="shared" si="1"/>
        <v>1731</v>
      </c>
      <c r="L7" s="26">
        <v>349383020</v>
      </c>
      <c r="M7" s="13">
        <v>0</v>
      </c>
      <c r="N7" s="13">
        <v>0</v>
      </c>
      <c r="O7" s="17">
        <f t="shared" si="2"/>
        <v>0</v>
      </c>
      <c r="P7" s="17">
        <f t="shared" si="3"/>
        <v>0</v>
      </c>
      <c r="Q7" s="16">
        <f t="shared" si="4"/>
        <v>349383020</v>
      </c>
      <c r="R7" s="18">
        <f t="shared" si="5"/>
        <v>1</v>
      </c>
      <c r="S7" s="18">
        <f t="shared" si="9"/>
        <v>1</v>
      </c>
      <c r="T7" s="18">
        <f t="shared" si="10"/>
        <v>1</v>
      </c>
      <c r="U7" s="19">
        <v>1.5E-3</v>
      </c>
      <c r="V7" s="20">
        <f t="shared" si="6"/>
        <v>0</v>
      </c>
      <c r="W7" s="20">
        <f t="shared" si="7"/>
        <v>0</v>
      </c>
      <c r="X7" s="11" t="s">
        <v>33</v>
      </c>
    </row>
    <row r="8" spans="1:24" ht="15">
      <c r="A8" s="9">
        <f t="shared" si="8"/>
        <v>6</v>
      </c>
      <c r="B8" s="10">
        <v>44826</v>
      </c>
      <c r="C8" s="25" t="s">
        <v>34</v>
      </c>
      <c r="D8" s="11" t="s">
        <v>26</v>
      </c>
      <c r="E8" s="11" t="s">
        <v>27</v>
      </c>
      <c r="F8" s="12">
        <v>3940</v>
      </c>
      <c r="G8" s="12">
        <v>3940</v>
      </c>
      <c r="H8" s="14">
        <f t="shared" si="0"/>
        <v>1</v>
      </c>
      <c r="I8" s="15">
        <v>0</v>
      </c>
      <c r="J8" s="15">
        <v>0</v>
      </c>
      <c r="K8" s="16">
        <f t="shared" si="1"/>
        <v>3940</v>
      </c>
      <c r="L8" s="26">
        <v>58195744</v>
      </c>
      <c r="M8" s="13">
        <v>0</v>
      </c>
      <c r="N8" s="13">
        <v>0</v>
      </c>
      <c r="O8" s="17">
        <f t="shared" si="2"/>
        <v>0</v>
      </c>
      <c r="P8" s="17">
        <f t="shared" si="3"/>
        <v>0</v>
      </c>
      <c r="Q8" s="16">
        <f t="shared" si="4"/>
        <v>58195744</v>
      </c>
      <c r="R8" s="18">
        <f t="shared" si="5"/>
        <v>1</v>
      </c>
      <c r="S8" s="18">
        <f t="shared" si="9"/>
        <v>1</v>
      </c>
      <c r="T8" s="18">
        <f t="shared" si="10"/>
        <v>1</v>
      </c>
      <c r="U8" s="19">
        <v>0</v>
      </c>
      <c r="V8" s="20">
        <f t="shared" si="6"/>
        <v>0</v>
      </c>
      <c r="W8" s="20">
        <f t="shared" si="7"/>
        <v>0</v>
      </c>
      <c r="X8" s="11" t="s">
        <v>28</v>
      </c>
    </row>
    <row r="9" spans="1:24" ht="15">
      <c r="A9" s="9">
        <f t="shared" si="8"/>
        <v>7</v>
      </c>
      <c r="B9" s="10">
        <v>44826</v>
      </c>
      <c r="C9" s="25" t="s">
        <v>37</v>
      </c>
      <c r="D9" s="11" t="s">
        <v>26</v>
      </c>
      <c r="E9" s="11" t="s">
        <v>27</v>
      </c>
      <c r="F9" s="12">
        <v>1100</v>
      </c>
      <c r="G9" s="13">
        <v>1100</v>
      </c>
      <c r="H9" s="14">
        <f t="shared" si="0"/>
        <v>1</v>
      </c>
      <c r="I9" s="15">
        <v>1</v>
      </c>
      <c r="J9" s="15">
        <v>7</v>
      </c>
      <c r="K9" s="16">
        <f t="shared" si="1"/>
        <v>1092</v>
      </c>
      <c r="L9" s="26">
        <v>7459134.9079999998</v>
      </c>
      <c r="M9" s="13">
        <v>148.12</v>
      </c>
      <c r="N9" s="13">
        <v>7778.19</v>
      </c>
      <c r="O9" s="17">
        <f t="shared" si="2"/>
        <v>7926.3099999999995</v>
      </c>
      <c r="P9" s="17">
        <f t="shared" si="3"/>
        <v>-7630.07</v>
      </c>
      <c r="Q9" s="16">
        <f t="shared" si="4"/>
        <v>7451208.5979999993</v>
      </c>
      <c r="R9" s="18">
        <f t="shared" si="5"/>
        <v>0.99272727272727268</v>
      </c>
      <c r="S9" s="18">
        <f t="shared" si="9"/>
        <v>0.99893736873005223</v>
      </c>
      <c r="T9" s="18">
        <f t="shared" si="10"/>
        <v>1.0010229162086635</v>
      </c>
      <c r="U9" s="19">
        <v>5.0000000000000001E-4</v>
      </c>
      <c r="V9" s="20">
        <f t="shared" si="6"/>
        <v>9.0909090909090909E-4</v>
      </c>
      <c r="W9" s="20">
        <f t="shared" si="7"/>
        <v>6.3636363636363638E-3</v>
      </c>
      <c r="X9" s="11" t="s">
        <v>28</v>
      </c>
    </row>
    <row r="10" spans="1:24" ht="15">
      <c r="A10" s="9">
        <f t="shared" si="8"/>
        <v>8</v>
      </c>
      <c r="B10" s="10">
        <v>44826</v>
      </c>
      <c r="C10" s="25" t="s">
        <v>38</v>
      </c>
      <c r="D10" s="11" t="s">
        <v>26</v>
      </c>
      <c r="E10" s="11" t="s">
        <v>27</v>
      </c>
      <c r="F10" s="12">
        <v>749</v>
      </c>
      <c r="G10" s="13">
        <v>749</v>
      </c>
      <c r="H10" s="14">
        <f t="shared" si="0"/>
        <v>1</v>
      </c>
      <c r="I10" s="13">
        <v>0</v>
      </c>
      <c r="J10" s="13">
        <v>0</v>
      </c>
      <c r="K10" s="16">
        <f t="shared" si="1"/>
        <v>749</v>
      </c>
      <c r="L10" s="26">
        <v>5924839</v>
      </c>
      <c r="M10" s="13">
        <v>0</v>
      </c>
      <c r="N10" s="13">
        <v>0</v>
      </c>
      <c r="O10" s="17">
        <f t="shared" si="2"/>
        <v>0</v>
      </c>
      <c r="P10" s="17">
        <f t="shared" si="3"/>
        <v>0</v>
      </c>
      <c r="Q10" s="16">
        <f t="shared" si="4"/>
        <v>5924839</v>
      </c>
      <c r="R10" s="18">
        <f t="shared" si="5"/>
        <v>1</v>
      </c>
      <c r="S10" s="18">
        <f t="shared" si="9"/>
        <v>1</v>
      </c>
      <c r="T10" s="18">
        <f t="shared" si="10"/>
        <v>1</v>
      </c>
      <c r="U10" s="19">
        <v>0</v>
      </c>
      <c r="V10" s="20">
        <f t="shared" si="6"/>
        <v>0</v>
      </c>
      <c r="W10" s="20">
        <f t="shared" si="7"/>
        <v>0</v>
      </c>
      <c r="X10" s="11" t="s">
        <v>28</v>
      </c>
    </row>
    <row r="11" spans="1:24" ht="15">
      <c r="A11" s="9">
        <f t="shared" si="8"/>
        <v>9</v>
      </c>
      <c r="B11" s="10">
        <v>44826</v>
      </c>
      <c r="C11" s="25" t="s">
        <v>39</v>
      </c>
      <c r="D11" s="11" t="s">
        <v>26</v>
      </c>
      <c r="E11" s="11" t="s">
        <v>27</v>
      </c>
      <c r="F11" s="12"/>
      <c r="G11" s="13"/>
      <c r="H11" s="14"/>
      <c r="I11" s="15"/>
      <c r="J11" s="15"/>
      <c r="K11" s="16">
        <f t="shared" si="1"/>
        <v>0</v>
      </c>
      <c r="L11" s="26"/>
      <c r="M11" s="15"/>
      <c r="N11" s="15"/>
      <c r="O11" s="17">
        <f t="shared" si="2"/>
        <v>0</v>
      </c>
      <c r="P11" s="17">
        <f t="shared" si="3"/>
        <v>0</v>
      </c>
      <c r="Q11" s="16">
        <f t="shared" si="4"/>
        <v>0</v>
      </c>
      <c r="R11" s="18">
        <f t="shared" si="5"/>
        <v>0</v>
      </c>
      <c r="S11" s="18">
        <f t="shared" si="9"/>
        <v>0</v>
      </c>
      <c r="T11" s="18">
        <f t="shared" si="10"/>
        <v>0</v>
      </c>
      <c r="U11" s="19"/>
      <c r="V11" s="20">
        <f t="shared" si="6"/>
        <v>0</v>
      </c>
      <c r="W11" s="20">
        <f t="shared" si="7"/>
        <v>0</v>
      </c>
      <c r="X11" s="11"/>
    </row>
    <row r="12" spans="1:24" ht="15">
      <c r="A12" s="9">
        <f t="shared" si="8"/>
        <v>10</v>
      </c>
      <c r="B12" s="10">
        <v>44826</v>
      </c>
      <c r="C12" s="25" t="s">
        <v>67</v>
      </c>
      <c r="D12" s="11" t="s">
        <v>26</v>
      </c>
      <c r="E12" s="11" t="s">
        <v>27</v>
      </c>
      <c r="F12" s="12">
        <v>343</v>
      </c>
      <c r="G12" s="13">
        <v>343</v>
      </c>
      <c r="H12" s="14">
        <f t="shared" ref="H12:H20" si="11">IFERROR(G12/F12,0)</f>
        <v>1</v>
      </c>
      <c r="I12" s="15"/>
      <c r="J12" s="15"/>
      <c r="K12" s="16">
        <f t="shared" si="1"/>
        <v>343</v>
      </c>
      <c r="L12" s="26">
        <v>207500175</v>
      </c>
      <c r="M12" s="15"/>
      <c r="N12" s="15"/>
      <c r="O12" s="17">
        <f t="shared" si="2"/>
        <v>0</v>
      </c>
      <c r="P12" s="17">
        <f t="shared" si="3"/>
        <v>0</v>
      </c>
      <c r="Q12" s="16">
        <f t="shared" si="4"/>
        <v>207500175</v>
      </c>
      <c r="R12" s="18">
        <f t="shared" si="5"/>
        <v>1</v>
      </c>
      <c r="S12" s="18">
        <f t="shared" si="9"/>
        <v>1</v>
      </c>
      <c r="T12" s="18">
        <f t="shared" si="10"/>
        <v>1</v>
      </c>
      <c r="U12" s="19">
        <v>0</v>
      </c>
      <c r="V12" s="20">
        <f t="shared" si="6"/>
        <v>0</v>
      </c>
      <c r="W12" s="20">
        <f t="shared" si="7"/>
        <v>0</v>
      </c>
      <c r="X12" s="11" t="s">
        <v>28</v>
      </c>
    </row>
    <row r="13" spans="1:24" ht="15">
      <c r="A13" s="9">
        <f t="shared" si="8"/>
        <v>11</v>
      </c>
      <c r="B13" s="10">
        <v>44826</v>
      </c>
      <c r="C13" s="25" t="s">
        <v>42</v>
      </c>
      <c r="D13" s="11" t="s">
        <v>26</v>
      </c>
      <c r="E13" s="11" t="s">
        <v>27</v>
      </c>
      <c r="F13" s="12">
        <v>450</v>
      </c>
      <c r="G13" s="13">
        <v>425</v>
      </c>
      <c r="H13" s="14">
        <f t="shared" si="11"/>
        <v>0.94444444444444442</v>
      </c>
      <c r="I13" s="13">
        <v>0</v>
      </c>
      <c r="J13" s="13">
        <v>0</v>
      </c>
      <c r="K13" s="16">
        <f t="shared" si="1"/>
        <v>425</v>
      </c>
      <c r="L13" s="55">
        <f>101621*700</f>
        <v>71134700</v>
      </c>
      <c r="M13" s="15" t="s">
        <v>55</v>
      </c>
      <c r="N13" s="15" t="s">
        <v>55</v>
      </c>
      <c r="O13" s="17" t="e">
        <f t="shared" si="2"/>
        <v>#VALUE!</v>
      </c>
      <c r="P13" s="17" t="e">
        <f t="shared" si="3"/>
        <v>#VALUE!</v>
      </c>
      <c r="Q13" s="16">
        <f t="shared" si="4"/>
        <v>0</v>
      </c>
      <c r="R13" s="18">
        <f t="shared" si="5"/>
        <v>1</v>
      </c>
      <c r="S13" s="18">
        <f t="shared" si="9"/>
        <v>0</v>
      </c>
      <c r="T13" s="18">
        <f t="shared" si="10"/>
        <v>0</v>
      </c>
      <c r="U13" s="19">
        <v>0</v>
      </c>
      <c r="V13" s="20">
        <f t="shared" si="6"/>
        <v>0</v>
      </c>
      <c r="W13" s="20">
        <f t="shared" si="7"/>
        <v>0</v>
      </c>
      <c r="X13" s="11" t="s">
        <v>28</v>
      </c>
    </row>
    <row r="14" spans="1:24" ht="15">
      <c r="A14" s="9">
        <f t="shared" si="8"/>
        <v>12</v>
      </c>
      <c r="B14" s="10">
        <v>44826</v>
      </c>
      <c r="C14" s="25" t="s">
        <v>68</v>
      </c>
      <c r="D14" s="11" t="s">
        <v>26</v>
      </c>
      <c r="E14" s="11" t="s">
        <v>27</v>
      </c>
      <c r="F14" s="12">
        <v>3961</v>
      </c>
      <c r="G14" s="12">
        <v>3961</v>
      </c>
      <c r="H14" s="14">
        <f t="shared" si="11"/>
        <v>1</v>
      </c>
      <c r="I14" s="15"/>
      <c r="J14" s="15"/>
      <c r="K14" s="16">
        <f t="shared" si="1"/>
        <v>3961</v>
      </c>
      <c r="L14" s="26">
        <v>5860728.5</v>
      </c>
      <c r="M14" s="15"/>
      <c r="N14" s="15"/>
      <c r="O14" s="17">
        <f t="shared" si="2"/>
        <v>0</v>
      </c>
      <c r="P14" s="17">
        <f t="shared" si="3"/>
        <v>0</v>
      </c>
      <c r="Q14" s="16">
        <f t="shared" si="4"/>
        <v>5860728.5</v>
      </c>
      <c r="R14" s="18">
        <f t="shared" si="5"/>
        <v>1</v>
      </c>
      <c r="S14" s="18">
        <f t="shared" si="9"/>
        <v>1</v>
      </c>
      <c r="T14" s="18">
        <f t="shared" si="10"/>
        <v>1</v>
      </c>
      <c r="U14" s="19">
        <v>3.0000000000000001E-3</v>
      </c>
      <c r="V14" s="20">
        <f t="shared" si="6"/>
        <v>0</v>
      </c>
      <c r="W14" s="20">
        <f t="shared" si="7"/>
        <v>0</v>
      </c>
      <c r="X14" s="11" t="s">
        <v>28</v>
      </c>
    </row>
    <row r="15" spans="1:24" ht="15">
      <c r="A15" s="9">
        <f t="shared" si="8"/>
        <v>13</v>
      </c>
      <c r="B15" s="10">
        <v>44826</v>
      </c>
      <c r="C15" s="25" t="s">
        <v>69</v>
      </c>
      <c r="D15" s="11" t="s">
        <v>26</v>
      </c>
      <c r="E15" s="11" t="s">
        <v>27</v>
      </c>
      <c r="F15" s="12">
        <v>1673</v>
      </c>
      <c r="G15" s="12">
        <v>1673</v>
      </c>
      <c r="H15" s="14">
        <f t="shared" si="11"/>
        <v>1</v>
      </c>
      <c r="I15" s="12"/>
      <c r="J15" s="12"/>
      <c r="K15" s="16">
        <f t="shared" si="1"/>
        <v>1673</v>
      </c>
      <c r="L15" s="26">
        <v>65059776</v>
      </c>
      <c r="M15" s="15">
        <v>0</v>
      </c>
      <c r="N15" s="15">
        <v>0</v>
      </c>
      <c r="O15" s="17">
        <f t="shared" si="2"/>
        <v>0</v>
      </c>
      <c r="P15" s="17">
        <f t="shared" si="3"/>
        <v>0</v>
      </c>
      <c r="Q15" s="16">
        <f t="shared" si="4"/>
        <v>65059776</v>
      </c>
      <c r="R15" s="18">
        <f t="shared" si="5"/>
        <v>1</v>
      </c>
      <c r="S15" s="18">
        <f t="shared" si="9"/>
        <v>1</v>
      </c>
      <c r="T15" s="18">
        <f t="shared" si="10"/>
        <v>1</v>
      </c>
      <c r="U15" s="19">
        <v>0</v>
      </c>
      <c r="V15" s="20">
        <f t="shared" si="6"/>
        <v>0</v>
      </c>
      <c r="W15" s="20">
        <f t="shared" si="7"/>
        <v>0</v>
      </c>
      <c r="X15" s="11" t="s">
        <v>28</v>
      </c>
    </row>
    <row r="16" spans="1:24" ht="15">
      <c r="A16" s="9">
        <f t="shared" si="8"/>
        <v>14</v>
      </c>
      <c r="B16" s="10">
        <v>44826</v>
      </c>
      <c r="C16" s="25" t="s">
        <v>71</v>
      </c>
      <c r="D16" s="11" t="s">
        <v>26</v>
      </c>
      <c r="E16" s="11" t="s">
        <v>27</v>
      </c>
      <c r="F16" s="12">
        <v>613</v>
      </c>
      <c r="G16" s="12">
        <v>613</v>
      </c>
      <c r="H16" s="14">
        <f t="shared" si="11"/>
        <v>1</v>
      </c>
      <c r="I16" s="15">
        <v>0</v>
      </c>
      <c r="J16" s="15">
        <v>0</v>
      </c>
      <c r="K16" s="16">
        <f t="shared" si="1"/>
        <v>613</v>
      </c>
      <c r="L16" s="26">
        <v>33595125</v>
      </c>
      <c r="M16" s="15">
        <v>0</v>
      </c>
      <c r="N16" s="15">
        <v>0</v>
      </c>
      <c r="O16" s="17">
        <f t="shared" si="2"/>
        <v>0</v>
      </c>
      <c r="P16" s="17">
        <f t="shared" si="3"/>
        <v>0</v>
      </c>
      <c r="Q16" s="16">
        <f t="shared" si="4"/>
        <v>33595125</v>
      </c>
      <c r="R16" s="18">
        <f t="shared" si="5"/>
        <v>1</v>
      </c>
      <c r="S16" s="18">
        <f t="shared" si="9"/>
        <v>1</v>
      </c>
      <c r="T16" s="18">
        <f t="shared" si="10"/>
        <v>1</v>
      </c>
      <c r="U16" s="19">
        <v>0</v>
      </c>
      <c r="V16" s="20">
        <f t="shared" si="6"/>
        <v>0</v>
      </c>
      <c r="W16" s="20">
        <f t="shared" si="7"/>
        <v>0</v>
      </c>
      <c r="X16" s="11" t="s">
        <v>28</v>
      </c>
    </row>
    <row r="17" spans="1:24" ht="34.5">
      <c r="A17" s="9">
        <f t="shared" si="8"/>
        <v>15</v>
      </c>
      <c r="B17" s="10">
        <v>44826</v>
      </c>
      <c r="C17" s="25" t="s">
        <v>72</v>
      </c>
      <c r="D17" s="11" t="s">
        <v>26</v>
      </c>
      <c r="E17" s="11" t="s">
        <v>27</v>
      </c>
      <c r="F17" s="12"/>
      <c r="G17" s="12"/>
      <c r="H17" s="14">
        <f t="shared" si="11"/>
        <v>0</v>
      </c>
      <c r="I17" s="15"/>
      <c r="J17" s="12"/>
      <c r="K17" s="16">
        <f t="shared" si="1"/>
        <v>0</v>
      </c>
      <c r="L17" s="26"/>
      <c r="M17" s="15"/>
      <c r="N17" s="15"/>
      <c r="O17" s="17">
        <f t="shared" si="2"/>
        <v>0</v>
      </c>
      <c r="P17" s="17">
        <f t="shared" si="3"/>
        <v>0</v>
      </c>
      <c r="Q17" s="16">
        <f t="shared" si="4"/>
        <v>0</v>
      </c>
      <c r="R17" s="18">
        <f t="shared" si="5"/>
        <v>0</v>
      </c>
      <c r="S17" s="18">
        <f t="shared" si="9"/>
        <v>0</v>
      </c>
      <c r="T17" s="18">
        <f t="shared" si="10"/>
        <v>0</v>
      </c>
      <c r="U17" s="19">
        <v>0</v>
      </c>
      <c r="V17" s="20">
        <f t="shared" si="6"/>
        <v>0</v>
      </c>
      <c r="W17" s="20">
        <f t="shared" si="7"/>
        <v>0</v>
      </c>
      <c r="X17" s="11" t="s">
        <v>84</v>
      </c>
    </row>
    <row r="18" spans="1:24" ht="15">
      <c r="A18" s="9">
        <f t="shared" si="8"/>
        <v>16</v>
      </c>
      <c r="B18" s="10">
        <v>44826</v>
      </c>
      <c r="C18" s="25" t="s">
        <v>74</v>
      </c>
      <c r="D18" s="11" t="s">
        <v>26</v>
      </c>
      <c r="E18" s="11" t="s">
        <v>27</v>
      </c>
      <c r="F18" s="27">
        <v>29</v>
      </c>
      <c r="G18" s="27">
        <v>29</v>
      </c>
      <c r="H18" s="14">
        <f t="shared" si="11"/>
        <v>1</v>
      </c>
      <c r="I18" s="15">
        <v>0</v>
      </c>
      <c r="J18" s="15">
        <v>0</v>
      </c>
      <c r="K18" s="16">
        <f t="shared" si="1"/>
        <v>29</v>
      </c>
      <c r="L18" s="28">
        <v>149301000</v>
      </c>
      <c r="M18" s="56"/>
      <c r="N18" s="56"/>
      <c r="O18" s="17">
        <f t="shared" si="2"/>
        <v>0</v>
      </c>
      <c r="P18" s="17">
        <f t="shared" si="3"/>
        <v>0</v>
      </c>
      <c r="Q18" s="16">
        <f t="shared" si="4"/>
        <v>149301000</v>
      </c>
      <c r="R18" s="18">
        <f t="shared" si="5"/>
        <v>1</v>
      </c>
      <c r="S18" s="18">
        <f t="shared" si="9"/>
        <v>1</v>
      </c>
      <c r="T18" s="18">
        <f t="shared" si="10"/>
        <v>1</v>
      </c>
      <c r="U18" s="19">
        <v>0</v>
      </c>
      <c r="V18" s="20">
        <f t="shared" si="6"/>
        <v>0</v>
      </c>
      <c r="W18" s="20">
        <f t="shared" si="7"/>
        <v>0</v>
      </c>
      <c r="X18" s="25" t="s">
        <v>46</v>
      </c>
    </row>
    <row r="19" spans="1:24" ht="15">
      <c r="A19" s="9">
        <f t="shared" si="8"/>
        <v>17</v>
      </c>
      <c r="B19" s="10">
        <v>44826</v>
      </c>
      <c r="C19" s="25" t="s">
        <v>75</v>
      </c>
      <c r="D19" s="11" t="s">
        <v>26</v>
      </c>
      <c r="E19" s="11" t="s">
        <v>27</v>
      </c>
      <c r="F19" s="27">
        <v>2</v>
      </c>
      <c r="G19" s="27">
        <v>2</v>
      </c>
      <c r="H19" s="14">
        <f t="shared" si="11"/>
        <v>1</v>
      </c>
      <c r="I19" s="15">
        <v>0</v>
      </c>
      <c r="J19" s="15">
        <v>0</v>
      </c>
      <c r="K19" s="16">
        <f t="shared" si="1"/>
        <v>2</v>
      </c>
      <c r="L19" s="29">
        <v>348000000</v>
      </c>
      <c r="M19" s="15"/>
      <c r="N19" s="15"/>
      <c r="O19" s="17">
        <f t="shared" si="2"/>
        <v>0</v>
      </c>
      <c r="P19" s="17">
        <f t="shared" si="3"/>
        <v>0</v>
      </c>
      <c r="Q19" s="16">
        <f t="shared" si="4"/>
        <v>348000000</v>
      </c>
      <c r="R19" s="18">
        <f t="shared" si="5"/>
        <v>1</v>
      </c>
      <c r="S19" s="18">
        <f t="shared" si="9"/>
        <v>1</v>
      </c>
      <c r="T19" s="18">
        <f t="shared" si="10"/>
        <v>1</v>
      </c>
      <c r="U19" s="19">
        <v>0</v>
      </c>
      <c r="V19" s="20">
        <f t="shared" si="6"/>
        <v>0</v>
      </c>
      <c r="W19" s="20">
        <f t="shared" si="7"/>
        <v>0</v>
      </c>
      <c r="X19" s="25" t="s">
        <v>46</v>
      </c>
    </row>
    <row r="20" spans="1:24" ht="15">
      <c r="A20" s="30" t="s">
        <v>52</v>
      </c>
      <c r="B20" s="31"/>
      <c r="C20" s="31"/>
      <c r="D20" s="32"/>
      <c r="E20" s="32"/>
      <c r="F20" s="33">
        <f t="shared" ref="F20:G20" si="12">SUM(F3:F19)</f>
        <v>23154</v>
      </c>
      <c r="G20" s="33">
        <f t="shared" si="12"/>
        <v>23110</v>
      </c>
      <c r="H20" s="34">
        <f t="shared" si="11"/>
        <v>0.99809968040079466</v>
      </c>
      <c r="I20" s="33">
        <f t="shared" ref="I20:J20" si="13">SUM(I3:I19)</f>
        <v>1</v>
      </c>
      <c r="J20" s="33">
        <f t="shared" si="13"/>
        <v>7</v>
      </c>
      <c r="K20" s="35">
        <f t="shared" si="1"/>
        <v>23102</v>
      </c>
      <c r="L20" s="36">
        <f t="shared" ref="L20:N20" si="14">SUM(L3:L19)</f>
        <v>2740033207.1880021</v>
      </c>
      <c r="M20" s="37">
        <f t="shared" si="14"/>
        <v>148.12</v>
      </c>
      <c r="N20" s="37">
        <f t="shared" si="14"/>
        <v>7778.19</v>
      </c>
      <c r="O20" s="38">
        <f t="shared" si="2"/>
        <v>7926.3099999999995</v>
      </c>
      <c r="P20" s="38">
        <f t="shared" si="3"/>
        <v>-7630.07</v>
      </c>
      <c r="Q20" s="39">
        <f t="shared" si="4"/>
        <v>2740025280.8780022</v>
      </c>
      <c r="R20" s="40">
        <f t="shared" si="5"/>
        <v>0.99965382951103421</v>
      </c>
      <c r="S20" s="40">
        <f t="shared" si="9"/>
        <v>0.99999710722119017</v>
      </c>
      <c r="T20" s="40">
        <f t="shared" si="10"/>
        <v>1.0000027846633317</v>
      </c>
      <c r="U20" s="31"/>
      <c r="V20" s="40">
        <f t="shared" si="6"/>
        <v>4.3271311120726959E-5</v>
      </c>
      <c r="W20" s="40">
        <f t="shared" si="7"/>
        <v>3.0289917784508873E-4</v>
      </c>
      <c r="X20" s="31"/>
    </row>
    <row r="21" spans="1:24" ht="15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spans="1:24" ht="1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4" ht="15">
      <c r="A23" s="41"/>
      <c r="B23" s="5"/>
      <c r="C23" s="5"/>
      <c r="D23" s="5"/>
      <c r="E23" s="5"/>
      <c r="F23" s="5"/>
      <c r="G23" s="5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4" ht="51.75">
      <c r="A24" s="43"/>
      <c r="B24" s="44" t="s">
        <v>53</v>
      </c>
      <c r="C24" s="45" t="s">
        <v>3</v>
      </c>
      <c r="D24" s="45" t="str">
        <f t="shared" ref="D24:D32" si="15">H2</f>
        <v>CC Adherance %</v>
      </c>
      <c r="E24" s="45" t="str">
        <f t="shared" ref="E24:G24" si="16">R2</f>
        <v>Inventory Record Accuracy (IRA)</v>
      </c>
      <c r="F24" s="45" t="str">
        <f t="shared" si="16"/>
        <v>Inventory Value Accuracy -GROSS
 (IVA)</v>
      </c>
      <c r="G24" s="45" t="str">
        <f t="shared" si="16"/>
        <v>Inventory Value Accuracy -NET 
 (IVA)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4" ht="15">
      <c r="A25" s="43"/>
      <c r="B25" s="46">
        <v>1</v>
      </c>
      <c r="C25" s="47" t="str">
        <f t="shared" ref="C25:C32" si="17">C3</f>
        <v>Bic Cello</v>
      </c>
      <c r="D25" s="48">
        <f t="shared" si="15"/>
        <v>1</v>
      </c>
      <c r="E25" s="49">
        <f t="shared" ref="E25:G25" si="18">R3</f>
        <v>1</v>
      </c>
      <c r="F25" s="49">
        <f t="shared" si="18"/>
        <v>1</v>
      </c>
      <c r="G25" s="49">
        <f t="shared" si="18"/>
        <v>1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">
      <c r="A26" s="43"/>
      <c r="B26" s="46">
        <f t="shared" ref="B26:B39" si="19">B25+1</f>
        <v>2</v>
      </c>
      <c r="C26" s="47" t="str">
        <f t="shared" si="17"/>
        <v>Siemens BGR</v>
      </c>
      <c r="D26" s="48">
        <f t="shared" si="15"/>
        <v>1</v>
      </c>
      <c r="E26" s="49">
        <f t="shared" ref="E26:G26" si="20">R4</f>
        <v>1</v>
      </c>
      <c r="F26" s="49">
        <f t="shared" si="20"/>
        <v>1</v>
      </c>
      <c r="G26" s="49">
        <f t="shared" si="20"/>
        <v>1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4" ht="15">
      <c r="A27" s="43"/>
      <c r="B27" s="46">
        <f t="shared" si="19"/>
        <v>3</v>
      </c>
      <c r="C27" s="47" t="str">
        <f t="shared" si="17"/>
        <v>Siemens Kalwa</v>
      </c>
      <c r="D27" s="48">
        <f t="shared" si="15"/>
        <v>1</v>
      </c>
      <c r="E27" s="49">
        <f t="shared" ref="E27:G27" si="21">R5</f>
        <v>1</v>
      </c>
      <c r="F27" s="49">
        <f t="shared" si="21"/>
        <v>1</v>
      </c>
      <c r="G27" s="49">
        <f t="shared" si="21"/>
        <v>1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">
      <c r="A28" s="43"/>
      <c r="B28" s="46">
        <f t="shared" si="19"/>
        <v>4</v>
      </c>
      <c r="C28" s="47" t="str">
        <f t="shared" si="17"/>
        <v>Siemens Vapi</v>
      </c>
      <c r="D28" s="48">
        <f t="shared" si="15"/>
        <v>1</v>
      </c>
      <c r="E28" s="49">
        <f t="shared" ref="E28:G28" si="22">R6</f>
        <v>1</v>
      </c>
      <c r="F28" s="49">
        <f t="shared" si="22"/>
        <v>1</v>
      </c>
      <c r="G28" s="49">
        <f t="shared" si="22"/>
        <v>1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4" ht="15">
      <c r="A29" s="43"/>
      <c r="B29" s="46">
        <f t="shared" si="19"/>
        <v>5</v>
      </c>
      <c r="C29" s="47" t="str">
        <f t="shared" si="17"/>
        <v>Siemens Medical</v>
      </c>
      <c r="D29" s="48">
        <f t="shared" si="15"/>
        <v>0.9891428571428571</v>
      </c>
      <c r="E29" s="49">
        <f t="shared" ref="E29:G29" si="23">R7</f>
        <v>1</v>
      </c>
      <c r="F29" s="49">
        <f t="shared" si="23"/>
        <v>1</v>
      </c>
      <c r="G29" s="49">
        <f t="shared" si="23"/>
        <v>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4" ht="15">
      <c r="A30" s="43"/>
      <c r="B30" s="46">
        <f t="shared" si="19"/>
        <v>6</v>
      </c>
      <c r="C30" s="47" t="str">
        <f t="shared" si="17"/>
        <v>Godrej Interio</v>
      </c>
      <c r="D30" s="48">
        <f t="shared" si="15"/>
        <v>1</v>
      </c>
      <c r="E30" s="49">
        <f t="shared" ref="E30:G30" si="24">R8</f>
        <v>1</v>
      </c>
      <c r="F30" s="49">
        <f t="shared" si="24"/>
        <v>1</v>
      </c>
      <c r="G30" s="49">
        <f t="shared" si="24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4" ht="15">
      <c r="A31" s="43"/>
      <c r="B31" s="46">
        <f t="shared" si="19"/>
        <v>7</v>
      </c>
      <c r="C31" s="47" t="str">
        <f t="shared" si="17"/>
        <v>Godrej Branch</v>
      </c>
      <c r="D31" s="48">
        <f t="shared" si="15"/>
        <v>1</v>
      </c>
      <c r="E31" s="49">
        <f t="shared" ref="E31:G31" si="25">R9</f>
        <v>0.99272727272727268</v>
      </c>
      <c r="F31" s="49">
        <f t="shared" si="25"/>
        <v>0.99893736873005223</v>
      </c>
      <c r="G31" s="49">
        <f t="shared" si="25"/>
        <v>1.0010229162086635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4" ht="15">
      <c r="A32" s="43"/>
      <c r="B32" s="46">
        <f t="shared" si="19"/>
        <v>8</v>
      </c>
      <c r="C32" s="47" t="str">
        <f t="shared" si="17"/>
        <v>Godrej spare</v>
      </c>
      <c r="D32" s="48">
        <f t="shared" si="15"/>
        <v>1</v>
      </c>
      <c r="E32" s="49">
        <f t="shared" ref="E32:G32" si="26">R10</f>
        <v>1</v>
      </c>
      <c r="F32" s="49">
        <f t="shared" si="26"/>
        <v>1</v>
      </c>
      <c r="G32" s="49">
        <f t="shared" si="26"/>
        <v>1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4" ht="15">
      <c r="A33" s="43"/>
      <c r="B33" s="46">
        <f t="shared" si="19"/>
        <v>9</v>
      </c>
      <c r="C33" s="47" t="str">
        <f t="shared" ref="C33:C36" si="27">C12</f>
        <v>Osram</v>
      </c>
      <c r="D33" s="48">
        <f t="shared" ref="D33:D36" si="28">H12</f>
        <v>1</v>
      </c>
      <c r="E33" s="49">
        <f t="shared" ref="E33:G33" si="29">R12</f>
        <v>1</v>
      </c>
      <c r="F33" s="49">
        <f t="shared" si="29"/>
        <v>1</v>
      </c>
      <c r="G33" s="49">
        <f t="shared" si="29"/>
        <v>1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>
      <c r="A34" s="43"/>
      <c r="B34" s="46">
        <f t="shared" si="19"/>
        <v>10</v>
      </c>
      <c r="C34" s="47" t="str">
        <f t="shared" si="27"/>
        <v>Celio</v>
      </c>
      <c r="D34" s="48">
        <f t="shared" si="28"/>
        <v>0.94444444444444442</v>
      </c>
      <c r="E34" s="49">
        <f t="shared" ref="E34:G34" si="30">R13</f>
        <v>1</v>
      </c>
      <c r="F34" s="49">
        <f t="shared" si="30"/>
        <v>0</v>
      </c>
      <c r="G34" s="49">
        <f t="shared" si="30"/>
        <v>0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>
      <c r="A35" s="43"/>
      <c r="B35" s="46">
        <f t="shared" si="19"/>
        <v>11</v>
      </c>
      <c r="C35" s="47" t="str">
        <f t="shared" si="27"/>
        <v>Welspun</v>
      </c>
      <c r="D35" s="48">
        <f t="shared" si="28"/>
        <v>1</v>
      </c>
      <c r="E35" s="49">
        <f t="shared" ref="E35:G35" si="31">R14</f>
        <v>1</v>
      </c>
      <c r="F35" s="49">
        <f t="shared" si="31"/>
        <v>1</v>
      </c>
      <c r="G35" s="49">
        <f t="shared" si="31"/>
        <v>1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>
      <c r="A36" s="43"/>
      <c r="B36" s="46">
        <f t="shared" si="19"/>
        <v>12</v>
      </c>
      <c r="C36" s="47" t="str">
        <f t="shared" si="27"/>
        <v>Hansgrohe</v>
      </c>
      <c r="D36" s="48">
        <f t="shared" si="28"/>
        <v>1</v>
      </c>
      <c r="E36" s="49">
        <f t="shared" ref="E36:G36" si="32">R15</f>
        <v>1</v>
      </c>
      <c r="F36" s="49">
        <f t="shared" si="32"/>
        <v>1</v>
      </c>
      <c r="G36" s="49">
        <f t="shared" si="32"/>
        <v>1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>
      <c r="A37" s="43"/>
      <c r="B37" s="46">
        <f t="shared" si="19"/>
        <v>13</v>
      </c>
      <c r="C37" s="47" t="str">
        <f t="shared" ref="C37:C39" si="33">C17</f>
        <v>Pepe Jeans London</v>
      </c>
      <c r="D37" s="48">
        <f t="shared" ref="D37:D39" si="34">H17</f>
        <v>0</v>
      </c>
      <c r="E37" s="49">
        <f t="shared" ref="E37:G37" si="35">R17</f>
        <v>0</v>
      </c>
      <c r="F37" s="49">
        <f t="shared" si="35"/>
        <v>0</v>
      </c>
      <c r="G37" s="49">
        <f t="shared" si="35"/>
        <v>0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>
      <c r="A38" s="43"/>
      <c r="B38" s="46">
        <f t="shared" si="19"/>
        <v>14</v>
      </c>
      <c r="C38" s="47" t="str">
        <f t="shared" si="33"/>
        <v>Roquette</v>
      </c>
      <c r="D38" s="48">
        <f t="shared" si="34"/>
        <v>1</v>
      </c>
      <c r="E38" s="49">
        <f t="shared" ref="E38:G38" si="36">R18</f>
        <v>1</v>
      </c>
      <c r="F38" s="49">
        <f t="shared" si="36"/>
        <v>1</v>
      </c>
      <c r="G38" s="49">
        <f t="shared" si="36"/>
        <v>1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>
      <c r="A39" s="43"/>
      <c r="B39" s="46">
        <f t="shared" si="19"/>
        <v>15</v>
      </c>
      <c r="C39" s="47" t="str">
        <f t="shared" si="33"/>
        <v>Jubilant</v>
      </c>
      <c r="D39" s="48">
        <f t="shared" si="34"/>
        <v>1</v>
      </c>
      <c r="E39" s="49">
        <f t="shared" ref="E39:G39" si="37">R19</f>
        <v>1</v>
      </c>
      <c r="F39" s="49">
        <f t="shared" si="37"/>
        <v>1</v>
      </c>
      <c r="G39" s="49">
        <f t="shared" si="37"/>
        <v>1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2.75">
      <c r="A40" s="50"/>
    </row>
    <row r="41" spans="1:24" ht="12.75">
      <c r="A41" s="50"/>
    </row>
    <row r="42" spans="1:24" ht="12.75">
      <c r="A42" s="50"/>
    </row>
    <row r="43" spans="1:24" ht="12.75">
      <c r="A43" s="50"/>
    </row>
    <row r="44" spans="1:24" ht="12.75">
      <c r="A44" s="50"/>
    </row>
    <row r="45" spans="1:24" ht="12.75">
      <c r="A45" s="50"/>
    </row>
    <row r="46" spans="1:24" ht="12.75">
      <c r="A46" s="50"/>
    </row>
    <row r="47" spans="1:24" ht="12.75">
      <c r="A47" s="50"/>
    </row>
    <row r="48" spans="1:24" ht="12.75">
      <c r="A48" s="50"/>
    </row>
    <row r="49" spans="1:1" ht="12.75">
      <c r="A49" s="50"/>
    </row>
    <row r="50" spans="1:1" ht="12.75">
      <c r="A50" s="50"/>
    </row>
    <row r="51" spans="1:1" ht="12.75">
      <c r="A51" s="50"/>
    </row>
    <row r="52" spans="1:1" ht="12.75">
      <c r="A52" s="50"/>
    </row>
    <row r="53" spans="1:1" ht="12.75">
      <c r="A53" s="50"/>
    </row>
    <row r="54" spans="1:1" ht="12.75">
      <c r="A54" s="50"/>
    </row>
    <row r="55" spans="1:1" ht="12.75">
      <c r="A55" s="50"/>
    </row>
    <row r="56" spans="1:1" ht="12.75">
      <c r="A56" s="50"/>
    </row>
    <row r="57" spans="1:1" ht="12.75">
      <c r="A57" s="50"/>
    </row>
    <row r="58" spans="1:1" ht="12.75">
      <c r="A58" s="50"/>
    </row>
    <row r="59" spans="1:1" ht="12.75">
      <c r="A59" s="50"/>
    </row>
    <row r="60" spans="1:1" ht="12.75">
      <c r="A60" s="50"/>
    </row>
    <row r="61" spans="1:1" ht="12.75">
      <c r="A61" s="50"/>
    </row>
    <row r="62" spans="1:1" ht="12.75">
      <c r="A62" s="50"/>
    </row>
    <row r="63" spans="1:1" ht="12.75">
      <c r="A63" s="50"/>
    </row>
    <row r="64" spans="1:1" ht="12.75">
      <c r="A64" s="50"/>
    </row>
    <row r="65" spans="1:1" ht="12.75">
      <c r="A65" s="50"/>
    </row>
    <row r="66" spans="1:1" ht="12.75">
      <c r="A66" s="50"/>
    </row>
    <row r="67" spans="1:1" ht="12.75">
      <c r="A67" s="50"/>
    </row>
    <row r="68" spans="1:1" ht="12.75">
      <c r="A68" s="50"/>
    </row>
    <row r="69" spans="1:1" ht="12.75">
      <c r="A69" s="50"/>
    </row>
    <row r="70" spans="1:1" ht="12.75">
      <c r="A70" s="50"/>
    </row>
    <row r="71" spans="1:1" ht="12.75">
      <c r="A71" s="50"/>
    </row>
    <row r="72" spans="1:1" ht="12.75">
      <c r="A72" s="50"/>
    </row>
    <row r="73" spans="1:1" ht="12.75">
      <c r="A73" s="50"/>
    </row>
    <row r="74" spans="1:1" ht="12.75">
      <c r="A74" s="50"/>
    </row>
    <row r="75" spans="1:1" ht="12.75">
      <c r="A75" s="50"/>
    </row>
    <row r="76" spans="1:1" ht="12.75">
      <c r="A76" s="50"/>
    </row>
    <row r="77" spans="1:1" ht="12.75">
      <c r="A77" s="50"/>
    </row>
    <row r="78" spans="1:1" ht="12.75">
      <c r="A78" s="50"/>
    </row>
    <row r="79" spans="1:1" ht="12.75">
      <c r="A79" s="50"/>
    </row>
    <row r="80" spans="1:1" ht="12.75">
      <c r="A80" s="50"/>
    </row>
    <row r="81" spans="1:1" ht="12.75">
      <c r="A81" s="50"/>
    </row>
    <row r="82" spans="1:1" ht="12.75">
      <c r="A82" s="50"/>
    </row>
    <row r="83" spans="1:1" ht="12.75">
      <c r="A83" s="50"/>
    </row>
    <row r="84" spans="1:1" ht="12.75">
      <c r="A84" s="50"/>
    </row>
    <row r="85" spans="1:1" ht="12.75">
      <c r="A85" s="50"/>
    </row>
    <row r="86" spans="1:1" ht="12.75">
      <c r="A86" s="50"/>
    </row>
    <row r="87" spans="1:1" ht="12.75">
      <c r="A87" s="50"/>
    </row>
    <row r="88" spans="1:1" ht="12.75">
      <c r="A88" s="50"/>
    </row>
    <row r="89" spans="1:1" ht="12.75">
      <c r="A89" s="50"/>
    </row>
    <row r="90" spans="1:1" ht="12.75">
      <c r="A90" s="50"/>
    </row>
    <row r="91" spans="1:1" ht="12.75">
      <c r="A91" s="50"/>
    </row>
    <row r="92" spans="1:1" ht="12.75">
      <c r="A92" s="50"/>
    </row>
    <row r="93" spans="1:1" ht="12.75">
      <c r="A93" s="50"/>
    </row>
    <row r="94" spans="1:1" ht="12.75">
      <c r="A94" s="50"/>
    </row>
    <row r="95" spans="1:1" ht="12.75">
      <c r="A95" s="50"/>
    </row>
    <row r="96" spans="1:1" ht="12.75">
      <c r="A96" s="50"/>
    </row>
    <row r="97" spans="1:1" ht="12.75">
      <c r="A97" s="50"/>
    </row>
    <row r="98" spans="1:1" ht="12.75">
      <c r="A98" s="50"/>
    </row>
    <row r="99" spans="1:1" ht="12.75">
      <c r="A99" s="50"/>
    </row>
    <row r="100" spans="1:1" ht="12.75">
      <c r="A100" s="50"/>
    </row>
    <row r="101" spans="1:1" ht="12.75">
      <c r="A101" s="50"/>
    </row>
    <row r="102" spans="1:1" ht="12.75">
      <c r="A102" s="50"/>
    </row>
    <row r="103" spans="1:1" ht="12.75">
      <c r="A103" s="50"/>
    </row>
    <row r="104" spans="1:1" ht="12.75">
      <c r="A104" s="50"/>
    </row>
    <row r="105" spans="1:1" ht="12.75">
      <c r="A105" s="50"/>
    </row>
    <row r="106" spans="1:1" ht="12.75">
      <c r="A106" s="50"/>
    </row>
    <row r="107" spans="1:1" ht="12.75">
      <c r="A107" s="50"/>
    </row>
    <row r="108" spans="1:1" ht="12.75">
      <c r="A108" s="50"/>
    </row>
    <row r="109" spans="1:1" ht="12.75">
      <c r="A109" s="50"/>
    </row>
    <row r="110" spans="1:1" ht="12.75">
      <c r="A110" s="50"/>
    </row>
    <row r="111" spans="1:1" ht="12.75">
      <c r="A111" s="50"/>
    </row>
    <row r="112" spans="1:1" ht="12.75">
      <c r="A112" s="50"/>
    </row>
    <row r="113" spans="1:1" ht="12.75">
      <c r="A113" s="50"/>
    </row>
    <row r="114" spans="1:1" ht="12.75">
      <c r="A114" s="50"/>
    </row>
    <row r="115" spans="1:1" ht="12.75">
      <c r="A115" s="50"/>
    </row>
    <row r="116" spans="1:1" ht="12.75">
      <c r="A116" s="50"/>
    </row>
    <row r="117" spans="1:1" ht="12.75">
      <c r="A117" s="50"/>
    </row>
    <row r="118" spans="1:1" ht="12.75">
      <c r="A118" s="50"/>
    </row>
    <row r="119" spans="1:1" ht="12.75">
      <c r="A119" s="50"/>
    </row>
    <row r="120" spans="1:1" ht="12.75">
      <c r="A120" s="50"/>
    </row>
    <row r="121" spans="1:1" ht="12.75">
      <c r="A121" s="50"/>
    </row>
    <row r="122" spans="1:1" ht="12.75">
      <c r="A122" s="50"/>
    </row>
    <row r="123" spans="1:1" ht="12.75">
      <c r="A123" s="50"/>
    </row>
    <row r="124" spans="1:1" ht="12.75">
      <c r="A124" s="50"/>
    </row>
    <row r="125" spans="1:1" ht="12.75">
      <c r="A125" s="50"/>
    </row>
    <row r="126" spans="1:1" ht="12.75">
      <c r="A126" s="50"/>
    </row>
    <row r="127" spans="1:1" ht="12.75">
      <c r="A127" s="50"/>
    </row>
    <row r="128" spans="1:1" ht="12.75">
      <c r="A128" s="50"/>
    </row>
    <row r="129" spans="1:1" ht="12.75">
      <c r="A129" s="50"/>
    </row>
    <row r="130" spans="1:1" ht="12.75">
      <c r="A130" s="50"/>
    </row>
    <row r="131" spans="1:1" ht="12.75">
      <c r="A131" s="50"/>
    </row>
    <row r="132" spans="1:1" ht="12.75">
      <c r="A132" s="50"/>
    </row>
    <row r="133" spans="1:1" ht="12.75">
      <c r="A133" s="50"/>
    </row>
    <row r="134" spans="1:1" ht="12.75">
      <c r="A134" s="50"/>
    </row>
    <row r="135" spans="1:1" ht="12.75">
      <c r="A135" s="50"/>
    </row>
    <row r="136" spans="1:1" ht="12.75">
      <c r="A136" s="50"/>
    </row>
    <row r="137" spans="1:1" ht="12.75">
      <c r="A137" s="50"/>
    </row>
    <row r="138" spans="1:1" ht="12.75">
      <c r="A138" s="50"/>
    </row>
    <row r="139" spans="1:1" ht="12.75">
      <c r="A139" s="50"/>
    </row>
    <row r="140" spans="1:1" ht="12.75">
      <c r="A140" s="50"/>
    </row>
    <row r="141" spans="1:1" ht="12.75">
      <c r="A141" s="50"/>
    </row>
    <row r="142" spans="1:1" ht="12.75">
      <c r="A142" s="50"/>
    </row>
    <row r="143" spans="1:1" ht="12.75">
      <c r="A143" s="50"/>
    </row>
    <row r="144" spans="1:1" ht="12.75">
      <c r="A144" s="50"/>
    </row>
    <row r="145" spans="1:1" ht="12.75">
      <c r="A145" s="50"/>
    </row>
    <row r="146" spans="1:1" ht="12.75">
      <c r="A146" s="50"/>
    </row>
    <row r="147" spans="1:1" ht="12.75">
      <c r="A147" s="50"/>
    </row>
    <row r="148" spans="1:1" ht="12.75">
      <c r="A148" s="50"/>
    </row>
    <row r="149" spans="1:1" ht="12.75">
      <c r="A149" s="50"/>
    </row>
    <row r="150" spans="1:1" ht="12.75">
      <c r="A150" s="50"/>
    </row>
    <row r="151" spans="1:1" ht="12.75">
      <c r="A151" s="50"/>
    </row>
    <row r="152" spans="1:1" ht="12.75">
      <c r="A152" s="50"/>
    </row>
    <row r="153" spans="1:1" ht="12.75">
      <c r="A153" s="50"/>
    </row>
    <row r="154" spans="1:1" ht="12.75">
      <c r="A154" s="50"/>
    </row>
    <row r="155" spans="1:1" ht="12.75">
      <c r="A155" s="50"/>
    </row>
    <row r="156" spans="1:1" ht="12.75">
      <c r="A156" s="50"/>
    </row>
    <row r="157" spans="1:1" ht="12.75">
      <c r="A157" s="50"/>
    </row>
    <row r="158" spans="1:1" ht="12.75">
      <c r="A158" s="50"/>
    </row>
    <row r="159" spans="1:1" ht="12.75">
      <c r="A159" s="50"/>
    </row>
    <row r="160" spans="1:1" ht="12.75">
      <c r="A160" s="50"/>
    </row>
    <row r="161" spans="1:1" ht="12.75">
      <c r="A161" s="50"/>
    </row>
    <row r="162" spans="1:1" ht="12.75">
      <c r="A162" s="50"/>
    </row>
    <row r="163" spans="1:1" ht="12.75">
      <c r="A163" s="50"/>
    </row>
    <row r="164" spans="1:1" ht="12.75">
      <c r="A164" s="50"/>
    </row>
    <row r="165" spans="1:1" ht="12.75">
      <c r="A165" s="50"/>
    </row>
    <row r="166" spans="1:1" ht="12.75">
      <c r="A166" s="50"/>
    </row>
    <row r="167" spans="1:1" ht="12.75">
      <c r="A167" s="50"/>
    </row>
    <row r="168" spans="1:1" ht="12.75">
      <c r="A168" s="50"/>
    </row>
    <row r="169" spans="1:1" ht="12.75">
      <c r="A169" s="50"/>
    </row>
    <row r="170" spans="1:1" ht="12.75">
      <c r="A170" s="50"/>
    </row>
    <row r="171" spans="1:1" ht="12.75">
      <c r="A171" s="50"/>
    </row>
    <row r="172" spans="1:1" ht="12.75">
      <c r="A172" s="50"/>
    </row>
    <row r="173" spans="1:1" ht="12.75">
      <c r="A173" s="50"/>
    </row>
    <row r="174" spans="1:1" ht="12.75">
      <c r="A174" s="50"/>
    </row>
    <row r="175" spans="1:1" ht="12.75">
      <c r="A175" s="50"/>
    </row>
    <row r="176" spans="1:1" ht="12.75">
      <c r="A176" s="50"/>
    </row>
    <row r="177" spans="1:1" ht="12.75">
      <c r="A177" s="50"/>
    </row>
    <row r="178" spans="1:1" ht="12.75">
      <c r="A178" s="50"/>
    </row>
    <row r="179" spans="1:1" ht="12.75">
      <c r="A179" s="50"/>
    </row>
    <row r="180" spans="1:1" ht="12.75">
      <c r="A180" s="50"/>
    </row>
    <row r="181" spans="1:1" ht="12.75">
      <c r="A181" s="50"/>
    </row>
    <row r="182" spans="1:1" ht="12.75">
      <c r="A182" s="50"/>
    </row>
    <row r="183" spans="1:1" ht="12.75">
      <c r="A183" s="50"/>
    </row>
    <row r="184" spans="1:1" ht="12.75">
      <c r="A184" s="50"/>
    </row>
    <row r="185" spans="1:1" ht="12.75">
      <c r="A185" s="50"/>
    </row>
    <row r="186" spans="1:1" ht="12.75">
      <c r="A186" s="50"/>
    </row>
    <row r="187" spans="1:1" ht="12.75">
      <c r="A187" s="50"/>
    </row>
    <row r="188" spans="1:1" ht="12.75">
      <c r="A188" s="50"/>
    </row>
    <row r="189" spans="1:1" ht="12.75">
      <c r="A189" s="50"/>
    </row>
    <row r="190" spans="1:1" ht="12.75">
      <c r="A190" s="50"/>
    </row>
    <row r="191" spans="1:1" ht="12.75">
      <c r="A191" s="50"/>
    </row>
    <row r="192" spans="1:1" ht="12.75">
      <c r="A192" s="50"/>
    </row>
    <row r="193" spans="1:1" ht="12.75">
      <c r="A193" s="50"/>
    </row>
    <row r="194" spans="1:1" ht="12.75">
      <c r="A194" s="50"/>
    </row>
    <row r="195" spans="1:1" ht="12.75">
      <c r="A195" s="50"/>
    </row>
    <row r="196" spans="1:1" ht="12.75">
      <c r="A196" s="50"/>
    </row>
    <row r="197" spans="1:1" ht="12.75">
      <c r="A197" s="50"/>
    </row>
    <row r="198" spans="1:1" ht="12.75">
      <c r="A198" s="50"/>
    </row>
    <row r="199" spans="1:1" ht="12.75">
      <c r="A199" s="50"/>
    </row>
    <row r="200" spans="1:1" ht="12.75">
      <c r="A200" s="50"/>
    </row>
    <row r="201" spans="1:1" ht="12.75">
      <c r="A201" s="50"/>
    </row>
    <row r="202" spans="1:1" ht="12.75">
      <c r="A202" s="50"/>
    </row>
    <row r="203" spans="1:1" ht="12.75">
      <c r="A203" s="50"/>
    </row>
    <row r="204" spans="1:1" ht="12.75">
      <c r="A204" s="50"/>
    </row>
    <row r="205" spans="1:1" ht="12.75">
      <c r="A205" s="50"/>
    </row>
    <row r="206" spans="1:1" ht="12.75">
      <c r="A206" s="50"/>
    </row>
    <row r="207" spans="1:1" ht="12.75">
      <c r="A207" s="50"/>
    </row>
    <row r="208" spans="1:1" ht="12.75">
      <c r="A208" s="50"/>
    </row>
    <row r="209" spans="1:1" ht="12.75">
      <c r="A209" s="50"/>
    </row>
    <row r="210" spans="1:1" ht="12.75">
      <c r="A210" s="50"/>
    </row>
    <row r="211" spans="1:1" ht="12.75">
      <c r="A211" s="50"/>
    </row>
    <row r="212" spans="1:1" ht="12.75">
      <c r="A212" s="50"/>
    </row>
    <row r="213" spans="1:1" ht="12.75">
      <c r="A213" s="50"/>
    </row>
    <row r="214" spans="1:1" ht="12.75">
      <c r="A214" s="50"/>
    </row>
    <row r="215" spans="1:1" ht="12.75">
      <c r="A215" s="50"/>
    </row>
    <row r="216" spans="1:1" ht="12.75">
      <c r="A216" s="50"/>
    </row>
    <row r="217" spans="1:1" ht="12.75">
      <c r="A217" s="50"/>
    </row>
    <row r="218" spans="1:1" ht="12.75">
      <c r="A218" s="50"/>
    </row>
    <row r="219" spans="1:1" ht="12.75">
      <c r="A219" s="50"/>
    </row>
    <row r="220" spans="1:1" ht="12.75">
      <c r="A220" s="50"/>
    </row>
    <row r="221" spans="1:1" ht="12.75">
      <c r="A221" s="50"/>
    </row>
    <row r="222" spans="1:1" ht="12.75">
      <c r="A222" s="50"/>
    </row>
    <row r="223" spans="1:1" ht="12.75">
      <c r="A223" s="50"/>
    </row>
    <row r="224" spans="1:1" ht="12.75">
      <c r="A224" s="50"/>
    </row>
    <row r="225" spans="1:1" ht="12.75">
      <c r="A225" s="50"/>
    </row>
    <row r="226" spans="1:1" ht="12.75">
      <c r="A226" s="50"/>
    </row>
    <row r="227" spans="1:1" ht="12.75">
      <c r="A227" s="50"/>
    </row>
    <row r="228" spans="1:1" ht="12.75">
      <c r="A228" s="50"/>
    </row>
    <row r="229" spans="1:1" ht="12.75">
      <c r="A229" s="50"/>
    </row>
    <row r="230" spans="1:1" ht="12.75">
      <c r="A230" s="50"/>
    </row>
    <row r="231" spans="1:1" ht="12.75">
      <c r="A231" s="50"/>
    </row>
    <row r="232" spans="1:1" ht="12.75">
      <c r="A232" s="50"/>
    </row>
    <row r="233" spans="1:1" ht="12.75">
      <c r="A233" s="50"/>
    </row>
    <row r="234" spans="1:1" ht="12.75">
      <c r="A234" s="50"/>
    </row>
    <row r="235" spans="1:1" ht="12.75">
      <c r="A235" s="50"/>
    </row>
    <row r="236" spans="1:1" ht="12.75">
      <c r="A236" s="50"/>
    </row>
    <row r="237" spans="1:1" ht="12.75">
      <c r="A237" s="50"/>
    </row>
    <row r="238" spans="1:1" ht="12.75">
      <c r="A238" s="50"/>
    </row>
    <row r="239" spans="1:1" ht="12.75">
      <c r="A239" s="50"/>
    </row>
    <row r="240" spans="1:1" ht="12.75">
      <c r="A240" s="50"/>
    </row>
    <row r="241" spans="1:1" ht="12.75">
      <c r="A241" s="50"/>
    </row>
    <row r="242" spans="1:1" ht="12.75">
      <c r="A242" s="50"/>
    </row>
    <row r="243" spans="1:1" ht="12.75">
      <c r="A243" s="50"/>
    </row>
    <row r="244" spans="1:1" ht="12.75">
      <c r="A244" s="50"/>
    </row>
    <row r="245" spans="1:1" ht="12.75">
      <c r="A245" s="50"/>
    </row>
    <row r="246" spans="1:1" ht="12.75">
      <c r="A246" s="50"/>
    </row>
    <row r="247" spans="1:1" ht="12.75">
      <c r="A247" s="50"/>
    </row>
    <row r="248" spans="1:1" ht="12.75">
      <c r="A248" s="50"/>
    </row>
    <row r="249" spans="1:1" ht="12.75">
      <c r="A249" s="50"/>
    </row>
    <row r="250" spans="1:1" ht="12.75">
      <c r="A250" s="50"/>
    </row>
    <row r="251" spans="1:1" ht="12.75">
      <c r="A251" s="50"/>
    </row>
    <row r="252" spans="1:1" ht="12.75">
      <c r="A252" s="50"/>
    </row>
    <row r="253" spans="1:1" ht="12.75">
      <c r="A253" s="50"/>
    </row>
    <row r="254" spans="1:1" ht="12.75">
      <c r="A254" s="50"/>
    </row>
    <row r="255" spans="1:1" ht="12.75">
      <c r="A255" s="50"/>
    </row>
    <row r="256" spans="1:1" ht="12.75">
      <c r="A256" s="50"/>
    </row>
    <row r="257" spans="1:1" ht="12.75">
      <c r="A257" s="50"/>
    </row>
    <row r="258" spans="1:1" ht="12.75">
      <c r="A258" s="50"/>
    </row>
    <row r="259" spans="1:1" ht="12.75">
      <c r="A259" s="50"/>
    </row>
    <row r="260" spans="1:1" ht="12.75">
      <c r="A260" s="50"/>
    </row>
    <row r="261" spans="1:1" ht="12.75">
      <c r="A261" s="50"/>
    </row>
    <row r="262" spans="1:1" ht="12.75">
      <c r="A262" s="50"/>
    </row>
    <row r="263" spans="1:1" ht="12.75">
      <c r="A263" s="50"/>
    </row>
    <row r="264" spans="1:1" ht="12.75">
      <c r="A264" s="50"/>
    </row>
    <row r="265" spans="1:1" ht="12.75">
      <c r="A265" s="50"/>
    </row>
    <row r="266" spans="1:1" ht="12.75">
      <c r="A266" s="50"/>
    </row>
    <row r="267" spans="1:1" ht="12.75">
      <c r="A267" s="50"/>
    </row>
    <row r="268" spans="1:1" ht="12.75">
      <c r="A268" s="50"/>
    </row>
    <row r="269" spans="1:1" ht="12.75">
      <c r="A269" s="50"/>
    </row>
    <row r="270" spans="1:1" ht="12.75">
      <c r="A270" s="50"/>
    </row>
    <row r="271" spans="1:1" ht="12.75">
      <c r="A271" s="50"/>
    </row>
    <row r="272" spans="1:1" ht="12.75">
      <c r="A272" s="50"/>
    </row>
    <row r="273" spans="1:1" ht="12.75">
      <c r="A273" s="50"/>
    </row>
    <row r="274" spans="1:1" ht="12.75">
      <c r="A274" s="50"/>
    </row>
    <row r="275" spans="1:1" ht="12.75">
      <c r="A275" s="50"/>
    </row>
    <row r="276" spans="1:1" ht="12.75">
      <c r="A276" s="50"/>
    </row>
    <row r="277" spans="1:1" ht="12.75">
      <c r="A277" s="50"/>
    </row>
    <row r="278" spans="1:1" ht="12.75">
      <c r="A278" s="50"/>
    </row>
    <row r="279" spans="1:1" ht="12.75">
      <c r="A279" s="50"/>
    </row>
    <row r="280" spans="1:1" ht="12.75">
      <c r="A280" s="50"/>
    </row>
    <row r="281" spans="1:1" ht="12.75">
      <c r="A281" s="50"/>
    </row>
    <row r="282" spans="1:1" ht="12.75">
      <c r="A282" s="50"/>
    </row>
    <row r="283" spans="1:1" ht="12.75">
      <c r="A283" s="50"/>
    </row>
    <row r="284" spans="1:1" ht="12.75">
      <c r="A284" s="50"/>
    </row>
    <row r="285" spans="1:1" ht="12.75">
      <c r="A285" s="50"/>
    </row>
    <row r="286" spans="1:1" ht="12.75">
      <c r="A286" s="50"/>
    </row>
    <row r="287" spans="1:1" ht="12.75">
      <c r="A287" s="50"/>
    </row>
    <row r="288" spans="1:1" ht="12.75">
      <c r="A288" s="50"/>
    </row>
    <row r="289" spans="1:1" ht="12.75">
      <c r="A289" s="50"/>
    </row>
    <row r="290" spans="1:1" ht="12.75">
      <c r="A290" s="50"/>
    </row>
    <row r="291" spans="1:1" ht="12.75">
      <c r="A291" s="50"/>
    </row>
    <row r="292" spans="1:1" ht="12.75">
      <c r="A292" s="50"/>
    </row>
    <row r="293" spans="1:1" ht="12.75">
      <c r="A293" s="50"/>
    </row>
    <row r="294" spans="1:1" ht="12.75">
      <c r="A294" s="50"/>
    </row>
    <row r="295" spans="1:1" ht="12.75">
      <c r="A295" s="50"/>
    </row>
    <row r="296" spans="1:1" ht="12.75">
      <c r="A296" s="50"/>
    </row>
    <row r="297" spans="1:1" ht="12.75">
      <c r="A297" s="50"/>
    </row>
    <row r="298" spans="1:1" ht="12.75">
      <c r="A298" s="50"/>
    </row>
    <row r="299" spans="1:1" ht="12.75">
      <c r="A299" s="50"/>
    </row>
    <row r="300" spans="1:1" ht="12.75">
      <c r="A300" s="50"/>
    </row>
    <row r="301" spans="1:1" ht="12.75">
      <c r="A301" s="50"/>
    </row>
    <row r="302" spans="1:1" ht="12.75">
      <c r="A302" s="50"/>
    </row>
    <row r="303" spans="1:1" ht="12.75">
      <c r="A303" s="50"/>
    </row>
    <row r="304" spans="1:1" ht="12.75">
      <c r="A304" s="50"/>
    </row>
    <row r="305" spans="1:1" ht="12.75">
      <c r="A305" s="50"/>
    </row>
    <row r="306" spans="1:1" ht="12.75">
      <c r="A306" s="50"/>
    </row>
    <row r="307" spans="1:1" ht="12.75">
      <c r="A307" s="50"/>
    </row>
    <row r="308" spans="1:1" ht="12.75">
      <c r="A308" s="50"/>
    </row>
    <row r="309" spans="1:1" ht="12.75">
      <c r="A309" s="50"/>
    </row>
    <row r="310" spans="1:1" ht="12.75">
      <c r="A310" s="50"/>
    </row>
    <row r="311" spans="1:1" ht="12.75">
      <c r="A311" s="50"/>
    </row>
    <row r="312" spans="1:1" ht="12.75">
      <c r="A312" s="50"/>
    </row>
    <row r="313" spans="1:1" ht="12.75">
      <c r="A313" s="50"/>
    </row>
    <row r="314" spans="1:1" ht="12.75">
      <c r="A314" s="50"/>
    </row>
    <row r="315" spans="1:1" ht="12.75">
      <c r="A315" s="50"/>
    </row>
    <row r="316" spans="1:1" ht="12.75">
      <c r="A316" s="50"/>
    </row>
    <row r="317" spans="1:1" ht="12.75">
      <c r="A317" s="50"/>
    </row>
    <row r="318" spans="1:1" ht="12.75">
      <c r="A318" s="50"/>
    </row>
    <row r="319" spans="1:1" ht="12.75">
      <c r="A319" s="50"/>
    </row>
    <row r="320" spans="1:1" ht="12.75">
      <c r="A320" s="50"/>
    </row>
    <row r="321" spans="1:1" ht="12.75">
      <c r="A321" s="50"/>
    </row>
    <row r="322" spans="1:1" ht="12.75">
      <c r="A322" s="50"/>
    </row>
    <row r="323" spans="1:1" ht="12.75">
      <c r="A323" s="50"/>
    </row>
    <row r="324" spans="1:1" ht="12.75">
      <c r="A324" s="50"/>
    </row>
    <row r="325" spans="1:1" ht="12.75">
      <c r="A325" s="50"/>
    </row>
    <row r="326" spans="1:1" ht="12.75">
      <c r="A326" s="50"/>
    </row>
    <row r="327" spans="1:1" ht="12.75">
      <c r="A327" s="50"/>
    </row>
    <row r="328" spans="1:1" ht="12.75">
      <c r="A328" s="50"/>
    </row>
    <row r="329" spans="1:1" ht="12.75">
      <c r="A329" s="50"/>
    </row>
    <row r="330" spans="1:1" ht="12.75">
      <c r="A330" s="50"/>
    </row>
    <row r="331" spans="1:1" ht="12.75">
      <c r="A331" s="50"/>
    </row>
    <row r="332" spans="1:1" ht="12.75">
      <c r="A332" s="50"/>
    </row>
    <row r="333" spans="1:1" ht="12.75">
      <c r="A333" s="50"/>
    </row>
    <row r="334" spans="1:1" ht="12.75">
      <c r="A334" s="50"/>
    </row>
    <row r="335" spans="1:1" ht="12.75">
      <c r="A335" s="50"/>
    </row>
    <row r="336" spans="1:1" ht="12.75">
      <c r="A336" s="50"/>
    </row>
    <row r="337" spans="1:1" ht="12.75">
      <c r="A337" s="50"/>
    </row>
    <row r="338" spans="1:1" ht="12.75">
      <c r="A338" s="50"/>
    </row>
    <row r="339" spans="1:1" ht="12.75">
      <c r="A339" s="50"/>
    </row>
    <row r="340" spans="1:1" ht="12.75">
      <c r="A340" s="50"/>
    </row>
    <row r="341" spans="1:1" ht="12.75">
      <c r="A341" s="50"/>
    </row>
    <row r="342" spans="1:1" ht="12.75">
      <c r="A342" s="50"/>
    </row>
    <row r="343" spans="1:1" ht="12.75">
      <c r="A343" s="50"/>
    </row>
    <row r="344" spans="1:1" ht="12.75">
      <c r="A344" s="50"/>
    </row>
    <row r="345" spans="1:1" ht="12.75">
      <c r="A345" s="50"/>
    </row>
    <row r="346" spans="1:1" ht="12.75">
      <c r="A346" s="50"/>
    </row>
    <row r="347" spans="1:1" ht="12.75">
      <c r="A347" s="50"/>
    </row>
    <row r="348" spans="1:1" ht="12.75">
      <c r="A348" s="50"/>
    </row>
    <row r="349" spans="1:1" ht="12.75">
      <c r="A349" s="50"/>
    </row>
    <row r="350" spans="1:1" ht="12.75">
      <c r="A350" s="50"/>
    </row>
    <row r="351" spans="1:1" ht="12.75">
      <c r="A351" s="50"/>
    </row>
    <row r="352" spans="1:1" ht="12.75">
      <c r="A352" s="50"/>
    </row>
    <row r="353" spans="1:1" ht="12.75">
      <c r="A353" s="50"/>
    </row>
    <row r="354" spans="1:1" ht="12.75">
      <c r="A354" s="50"/>
    </row>
    <row r="355" spans="1:1" ht="12.75">
      <c r="A355" s="50"/>
    </row>
    <row r="356" spans="1:1" ht="12.75">
      <c r="A356" s="50"/>
    </row>
    <row r="357" spans="1:1" ht="12.75">
      <c r="A357" s="50"/>
    </row>
    <row r="358" spans="1:1" ht="12.75">
      <c r="A358" s="50"/>
    </row>
    <row r="359" spans="1:1" ht="12.75">
      <c r="A359" s="50"/>
    </row>
    <row r="360" spans="1:1" ht="12.75">
      <c r="A360" s="50"/>
    </row>
    <row r="361" spans="1:1" ht="12.75">
      <c r="A361" s="50"/>
    </row>
    <row r="362" spans="1:1" ht="12.75">
      <c r="A362" s="50"/>
    </row>
    <row r="363" spans="1:1" ht="12.75">
      <c r="A363" s="50"/>
    </row>
    <row r="364" spans="1:1" ht="12.75">
      <c r="A364" s="50"/>
    </row>
    <row r="365" spans="1:1" ht="12.75">
      <c r="A365" s="50"/>
    </row>
    <row r="366" spans="1:1" ht="12.75">
      <c r="A366" s="50"/>
    </row>
    <row r="367" spans="1:1" ht="12.75">
      <c r="A367" s="50"/>
    </row>
    <row r="368" spans="1:1" ht="12.75">
      <c r="A368" s="50"/>
    </row>
    <row r="369" spans="1:1" ht="12.75">
      <c r="A369" s="50"/>
    </row>
    <row r="370" spans="1:1" ht="12.75">
      <c r="A370" s="50"/>
    </row>
    <row r="371" spans="1:1" ht="12.75">
      <c r="A371" s="50"/>
    </row>
    <row r="372" spans="1:1" ht="12.75">
      <c r="A372" s="50"/>
    </row>
    <row r="373" spans="1:1" ht="12.75">
      <c r="A373" s="50"/>
    </row>
    <row r="374" spans="1:1" ht="12.75">
      <c r="A374" s="50"/>
    </row>
    <row r="375" spans="1:1" ht="12.75">
      <c r="A375" s="50"/>
    </row>
    <row r="376" spans="1:1" ht="12.75">
      <c r="A376" s="50"/>
    </row>
    <row r="377" spans="1:1" ht="12.75">
      <c r="A377" s="50"/>
    </row>
    <row r="378" spans="1:1" ht="12.75">
      <c r="A378" s="50"/>
    </row>
    <row r="379" spans="1:1" ht="12.75">
      <c r="A379" s="50"/>
    </row>
    <row r="380" spans="1:1" ht="12.75">
      <c r="A380" s="50"/>
    </row>
    <row r="381" spans="1:1" ht="12.75">
      <c r="A381" s="50"/>
    </row>
    <row r="382" spans="1:1" ht="12.75">
      <c r="A382" s="50"/>
    </row>
    <row r="383" spans="1:1" ht="12.75">
      <c r="A383" s="50"/>
    </row>
    <row r="384" spans="1:1" ht="12.75">
      <c r="A384" s="50"/>
    </row>
    <row r="385" spans="1:1" ht="12.75">
      <c r="A385" s="50"/>
    </row>
    <row r="386" spans="1:1" ht="12.75">
      <c r="A386" s="50"/>
    </row>
    <row r="387" spans="1:1" ht="12.75">
      <c r="A387" s="50"/>
    </row>
    <row r="388" spans="1:1" ht="12.75">
      <c r="A388" s="50"/>
    </row>
    <row r="389" spans="1:1" ht="12.75">
      <c r="A389" s="50"/>
    </row>
    <row r="390" spans="1:1" ht="12.75">
      <c r="A390" s="50"/>
    </row>
    <row r="391" spans="1:1" ht="12.75">
      <c r="A391" s="50"/>
    </row>
    <row r="392" spans="1:1" ht="12.75">
      <c r="A392" s="50"/>
    </row>
    <row r="393" spans="1:1" ht="12.75">
      <c r="A393" s="50"/>
    </row>
    <row r="394" spans="1:1" ht="12.75">
      <c r="A394" s="50"/>
    </row>
    <row r="395" spans="1:1" ht="12.75">
      <c r="A395" s="50"/>
    </row>
    <row r="396" spans="1:1" ht="12.75">
      <c r="A396" s="50"/>
    </row>
    <row r="397" spans="1:1" ht="12.75">
      <c r="A397" s="50"/>
    </row>
    <row r="398" spans="1:1" ht="12.75">
      <c r="A398" s="50"/>
    </row>
    <row r="399" spans="1:1" ht="12.75">
      <c r="A399" s="50"/>
    </row>
    <row r="400" spans="1:1" ht="12.75">
      <c r="A400" s="50"/>
    </row>
    <row r="401" spans="1:1" ht="12.75">
      <c r="A401" s="50"/>
    </row>
    <row r="402" spans="1:1" ht="12.75">
      <c r="A402" s="50"/>
    </row>
    <row r="403" spans="1:1" ht="12.75">
      <c r="A403" s="50"/>
    </row>
    <row r="404" spans="1:1" ht="12.75">
      <c r="A404" s="50"/>
    </row>
    <row r="405" spans="1:1" ht="12.75">
      <c r="A405" s="50"/>
    </row>
    <row r="406" spans="1:1" ht="12.75">
      <c r="A406" s="50"/>
    </row>
    <row r="407" spans="1:1" ht="12.75">
      <c r="A407" s="50"/>
    </row>
    <row r="408" spans="1:1" ht="12.75">
      <c r="A408" s="50"/>
    </row>
    <row r="409" spans="1:1" ht="12.75">
      <c r="A409" s="50"/>
    </row>
    <row r="410" spans="1:1" ht="12.75">
      <c r="A410" s="50"/>
    </row>
    <row r="411" spans="1:1" ht="12.75">
      <c r="A411" s="50"/>
    </row>
    <row r="412" spans="1:1" ht="12.75">
      <c r="A412" s="50"/>
    </row>
    <row r="413" spans="1:1" ht="12.75">
      <c r="A413" s="50"/>
    </row>
    <row r="414" spans="1:1" ht="12.75">
      <c r="A414" s="50"/>
    </row>
    <row r="415" spans="1:1" ht="12.75">
      <c r="A415" s="50"/>
    </row>
    <row r="416" spans="1:1" ht="12.75">
      <c r="A416" s="50"/>
    </row>
    <row r="417" spans="1:1" ht="12.75">
      <c r="A417" s="50"/>
    </row>
    <row r="418" spans="1:1" ht="12.75">
      <c r="A418" s="50"/>
    </row>
    <row r="419" spans="1:1" ht="12.75">
      <c r="A419" s="50"/>
    </row>
    <row r="420" spans="1:1" ht="12.75">
      <c r="A420" s="50"/>
    </row>
    <row r="421" spans="1:1" ht="12.75">
      <c r="A421" s="50"/>
    </row>
    <row r="422" spans="1:1" ht="12.75">
      <c r="A422" s="50"/>
    </row>
    <row r="423" spans="1:1" ht="12.75">
      <c r="A423" s="50"/>
    </row>
    <row r="424" spans="1:1" ht="12.75">
      <c r="A424" s="50"/>
    </row>
    <row r="425" spans="1:1" ht="12.75">
      <c r="A425" s="50"/>
    </row>
    <row r="426" spans="1:1" ht="12.75">
      <c r="A426" s="50"/>
    </row>
    <row r="427" spans="1:1" ht="12.75">
      <c r="A427" s="50"/>
    </row>
    <row r="428" spans="1:1" ht="12.75">
      <c r="A428" s="50"/>
    </row>
    <row r="429" spans="1:1" ht="12.75">
      <c r="A429" s="50"/>
    </row>
    <row r="430" spans="1:1" ht="12.75">
      <c r="A430" s="50"/>
    </row>
    <row r="431" spans="1:1" ht="12.75">
      <c r="A431" s="50"/>
    </row>
    <row r="432" spans="1:1" ht="12.75">
      <c r="A432" s="50"/>
    </row>
    <row r="433" spans="1:1" ht="12.75">
      <c r="A433" s="50"/>
    </row>
    <row r="434" spans="1:1" ht="12.75">
      <c r="A434" s="50"/>
    </row>
    <row r="435" spans="1:1" ht="12.75">
      <c r="A435" s="50"/>
    </row>
    <row r="436" spans="1:1" ht="12.75">
      <c r="A436" s="50"/>
    </row>
    <row r="437" spans="1:1" ht="12.75">
      <c r="A437" s="50"/>
    </row>
    <row r="438" spans="1:1" ht="12.75">
      <c r="A438" s="50"/>
    </row>
    <row r="439" spans="1:1" ht="12.75">
      <c r="A439" s="50"/>
    </row>
    <row r="440" spans="1:1" ht="12.75">
      <c r="A440" s="50"/>
    </row>
    <row r="441" spans="1:1" ht="12.75">
      <c r="A441" s="50"/>
    </row>
    <row r="442" spans="1:1" ht="12.75">
      <c r="A442" s="50"/>
    </row>
    <row r="443" spans="1:1" ht="12.75">
      <c r="A443" s="50"/>
    </row>
    <row r="444" spans="1:1" ht="12.75">
      <c r="A444" s="50"/>
    </row>
    <row r="445" spans="1:1" ht="12.75">
      <c r="A445" s="50"/>
    </row>
    <row r="446" spans="1:1" ht="12.75">
      <c r="A446" s="50"/>
    </row>
    <row r="447" spans="1:1" ht="12.75">
      <c r="A447" s="50"/>
    </row>
    <row r="448" spans="1:1" ht="12.75">
      <c r="A448" s="50"/>
    </row>
    <row r="449" spans="1:1" ht="12.75">
      <c r="A449" s="50"/>
    </row>
    <row r="450" spans="1:1" ht="12.75">
      <c r="A450" s="50"/>
    </row>
    <row r="451" spans="1:1" ht="12.75">
      <c r="A451" s="50"/>
    </row>
    <row r="452" spans="1:1" ht="12.75">
      <c r="A452" s="50"/>
    </row>
    <row r="453" spans="1:1" ht="12.75">
      <c r="A453" s="50"/>
    </row>
    <row r="454" spans="1:1" ht="12.75">
      <c r="A454" s="50"/>
    </row>
    <row r="455" spans="1:1" ht="12.75">
      <c r="A455" s="50"/>
    </row>
    <row r="456" spans="1:1" ht="12.75">
      <c r="A456" s="50"/>
    </row>
    <row r="457" spans="1:1" ht="12.75">
      <c r="A457" s="50"/>
    </row>
    <row r="458" spans="1:1" ht="12.75">
      <c r="A458" s="50"/>
    </row>
    <row r="459" spans="1:1" ht="12.75">
      <c r="A459" s="50"/>
    </row>
    <row r="460" spans="1:1" ht="12.75">
      <c r="A460" s="50"/>
    </row>
    <row r="461" spans="1:1" ht="12.75">
      <c r="A461" s="50"/>
    </row>
    <row r="462" spans="1:1" ht="12.75">
      <c r="A462" s="50"/>
    </row>
    <row r="463" spans="1:1" ht="12.75">
      <c r="A463" s="50"/>
    </row>
    <row r="464" spans="1:1" ht="12.75">
      <c r="A464" s="50"/>
    </row>
    <row r="465" spans="1:1" ht="12.75">
      <c r="A465" s="50"/>
    </row>
    <row r="466" spans="1:1" ht="12.75">
      <c r="A466" s="50"/>
    </row>
    <row r="467" spans="1:1" ht="12.75">
      <c r="A467" s="50"/>
    </row>
    <row r="468" spans="1:1" ht="12.75">
      <c r="A468" s="50"/>
    </row>
    <row r="469" spans="1:1" ht="12.75">
      <c r="A469" s="50"/>
    </row>
    <row r="470" spans="1:1" ht="12.75">
      <c r="A470" s="50"/>
    </row>
    <row r="471" spans="1:1" ht="12.75">
      <c r="A471" s="50"/>
    </row>
    <row r="472" spans="1:1" ht="12.75">
      <c r="A472" s="50"/>
    </row>
    <row r="473" spans="1:1" ht="12.75">
      <c r="A473" s="50"/>
    </row>
    <row r="474" spans="1:1" ht="12.75">
      <c r="A474" s="50"/>
    </row>
    <row r="475" spans="1:1" ht="12.75">
      <c r="A475" s="50"/>
    </row>
    <row r="476" spans="1:1" ht="12.75">
      <c r="A476" s="50"/>
    </row>
    <row r="477" spans="1:1" ht="12.75">
      <c r="A477" s="50"/>
    </row>
    <row r="478" spans="1:1" ht="12.75">
      <c r="A478" s="50"/>
    </row>
    <row r="479" spans="1:1" ht="12.75">
      <c r="A479" s="50"/>
    </row>
    <row r="480" spans="1:1" ht="12.75">
      <c r="A480" s="50"/>
    </row>
    <row r="481" spans="1:1" ht="12.75">
      <c r="A481" s="50"/>
    </row>
    <row r="482" spans="1:1" ht="12.75">
      <c r="A482" s="50"/>
    </row>
    <row r="483" spans="1:1" ht="12.75">
      <c r="A483" s="50"/>
    </row>
    <row r="484" spans="1:1" ht="12.75">
      <c r="A484" s="50"/>
    </row>
    <row r="485" spans="1:1" ht="12.75">
      <c r="A485" s="50"/>
    </row>
    <row r="486" spans="1:1" ht="12.75">
      <c r="A486" s="50"/>
    </row>
    <row r="487" spans="1:1" ht="12.75">
      <c r="A487" s="50"/>
    </row>
    <row r="488" spans="1:1" ht="12.75">
      <c r="A488" s="50"/>
    </row>
    <row r="489" spans="1:1" ht="12.75">
      <c r="A489" s="50"/>
    </row>
    <row r="490" spans="1:1" ht="12.75">
      <c r="A490" s="50"/>
    </row>
    <row r="491" spans="1:1" ht="12.75">
      <c r="A491" s="50"/>
    </row>
    <row r="492" spans="1:1" ht="12.75">
      <c r="A492" s="50"/>
    </row>
    <row r="493" spans="1:1" ht="12.75">
      <c r="A493" s="50"/>
    </row>
    <row r="494" spans="1:1" ht="12.75">
      <c r="A494" s="50"/>
    </row>
    <row r="495" spans="1:1" ht="12.75">
      <c r="A495" s="50"/>
    </row>
    <row r="496" spans="1:1" ht="12.75">
      <c r="A496" s="50"/>
    </row>
    <row r="497" spans="1:1" ht="12.75">
      <c r="A497" s="50"/>
    </row>
    <row r="498" spans="1:1" ht="12.75">
      <c r="A498" s="50"/>
    </row>
    <row r="499" spans="1:1" ht="12.75">
      <c r="A499" s="50"/>
    </row>
    <row r="500" spans="1:1" ht="12.75">
      <c r="A500" s="50"/>
    </row>
    <row r="501" spans="1:1" ht="12.75">
      <c r="A501" s="50"/>
    </row>
    <row r="502" spans="1:1" ht="12.75">
      <c r="A502" s="50"/>
    </row>
    <row r="503" spans="1:1" ht="12.75">
      <c r="A503" s="50"/>
    </row>
    <row r="504" spans="1:1" ht="12.75">
      <c r="A504" s="50"/>
    </row>
    <row r="505" spans="1:1" ht="12.75">
      <c r="A505" s="50"/>
    </row>
    <row r="506" spans="1:1" ht="12.75">
      <c r="A506" s="50"/>
    </row>
    <row r="507" spans="1:1" ht="12.75">
      <c r="A507" s="50"/>
    </row>
    <row r="508" spans="1:1" ht="12.75">
      <c r="A508" s="50"/>
    </row>
    <row r="509" spans="1:1" ht="12.75">
      <c r="A509" s="50"/>
    </row>
    <row r="510" spans="1:1" ht="12.75">
      <c r="A510" s="50"/>
    </row>
    <row r="511" spans="1:1" ht="12.75">
      <c r="A511" s="50"/>
    </row>
    <row r="512" spans="1:1" ht="12.75">
      <c r="A512" s="50"/>
    </row>
    <row r="513" spans="1:1" ht="12.75">
      <c r="A513" s="50"/>
    </row>
    <row r="514" spans="1:1" ht="12.75">
      <c r="A514" s="50"/>
    </row>
    <row r="515" spans="1:1" ht="12.75">
      <c r="A515" s="50"/>
    </row>
    <row r="516" spans="1:1" ht="12.75">
      <c r="A516" s="50"/>
    </row>
    <row r="517" spans="1:1" ht="12.75">
      <c r="A517" s="50"/>
    </row>
    <row r="518" spans="1:1" ht="12.75">
      <c r="A518" s="50"/>
    </row>
    <row r="519" spans="1:1" ht="12.75">
      <c r="A519" s="50"/>
    </row>
    <row r="520" spans="1:1" ht="12.75">
      <c r="A520" s="50"/>
    </row>
    <row r="521" spans="1:1" ht="12.75">
      <c r="A521" s="50"/>
    </row>
    <row r="522" spans="1:1" ht="12.75">
      <c r="A522" s="50"/>
    </row>
    <row r="523" spans="1:1" ht="12.75">
      <c r="A523" s="50"/>
    </row>
    <row r="524" spans="1:1" ht="12.75">
      <c r="A524" s="50"/>
    </row>
    <row r="525" spans="1:1" ht="12.75">
      <c r="A525" s="50"/>
    </row>
    <row r="526" spans="1:1" ht="12.75">
      <c r="A526" s="50"/>
    </row>
    <row r="527" spans="1:1" ht="12.75">
      <c r="A527" s="50"/>
    </row>
    <row r="528" spans="1:1" ht="12.75">
      <c r="A528" s="50"/>
    </row>
    <row r="529" spans="1:1" ht="12.75">
      <c r="A529" s="50"/>
    </row>
    <row r="530" spans="1:1" ht="12.75">
      <c r="A530" s="50"/>
    </row>
    <row r="531" spans="1:1" ht="12.75">
      <c r="A531" s="50"/>
    </row>
    <row r="532" spans="1:1" ht="12.75">
      <c r="A532" s="50"/>
    </row>
    <row r="533" spans="1:1" ht="12.75">
      <c r="A533" s="50"/>
    </row>
    <row r="534" spans="1:1" ht="12.75">
      <c r="A534" s="50"/>
    </row>
    <row r="535" spans="1:1" ht="12.75">
      <c r="A535" s="50"/>
    </row>
    <row r="536" spans="1:1" ht="12.75">
      <c r="A536" s="50"/>
    </row>
    <row r="537" spans="1:1" ht="12.75">
      <c r="A537" s="50"/>
    </row>
    <row r="538" spans="1:1" ht="12.75">
      <c r="A538" s="50"/>
    </row>
    <row r="539" spans="1:1" ht="12.75">
      <c r="A539" s="50"/>
    </row>
    <row r="540" spans="1:1" ht="12.75">
      <c r="A540" s="50"/>
    </row>
    <row r="541" spans="1:1" ht="12.75">
      <c r="A541" s="50"/>
    </row>
    <row r="542" spans="1:1" ht="12.75">
      <c r="A542" s="50"/>
    </row>
    <row r="543" spans="1:1" ht="12.75">
      <c r="A543" s="50"/>
    </row>
    <row r="544" spans="1:1" ht="12.75">
      <c r="A544" s="50"/>
    </row>
    <row r="545" spans="1:1" ht="12.75">
      <c r="A545" s="50"/>
    </row>
    <row r="546" spans="1:1" ht="12.75">
      <c r="A546" s="50"/>
    </row>
    <row r="547" spans="1:1" ht="12.75">
      <c r="A547" s="50"/>
    </row>
    <row r="548" spans="1:1" ht="12.75">
      <c r="A548" s="50"/>
    </row>
    <row r="549" spans="1:1" ht="12.75">
      <c r="A549" s="50"/>
    </row>
    <row r="550" spans="1:1" ht="12.75">
      <c r="A550" s="50"/>
    </row>
    <row r="551" spans="1:1" ht="12.75">
      <c r="A551" s="50"/>
    </row>
    <row r="552" spans="1:1" ht="12.75">
      <c r="A552" s="50"/>
    </row>
    <row r="553" spans="1:1" ht="12.75">
      <c r="A553" s="50"/>
    </row>
    <row r="554" spans="1:1" ht="12.75">
      <c r="A554" s="50"/>
    </row>
    <row r="555" spans="1:1" ht="12.75">
      <c r="A555" s="50"/>
    </row>
    <row r="556" spans="1:1" ht="12.75">
      <c r="A556" s="50"/>
    </row>
    <row r="557" spans="1:1" ht="12.75">
      <c r="A557" s="50"/>
    </row>
    <row r="558" spans="1:1" ht="12.75">
      <c r="A558" s="50"/>
    </row>
    <row r="559" spans="1:1" ht="12.75">
      <c r="A559" s="50"/>
    </row>
    <row r="560" spans="1:1" ht="12.75">
      <c r="A560" s="50"/>
    </row>
    <row r="561" spans="1:1" ht="12.75">
      <c r="A561" s="50"/>
    </row>
    <row r="562" spans="1:1" ht="12.75">
      <c r="A562" s="50"/>
    </row>
    <row r="563" spans="1:1" ht="12.75">
      <c r="A563" s="50"/>
    </row>
    <row r="564" spans="1:1" ht="12.75">
      <c r="A564" s="50"/>
    </row>
    <row r="565" spans="1:1" ht="12.75">
      <c r="A565" s="50"/>
    </row>
    <row r="566" spans="1:1" ht="12.75">
      <c r="A566" s="50"/>
    </row>
    <row r="567" spans="1:1" ht="12.75">
      <c r="A567" s="50"/>
    </row>
    <row r="568" spans="1:1" ht="12.75">
      <c r="A568" s="50"/>
    </row>
    <row r="569" spans="1:1" ht="12.75">
      <c r="A569" s="50"/>
    </row>
    <row r="570" spans="1:1" ht="12.75">
      <c r="A570" s="50"/>
    </row>
    <row r="571" spans="1:1" ht="12.75">
      <c r="A571" s="50"/>
    </row>
    <row r="572" spans="1:1" ht="12.75">
      <c r="A572" s="50"/>
    </row>
    <row r="573" spans="1:1" ht="12.75">
      <c r="A573" s="50"/>
    </row>
    <row r="574" spans="1:1" ht="12.75">
      <c r="A574" s="50"/>
    </row>
    <row r="575" spans="1:1" ht="12.75">
      <c r="A575" s="50"/>
    </row>
    <row r="576" spans="1:1" ht="12.75">
      <c r="A576" s="50"/>
    </row>
    <row r="577" spans="1:1" ht="12.75">
      <c r="A577" s="50"/>
    </row>
    <row r="578" spans="1:1" ht="12.75">
      <c r="A578" s="50"/>
    </row>
    <row r="579" spans="1:1" ht="12.75">
      <c r="A579" s="50"/>
    </row>
    <row r="580" spans="1:1" ht="12.75">
      <c r="A580" s="50"/>
    </row>
    <row r="581" spans="1:1" ht="12.75">
      <c r="A581" s="50"/>
    </row>
    <row r="582" spans="1:1" ht="12.75">
      <c r="A582" s="50"/>
    </row>
    <row r="583" spans="1:1" ht="12.75">
      <c r="A583" s="50"/>
    </row>
    <row r="584" spans="1:1" ht="12.75">
      <c r="A584" s="50"/>
    </row>
    <row r="585" spans="1:1" ht="12.75">
      <c r="A585" s="50"/>
    </row>
    <row r="586" spans="1:1" ht="12.75">
      <c r="A586" s="50"/>
    </row>
    <row r="587" spans="1:1" ht="12.75">
      <c r="A587" s="50"/>
    </row>
    <row r="588" spans="1:1" ht="12.75">
      <c r="A588" s="50"/>
    </row>
    <row r="589" spans="1:1" ht="12.75">
      <c r="A589" s="50"/>
    </row>
    <row r="590" spans="1:1" ht="12.75">
      <c r="A590" s="50"/>
    </row>
    <row r="591" spans="1:1" ht="12.75">
      <c r="A591" s="50"/>
    </row>
    <row r="592" spans="1:1" ht="12.75">
      <c r="A592" s="50"/>
    </row>
    <row r="593" spans="1:1" ht="12.75">
      <c r="A593" s="50"/>
    </row>
    <row r="594" spans="1:1" ht="12.75">
      <c r="A594" s="50"/>
    </row>
    <row r="595" spans="1:1" ht="12.75">
      <c r="A595" s="50"/>
    </row>
    <row r="596" spans="1:1" ht="12.75">
      <c r="A596" s="50"/>
    </row>
    <row r="597" spans="1:1" ht="12.75">
      <c r="A597" s="50"/>
    </row>
    <row r="598" spans="1:1" ht="12.75">
      <c r="A598" s="50"/>
    </row>
    <row r="599" spans="1:1" ht="12.75">
      <c r="A599" s="50"/>
    </row>
    <row r="600" spans="1:1" ht="12.75">
      <c r="A600" s="50"/>
    </row>
    <row r="601" spans="1:1" ht="12.75">
      <c r="A601" s="50"/>
    </row>
    <row r="602" spans="1:1" ht="12.75">
      <c r="A602" s="50"/>
    </row>
    <row r="603" spans="1:1" ht="12.75">
      <c r="A603" s="50"/>
    </row>
    <row r="604" spans="1:1" ht="12.75">
      <c r="A604" s="50"/>
    </row>
    <row r="605" spans="1:1" ht="12.75">
      <c r="A605" s="50"/>
    </row>
    <row r="606" spans="1:1" ht="12.75">
      <c r="A606" s="50"/>
    </row>
    <row r="607" spans="1:1" ht="12.75">
      <c r="A607" s="50"/>
    </row>
    <row r="608" spans="1:1" ht="12.75">
      <c r="A608" s="50"/>
    </row>
    <row r="609" spans="1:1" ht="12.75">
      <c r="A609" s="50"/>
    </row>
    <row r="610" spans="1:1" ht="12.75">
      <c r="A610" s="50"/>
    </row>
    <row r="611" spans="1:1" ht="12.75">
      <c r="A611" s="50"/>
    </row>
    <row r="612" spans="1:1" ht="12.75">
      <c r="A612" s="50"/>
    </row>
    <row r="613" spans="1:1" ht="12.75">
      <c r="A613" s="50"/>
    </row>
    <row r="614" spans="1:1" ht="12.75">
      <c r="A614" s="50"/>
    </row>
    <row r="615" spans="1:1" ht="12.75">
      <c r="A615" s="50"/>
    </row>
    <row r="616" spans="1:1" ht="12.75">
      <c r="A616" s="50"/>
    </row>
    <row r="617" spans="1:1" ht="12.75">
      <c r="A617" s="50"/>
    </row>
    <row r="618" spans="1:1" ht="12.75">
      <c r="A618" s="50"/>
    </row>
    <row r="619" spans="1:1" ht="12.75">
      <c r="A619" s="50"/>
    </row>
    <row r="620" spans="1:1" ht="12.75">
      <c r="A620" s="50"/>
    </row>
    <row r="621" spans="1:1" ht="12.75">
      <c r="A621" s="50"/>
    </row>
    <row r="622" spans="1:1" ht="12.75">
      <c r="A622" s="50"/>
    </row>
    <row r="623" spans="1:1" ht="12.75">
      <c r="A623" s="50"/>
    </row>
    <row r="624" spans="1:1" ht="12.75">
      <c r="A624" s="50"/>
    </row>
    <row r="625" spans="1:1" ht="12.75">
      <c r="A625" s="50"/>
    </row>
    <row r="626" spans="1:1" ht="12.75">
      <c r="A626" s="50"/>
    </row>
    <row r="627" spans="1:1" ht="12.75">
      <c r="A627" s="50"/>
    </row>
    <row r="628" spans="1:1" ht="12.75">
      <c r="A628" s="50"/>
    </row>
    <row r="629" spans="1:1" ht="12.75">
      <c r="A629" s="50"/>
    </row>
    <row r="630" spans="1:1" ht="12.75">
      <c r="A630" s="50"/>
    </row>
    <row r="631" spans="1:1" ht="12.75">
      <c r="A631" s="50"/>
    </row>
    <row r="632" spans="1:1" ht="12.75">
      <c r="A632" s="50"/>
    </row>
    <row r="633" spans="1:1" ht="12.75">
      <c r="A633" s="50"/>
    </row>
    <row r="634" spans="1:1" ht="12.75">
      <c r="A634" s="50"/>
    </row>
    <row r="635" spans="1:1" ht="12.75">
      <c r="A635" s="50"/>
    </row>
    <row r="636" spans="1:1" ht="12.75">
      <c r="A636" s="50"/>
    </row>
    <row r="637" spans="1:1" ht="12.75">
      <c r="A637" s="50"/>
    </row>
    <row r="638" spans="1:1" ht="12.75">
      <c r="A638" s="50"/>
    </row>
    <row r="639" spans="1:1" ht="12.75">
      <c r="A639" s="50"/>
    </row>
    <row r="640" spans="1:1" ht="12.75">
      <c r="A640" s="50"/>
    </row>
    <row r="641" spans="1:1" ht="12.75">
      <c r="A641" s="50"/>
    </row>
    <row r="642" spans="1:1" ht="12.75">
      <c r="A642" s="50"/>
    </row>
    <row r="643" spans="1:1" ht="12.75">
      <c r="A643" s="50"/>
    </row>
    <row r="644" spans="1:1" ht="12.75">
      <c r="A644" s="50"/>
    </row>
    <row r="645" spans="1:1" ht="12.75">
      <c r="A645" s="50"/>
    </row>
    <row r="646" spans="1:1" ht="12.75">
      <c r="A646" s="50"/>
    </row>
    <row r="647" spans="1:1" ht="12.75">
      <c r="A647" s="50"/>
    </row>
    <row r="648" spans="1:1" ht="12.75">
      <c r="A648" s="50"/>
    </row>
    <row r="649" spans="1:1" ht="12.75">
      <c r="A649" s="50"/>
    </row>
    <row r="650" spans="1:1" ht="12.75">
      <c r="A650" s="50"/>
    </row>
    <row r="651" spans="1:1" ht="12.75">
      <c r="A651" s="50"/>
    </row>
    <row r="652" spans="1:1" ht="12.75">
      <c r="A652" s="50"/>
    </row>
    <row r="653" spans="1:1" ht="12.75">
      <c r="A653" s="50"/>
    </row>
    <row r="654" spans="1:1" ht="12.75">
      <c r="A654" s="50"/>
    </row>
    <row r="655" spans="1:1" ht="12.75">
      <c r="A655" s="50"/>
    </row>
    <row r="656" spans="1:1" ht="12.75">
      <c r="A656" s="50"/>
    </row>
    <row r="657" spans="1:1" ht="12.75">
      <c r="A657" s="50"/>
    </row>
    <row r="658" spans="1:1" ht="12.75">
      <c r="A658" s="50"/>
    </row>
    <row r="659" spans="1:1" ht="12.75">
      <c r="A659" s="50"/>
    </row>
    <row r="660" spans="1:1" ht="12.75">
      <c r="A660" s="50"/>
    </row>
    <row r="661" spans="1:1" ht="12.75">
      <c r="A661" s="50"/>
    </row>
    <row r="662" spans="1:1" ht="12.75">
      <c r="A662" s="50"/>
    </row>
    <row r="663" spans="1:1" ht="12.75">
      <c r="A663" s="50"/>
    </row>
    <row r="664" spans="1:1" ht="12.75">
      <c r="A664" s="50"/>
    </row>
    <row r="665" spans="1:1" ht="12.75">
      <c r="A665" s="50"/>
    </row>
    <row r="666" spans="1:1" ht="12.75">
      <c r="A666" s="50"/>
    </row>
    <row r="667" spans="1:1" ht="12.75">
      <c r="A667" s="50"/>
    </row>
    <row r="668" spans="1:1" ht="12.75">
      <c r="A668" s="50"/>
    </row>
    <row r="669" spans="1:1" ht="12.75">
      <c r="A669" s="50"/>
    </row>
    <row r="670" spans="1:1" ht="12.75">
      <c r="A670" s="50"/>
    </row>
    <row r="671" spans="1:1" ht="12.75">
      <c r="A671" s="50"/>
    </row>
    <row r="672" spans="1:1" ht="12.75">
      <c r="A672" s="50"/>
    </row>
    <row r="673" spans="1:1" ht="12.75">
      <c r="A673" s="50"/>
    </row>
    <row r="674" spans="1:1" ht="12.75">
      <c r="A674" s="50"/>
    </row>
    <row r="675" spans="1:1" ht="12.75">
      <c r="A675" s="50"/>
    </row>
    <row r="676" spans="1:1" ht="12.75">
      <c r="A676" s="50"/>
    </row>
    <row r="677" spans="1:1" ht="12.75">
      <c r="A677" s="50"/>
    </row>
    <row r="678" spans="1:1" ht="12.75">
      <c r="A678" s="50"/>
    </row>
    <row r="679" spans="1:1" ht="12.75">
      <c r="A679" s="50"/>
    </row>
    <row r="680" spans="1:1" ht="12.75">
      <c r="A680" s="50"/>
    </row>
    <row r="681" spans="1:1" ht="12.75">
      <c r="A681" s="50"/>
    </row>
    <row r="682" spans="1:1" ht="12.75">
      <c r="A682" s="50"/>
    </row>
    <row r="683" spans="1:1" ht="12.75">
      <c r="A683" s="50"/>
    </row>
    <row r="684" spans="1:1" ht="12.75">
      <c r="A684" s="50"/>
    </row>
    <row r="685" spans="1:1" ht="12.75">
      <c r="A685" s="50"/>
    </row>
    <row r="686" spans="1:1" ht="12.75">
      <c r="A686" s="50"/>
    </row>
    <row r="687" spans="1:1" ht="12.75">
      <c r="A687" s="50"/>
    </row>
    <row r="688" spans="1:1" ht="12.75">
      <c r="A688" s="50"/>
    </row>
    <row r="689" spans="1:1" ht="12.75">
      <c r="A689" s="50"/>
    </row>
    <row r="690" spans="1:1" ht="12.75">
      <c r="A690" s="50"/>
    </row>
    <row r="691" spans="1:1" ht="12.75">
      <c r="A691" s="50"/>
    </row>
    <row r="692" spans="1:1" ht="12.75">
      <c r="A692" s="50"/>
    </row>
    <row r="693" spans="1:1" ht="12.75">
      <c r="A693" s="50"/>
    </row>
    <row r="694" spans="1:1" ht="12.75">
      <c r="A694" s="50"/>
    </row>
    <row r="695" spans="1:1" ht="12.75">
      <c r="A695" s="50"/>
    </row>
    <row r="696" spans="1:1" ht="12.75">
      <c r="A696" s="50"/>
    </row>
    <row r="697" spans="1:1" ht="12.75">
      <c r="A697" s="50"/>
    </row>
    <row r="698" spans="1:1" ht="12.75">
      <c r="A698" s="50"/>
    </row>
    <row r="699" spans="1:1" ht="12.75">
      <c r="A699" s="50"/>
    </row>
    <row r="700" spans="1:1" ht="12.75">
      <c r="A700" s="50"/>
    </row>
    <row r="701" spans="1:1" ht="12.75">
      <c r="A701" s="50"/>
    </row>
    <row r="702" spans="1:1" ht="12.75">
      <c r="A702" s="50"/>
    </row>
    <row r="703" spans="1:1" ht="12.75">
      <c r="A703" s="50"/>
    </row>
    <row r="704" spans="1:1" ht="12.75">
      <c r="A704" s="50"/>
    </row>
    <row r="705" spans="1:1" ht="12.75">
      <c r="A705" s="50"/>
    </row>
    <row r="706" spans="1:1" ht="12.75">
      <c r="A706" s="50"/>
    </row>
    <row r="707" spans="1:1" ht="12.75">
      <c r="A707" s="50"/>
    </row>
    <row r="708" spans="1:1" ht="12.75">
      <c r="A708" s="50"/>
    </row>
    <row r="709" spans="1:1" ht="12.75">
      <c r="A709" s="50"/>
    </row>
    <row r="710" spans="1:1" ht="12.75">
      <c r="A710" s="50"/>
    </row>
    <row r="711" spans="1:1" ht="12.75">
      <c r="A711" s="50"/>
    </row>
    <row r="712" spans="1:1" ht="12.75">
      <c r="A712" s="50"/>
    </row>
    <row r="713" spans="1:1" ht="12.75">
      <c r="A713" s="50"/>
    </row>
    <row r="714" spans="1:1" ht="12.75">
      <c r="A714" s="50"/>
    </row>
    <row r="715" spans="1:1" ht="12.75">
      <c r="A715" s="50"/>
    </row>
    <row r="716" spans="1:1" ht="12.75">
      <c r="A716" s="50"/>
    </row>
    <row r="717" spans="1:1" ht="12.75">
      <c r="A717" s="50"/>
    </row>
    <row r="718" spans="1:1" ht="12.75">
      <c r="A718" s="50"/>
    </row>
    <row r="719" spans="1:1" ht="12.75">
      <c r="A719" s="50"/>
    </row>
    <row r="720" spans="1:1" ht="12.75">
      <c r="A720" s="50"/>
    </row>
    <row r="721" spans="1:1" ht="12.75">
      <c r="A721" s="50"/>
    </row>
    <row r="722" spans="1:1" ht="12.75">
      <c r="A722" s="50"/>
    </row>
    <row r="723" spans="1:1" ht="12.75">
      <c r="A723" s="50"/>
    </row>
    <row r="724" spans="1:1" ht="12.75">
      <c r="A724" s="50"/>
    </row>
    <row r="725" spans="1:1" ht="12.75">
      <c r="A725" s="50"/>
    </row>
    <row r="726" spans="1:1" ht="12.75">
      <c r="A726" s="50"/>
    </row>
    <row r="727" spans="1:1" ht="12.75">
      <c r="A727" s="50"/>
    </row>
    <row r="728" spans="1:1" ht="12.75">
      <c r="A728" s="50"/>
    </row>
    <row r="729" spans="1:1" ht="12.75">
      <c r="A729" s="50"/>
    </row>
    <row r="730" spans="1:1" ht="12.75">
      <c r="A730" s="50"/>
    </row>
    <row r="731" spans="1:1" ht="12.75">
      <c r="A731" s="50"/>
    </row>
    <row r="732" spans="1:1" ht="12.75">
      <c r="A732" s="50"/>
    </row>
    <row r="733" spans="1:1" ht="12.75">
      <c r="A733" s="50"/>
    </row>
    <row r="734" spans="1:1" ht="12.75">
      <c r="A734" s="50"/>
    </row>
    <row r="735" spans="1:1" ht="12.75">
      <c r="A735" s="50"/>
    </row>
    <row r="736" spans="1:1" ht="12.75">
      <c r="A736" s="50"/>
    </row>
    <row r="737" spans="1:1" ht="12.75">
      <c r="A737" s="50"/>
    </row>
    <row r="738" spans="1:1" ht="12.75">
      <c r="A738" s="50"/>
    </row>
    <row r="739" spans="1:1" ht="12.75">
      <c r="A739" s="50"/>
    </row>
    <row r="740" spans="1:1" ht="12.75">
      <c r="A740" s="50"/>
    </row>
    <row r="741" spans="1:1" ht="12.75">
      <c r="A741" s="50"/>
    </row>
    <row r="742" spans="1:1" ht="12.75">
      <c r="A742" s="50"/>
    </row>
    <row r="743" spans="1:1" ht="12.75">
      <c r="A743" s="50"/>
    </row>
    <row r="744" spans="1:1" ht="12.75">
      <c r="A744" s="50"/>
    </row>
    <row r="745" spans="1:1" ht="12.75">
      <c r="A745" s="50"/>
    </row>
    <row r="746" spans="1:1" ht="12.75">
      <c r="A746" s="50"/>
    </row>
    <row r="747" spans="1:1" ht="12.75">
      <c r="A747" s="50"/>
    </row>
    <row r="748" spans="1:1" ht="12.75">
      <c r="A748" s="50"/>
    </row>
    <row r="749" spans="1:1" ht="12.75">
      <c r="A749" s="50"/>
    </row>
    <row r="750" spans="1:1" ht="12.75">
      <c r="A750" s="50"/>
    </row>
    <row r="751" spans="1:1" ht="12.75">
      <c r="A751" s="50"/>
    </row>
    <row r="752" spans="1:1" ht="12.75">
      <c r="A752" s="50"/>
    </row>
    <row r="753" spans="1:1" ht="12.75">
      <c r="A753" s="50"/>
    </row>
    <row r="754" spans="1:1" ht="12.75">
      <c r="A754" s="50"/>
    </row>
    <row r="755" spans="1:1" ht="12.75">
      <c r="A755" s="50"/>
    </row>
    <row r="756" spans="1:1" ht="12.75">
      <c r="A756" s="50"/>
    </row>
    <row r="757" spans="1:1" ht="12.75">
      <c r="A757" s="50"/>
    </row>
    <row r="758" spans="1:1" ht="12.75">
      <c r="A758" s="50"/>
    </row>
    <row r="759" spans="1:1" ht="12.75">
      <c r="A759" s="50"/>
    </row>
    <row r="760" spans="1:1" ht="12.75">
      <c r="A760" s="50"/>
    </row>
    <row r="761" spans="1:1" ht="12.75">
      <c r="A761" s="50"/>
    </row>
    <row r="762" spans="1:1" ht="12.75">
      <c r="A762" s="50"/>
    </row>
    <row r="763" spans="1:1" ht="12.75">
      <c r="A763" s="50"/>
    </row>
    <row r="764" spans="1:1" ht="12.75">
      <c r="A764" s="50"/>
    </row>
    <row r="765" spans="1:1" ht="12.75">
      <c r="A765" s="50"/>
    </row>
    <row r="766" spans="1:1" ht="12.75">
      <c r="A766" s="50"/>
    </row>
    <row r="767" spans="1:1" ht="12.75">
      <c r="A767" s="50"/>
    </row>
    <row r="768" spans="1:1" ht="12.75">
      <c r="A768" s="50"/>
    </row>
    <row r="769" spans="1:1" ht="12.75">
      <c r="A769" s="50"/>
    </row>
    <row r="770" spans="1:1" ht="12.75">
      <c r="A770" s="50"/>
    </row>
    <row r="771" spans="1:1" ht="12.75">
      <c r="A771" s="50"/>
    </row>
    <row r="772" spans="1:1" ht="12.75">
      <c r="A772" s="50"/>
    </row>
    <row r="773" spans="1:1" ht="12.75">
      <c r="A773" s="50"/>
    </row>
    <row r="774" spans="1:1" ht="12.75">
      <c r="A774" s="50"/>
    </row>
    <row r="775" spans="1:1" ht="12.75">
      <c r="A775" s="50"/>
    </row>
    <row r="776" spans="1:1" ht="12.75">
      <c r="A776" s="50"/>
    </row>
    <row r="777" spans="1:1" ht="12.75">
      <c r="A777" s="50"/>
    </row>
    <row r="778" spans="1:1" ht="12.75">
      <c r="A778" s="50"/>
    </row>
    <row r="779" spans="1:1" ht="12.75">
      <c r="A779" s="50"/>
    </row>
    <row r="780" spans="1:1" ht="12.75">
      <c r="A780" s="50"/>
    </row>
    <row r="781" spans="1:1" ht="12.75">
      <c r="A781" s="50"/>
    </row>
    <row r="782" spans="1:1" ht="12.75">
      <c r="A782" s="50"/>
    </row>
    <row r="783" spans="1:1" ht="12.75">
      <c r="A783" s="50"/>
    </row>
    <row r="784" spans="1:1" ht="12.75">
      <c r="A784" s="50"/>
    </row>
    <row r="785" spans="1:1" ht="12.75">
      <c r="A785" s="50"/>
    </row>
    <row r="786" spans="1:1" ht="12.75">
      <c r="A786" s="50"/>
    </row>
    <row r="787" spans="1:1" ht="12.75">
      <c r="A787" s="50"/>
    </row>
    <row r="788" spans="1:1" ht="12.75">
      <c r="A788" s="50"/>
    </row>
    <row r="789" spans="1:1" ht="12.75">
      <c r="A789" s="50"/>
    </row>
    <row r="790" spans="1:1" ht="12.75">
      <c r="A790" s="50"/>
    </row>
    <row r="791" spans="1:1" ht="12.75">
      <c r="A791" s="50"/>
    </row>
    <row r="792" spans="1:1" ht="12.75">
      <c r="A792" s="50"/>
    </row>
    <row r="793" spans="1:1" ht="12.75">
      <c r="A793" s="50"/>
    </row>
    <row r="794" spans="1:1" ht="12.75">
      <c r="A794" s="50"/>
    </row>
    <row r="795" spans="1:1" ht="12.75">
      <c r="A795" s="50"/>
    </row>
    <row r="796" spans="1:1" ht="12.75">
      <c r="A796" s="50"/>
    </row>
    <row r="797" spans="1:1" ht="12.75">
      <c r="A797" s="50"/>
    </row>
    <row r="798" spans="1:1" ht="12.75">
      <c r="A798" s="50"/>
    </row>
    <row r="799" spans="1:1" ht="12.75">
      <c r="A799" s="50"/>
    </row>
    <row r="800" spans="1:1" ht="12.75">
      <c r="A800" s="50"/>
    </row>
    <row r="801" spans="1:1" ht="12.75">
      <c r="A801" s="50"/>
    </row>
    <row r="802" spans="1:1" ht="12.75">
      <c r="A802" s="50"/>
    </row>
    <row r="803" spans="1:1" ht="12.75">
      <c r="A803" s="50"/>
    </row>
    <row r="804" spans="1:1" ht="12.75">
      <c r="A804" s="50"/>
    </row>
    <row r="805" spans="1:1" ht="12.75">
      <c r="A805" s="50"/>
    </row>
    <row r="806" spans="1:1" ht="12.75">
      <c r="A806" s="50"/>
    </row>
    <row r="807" spans="1:1" ht="12.75">
      <c r="A807" s="50"/>
    </row>
    <row r="808" spans="1:1" ht="12.75">
      <c r="A808" s="50"/>
    </row>
    <row r="809" spans="1:1" ht="12.75">
      <c r="A809" s="50"/>
    </row>
    <row r="810" spans="1:1" ht="12.75">
      <c r="A810" s="50"/>
    </row>
    <row r="811" spans="1:1" ht="12.75">
      <c r="A811" s="50"/>
    </row>
    <row r="812" spans="1:1" ht="12.75">
      <c r="A812" s="50"/>
    </row>
    <row r="813" spans="1:1" ht="12.75">
      <c r="A813" s="50"/>
    </row>
    <row r="814" spans="1:1" ht="12.75">
      <c r="A814" s="50"/>
    </row>
    <row r="815" spans="1:1" ht="12.75">
      <c r="A815" s="50"/>
    </row>
    <row r="816" spans="1:1" ht="12.75">
      <c r="A816" s="50"/>
    </row>
    <row r="817" spans="1:1" ht="12.75">
      <c r="A817" s="50"/>
    </row>
    <row r="818" spans="1:1" ht="12.75">
      <c r="A818" s="50"/>
    </row>
    <row r="819" spans="1:1" ht="12.75">
      <c r="A819" s="50"/>
    </row>
    <row r="820" spans="1:1" ht="12.75">
      <c r="A820" s="50"/>
    </row>
    <row r="821" spans="1:1" ht="12.75">
      <c r="A821" s="50"/>
    </row>
    <row r="822" spans="1:1" ht="12.75">
      <c r="A822" s="50"/>
    </row>
    <row r="823" spans="1:1" ht="12.75">
      <c r="A823" s="50"/>
    </row>
    <row r="824" spans="1:1" ht="12.75">
      <c r="A824" s="50"/>
    </row>
    <row r="825" spans="1:1" ht="12.75">
      <c r="A825" s="50"/>
    </row>
    <row r="826" spans="1:1" ht="12.75">
      <c r="A826" s="50"/>
    </row>
    <row r="827" spans="1:1" ht="12.75">
      <c r="A827" s="50"/>
    </row>
    <row r="828" spans="1:1" ht="12.75">
      <c r="A828" s="50"/>
    </row>
    <row r="829" spans="1:1" ht="12.75">
      <c r="A829" s="50"/>
    </row>
    <row r="830" spans="1:1" ht="12.75">
      <c r="A830" s="50"/>
    </row>
    <row r="831" spans="1:1" ht="12.75">
      <c r="A831" s="50"/>
    </row>
    <row r="832" spans="1:1" ht="12.75">
      <c r="A832" s="50"/>
    </row>
    <row r="833" spans="1:1" ht="12.75">
      <c r="A833" s="50"/>
    </row>
    <row r="834" spans="1:1" ht="12.75">
      <c r="A834" s="50"/>
    </row>
    <row r="835" spans="1:1" ht="12.75">
      <c r="A835" s="50"/>
    </row>
    <row r="836" spans="1:1" ht="12.75">
      <c r="A836" s="50"/>
    </row>
    <row r="837" spans="1:1" ht="12.75">
      <c r="A837" s="50"/>
    </row>
    <row r="838" spans="1:1" ht="12.75">
      <c r="A838" s="50"/>
    </row>
    <row r="839" spans="1:1" ht="12.75">
      <c r="A839" s="50"/>
    </row>
    <row r="840" spans="1:1" ht="12.75">
      <c r="A840" s="50"/>
    </row>
    <row r="841" spans="1:1" ht="12.75">
      <c r="A841" s="50"/>
    </row>
    <row r="842" spans="1:1" ht="12.75">
      <c r="A842" s="50"/>
    </row>
    <row r="843" spans="1:1" ht="12.75">
      <c r="A843" s="50"/>
    </row>
    <row r="844" spans="1:1" ht="12.75">
      <c r="A844" s="50"/>
    </row>
    <row r="845" spans="1:1" ht="12.75">
      <c r="A845" s="50"/>
    </row>
    <row r="846" spans="1:1" ht="12.75">
      <c r="A846" s="50"/>
    </row>
    <row r="847" spans="1:1" ht="12.75">
      <c r="A847" s="50"/>
    </row>
    <row r="848" spans="1:1" ht="12.75">
      <c r="A848" s="50"/>
    </row>
    <row r="849" spans="1:1" ht="12.75">
      <c r="A849" s="50"/>
    </row>
    <row r="850" spans="1:1" ht="12.75">
      <c r="A850" s="50"/>
    </row>
    <row r="851" spans="1:1" ht="12.75">
      <c r="A851" s="50"/>
    </row>
    <row r="852" spans="1:1" ht="12.75">
      <c r="A852" s="50"/>
    </row>
    <row r="853" spans="1:1" ht="12.75">
      <c r="A853" s="50"/>
    </row>
    <row r="854" spans="1:1" ht="12.75">
      <c r="A854" s="50"/>
    </row>
    <row r="855" spans="1:1" ht="12.75">
      <c r="A855" s="50"/>
    </row>
    <row r="856" spans="1:1" ht="12.75">
      <c r="A856" s="50"/>
    </row>
    <row r="857" spans="1:1" ht="12.75">
      <c r="A857" s="50"/>
    </row>
    <row r="858" spans="1:1" ht="12.75">
      <c r="A858" s="50"/>
    </row>
    <row r="859" spans="1:1" ht="12.75">
      <c r="A859" s="50"/>
    </row>
    <row r="860" spans="1:1" ht="12.75">
      <c r="A860" s="50"/>
    </row>
    <row r="861" spans="1:1" ht="12.75">
      <c r="A861" s="50"/>
    </row>
    <row r="862" spans="1:1" ht="12.75">
      <c r="A862" s="50"/>
    </row>
    <row r="863" spans="1:1" ht="12.75">
      <c r="A863" s="50"/>
    </row>
    <row r="864" spans="1:1" ht="12.75">
      <c r="A864" s="50"/>
    </row>
    <row r="865" spans="1:1" ht="12.75">
      <c r="A865" s="50"/>
    </row>
    <row r="866" spans="1:1" ht="12.75">
      <c r="A866" s="50"/>
    </row>
    <row r="867" spans="1:1" ht="12.75">
      <c r="A867" s="50"/>
    </row>
    <row r="868" spans="1:1" ht="12.75">
      <c r="A868" s="50"/>
    </row>
    <row r="869" spans="1:1" ht="12.75">
      <c r="A869" s="50"/>
    </row>
    <row r="870" spans="1:1" ht="12.75">
      <c r="A870" s="50"/>
    </row>
    <row r="871" spans="1:1" ht="12.75">
      <c r="A871" s="50"/>
    </row>
    <row r="872" spans="1:1" ht="12.75">
      <c r="A872" s="50"/>
    </row>
    <row r="873" spans="1:1" ht="12.75">
      <c r="A873" s="50"/>
    </row>
    <row r="874" spans="1:1" ht="12.75">
      <c r="A874" s="50"/>
    </row>
    <row r="875" spans="1:1" ht="12.75">
      <c r="A875" s="50"/>
    </row>
    <row r="876" spans="1:1" ht="12.75">
      <c r="A876" s="50"/>
    </row>
    <row r="877" spans="1:1" ht="12.75">
      <c r="A877" s="50"/>
    </row>
    <row r="878" spans="1:1" ht="12.75">
      <c r="A878" s="50"/>
    </row>
    <row r="879" spans="1:1" ht="12.75">
      <c r="A879" s="50"/>
    </row>
    <row r="880" spans="1:1" ht="12.75">
      <c r="A880" s="50"/>
    </row>
    <row r="881" spans="1:1" ht="12.75">
      <c r="A881" s="50"/>
    </row>
    <row r="882" spans="1:1" ht="12.75">
      <c r="A882" s="50"/>
    </row>
    <row r="883" spans="1:1" ht="12.75">
      <c r="A883" s="50"/>
    </row>
    <row r="884" spans="1:1" ht="12.75">
      <c r="A884" s="50"/>
    </row>
    <row r="885" spans="1:1" ht="12.75">
      <c r="A885" s="50"/>
    </row>
    <row r="886" spans="1:1" ht="12.75">
      <c r="A886" s="50"/>
    </row>
    <row r="887" spans="1:1" ht="12.75">
      <c r="A887" s="50"/>
    </row>
    <row r="888" spans="1:1" ht="12.75">
      <c r="A888" s="50"/>
    </row>
    <row r="889" spans="1:1" ht="12.75">
      <c r="A889" s="50"/>
    </row>
    <row r="890" spans="1:1" ht="12.75">
      <c r="A890" s="50"/>
    </row>
    <row r="891" spans="1:1" ht="12.75">
      <c r="A891" s="50"/>
    </row>
    <row r="892" spans="1:1" ht="12.75">
      <c r="A892" s="50"/>
    </row>
    <row r="893" spans="1:1" ht="12.75">
      <c r="A893" s="50"/>
    </row>
    <row r="894" spans="1:1" ht="12.75">
      <c r="A894" s="50"/>
    </row>
    <row r="895" spans="1:1" ht="12.75">
      <c r="A895" s="50"/>
    </row>
    <row r="896" spans="1:1" ht="12.75">
      <c r="A896" s="50"/>
    </row>
    <row r="897" spans="1:1" ht="12.75">
      <c r="A897" s="50"/>
    </row>
    <row r="898" spans="1:1" ht="12.75">
      <c r="A898" s="50"/>
    </row>
    <row r="899" spans="1:1" ht="12.75">
      <c r="A899" s="50"/>
    </row>
    <row r="900" spans="1:1" ht="12.75">
      <c r="A900" s="50"/>
    </row>
    <row r="901" spans="1:1" ht="12.75">
      <c r="A901" s="50"/>
    </row>
    <row r="902" spans="1:1" ht="12.75">
      <c r="A902" s="50"/>
    </row>
    <row r="903" spans="1:1" ht="12.75">
      <c r="A903" s="50"/>
    </row>
    <row r="904" spans="1:1" ht="12.75">
      <c r="A904" s="50"/>
    </row>
    <row r="905" spans="1:1" ht="12.75">
      <c r="A905" s="50"/>
    </row>
    <row r="906" spans="1:1" ht="12.75">
      <c r="A906" s="50"/>
    </row>
    <row r="907" spans="1:1" ht="12.75">
      <c r="A907" s="50"/>
    </row>
    <row r="908" spans="1:1" ht="12.75">
      <c r="A908" s="50"/>
    </row>
    <row r="909" spans="1:1" ht="12.75">
      <c r="A909" s="50"/>
    </row>
    <row r="910" spans="1:1" ht="12.75">
      <c r="A910" s="50"/>
    </row>
    <row r="911" spans="1:1" ht="12.75">
      <c r="A911" s="50"/>
    </row>
    <row r="912" spans="1:1" ht="12.75">
      <c r="A912" s="50"/>
    </row>
    <row r="913" spans="1:1" ht="12.75">
      <c r="A913" s="50"/>
    </row>
    <row r="914" spans="1:1" ht="12.75">
      <c r="A914" s="50"/>
    </row>
    <row r="915" spans="1:1" ht="12.75">
      <c r="A915" s="50"/>
    </row>
    <row r="916" spans="1:1" ht="12.75">
      <c r="A916" s="50"/>
    </row>
    <row r="917" spans="1:1" ht="12.75">
      <c r="A917" s="50"/>
    </row>
    <row r="918" spans="1:1" ht="12.75">
      <c r="A918" s="50"/>
    </row>
    <row r="919" spans="1:1" ht="12.75">
      <c r="A919" s="50"/>
    </row>
    <row r="920" spans="1:1" ht="12.75">
      <c r="A920" s="50"/>
    </row>
    <row r="921" spans="1:1" ht="12.75">
      <c r="A921" s="50"/>
    </row>
    <row r="922" spans="1:1" ht="12.75">
      <c r="A922" s="50"/>
    </row>
    <row r="923" spans="1:1" ht="12.75">
      <c r="A923" s="50"/>
    </row>
    <row r="924" spans="1:1" ht="12.75">
      <c r="A924" s="50"/>
    </row>
    <row r="925" spans="1:1" ht="12.75">
      <c r="A925" s="50"/>
    </row>
    <row r="926" spans="1:1" ht="12.75">
      <c r="A926" s="50"/>
    </row>
    <row r="927" spans="1:1" ht="12.75">
      <c r="A927" s="50"/>
    </row>
    <row r="928" spans="1:1" ht="12.75">
      <c r="A928" s="50"/>
    </row>
    <row r="929" spans="1:1" ht="12.75">
      <c r="A929" s="50"/>
    </row>
    <row r="930" spans="1:1" ht="12.75">
      <c r="A930" s="50"/>
    </row>
    <row r="931" spans="1:1" ht="12.75">
      <c r="A931" s="50"/>
    </row>
    <row r="932" spans="1:1" ht="12.75">
      <c r="A932" s="50"/>
    </row>
    <row r="933" spans="1:1" ht="12.75">
      <c r="A933" s="50"/>
    </row>
    <row r="934" spans="1:1" ht="12.75">
      <c r="A934" s="50"/>
    </row>
    <row r="935" spans="1:1" ht="12.75">
      <c r="A935" s="50"/>
    </row>
    <row r="936" spans="1:1" ht="12.75">
      <c r="A936" s="50"/>
    </row>
    <row r="937" spans="1:1" ht="12.75">
      <c r="A937" s="50"/>
    </row>
    <row r="938" spans="1:1" ht="12.75">
      <c r="A938" s="50"/>
    </row>
    <row r="939" spans="1:1" ht="12.75">
      <c r="A939" s="50"/>
    </row>
    <row r="940" spans="1:1" ht="12.75">
      <c r="A940" s="50"/>
    </row>
    <row r="941" spans="1:1" ht="12.75">
      <c r="A941" s="50"/>
    </row>
    <row r="942" spans="1:1" ht="12.75">
      <c r="A942" s="50"/>
    </row>
    <row r="943" spans="1:1" ht="12.75">
      <c r="A943" s="50"/>
    </row>
    <row r="944" spans="1:1" ht="12.75">
      <c r="A944" s="50"/>
    </row>
    <row r="945" spans="1:1" ht="12.75">
      <c r="A945" s="50"/>
    </row>
    <row r="946" spans="1:1" ht="12.75">
      <c r="A946" s="50"/>
    </row>
    <row r="947" spans="1:1" ht="12.75">
      <c r="A947" s="50"/>
    </row>
    <row r="948" spans="1:1" ht="12.75">
      <c r="A948" s="50"/>
    </row>
    <row r="949" spans="1:1" ht="12.75">
      <c r="A949" s="50"/>
    </row>
    <row r="950" spans="1:1" ht="12.75">
      <c r="A950" s="50"/>
    </row>
    <row r="951" spans="1:1" ht="12.75">
      <c r="A951" s="50"/>
    </row>
    <row r="952" spans="1:1" ht="12.75">
      <c r="A952" s="50"/>
    </row>
    <row r="953" spans="1:1" ht="12.75">
      <c r="A953" s="50"/>
    </row>
    <row r="954" spans="1:1" ht="12.75">
      <c r="A954" s="50"/>
    </row>
    <row r="955" spans="1:1" ht="12.75">
      <c r="A955" s="50"/>
    </row>
    <row r="956" spans="1:1" ht="12.75">
      <c r="A956" s="50"/>
    </row>
    <row r="957" spans="1:1" ht="12.75">
      <c r="A957" s="50"/>
    </row>
    <row r="958" spans="1:1" ht="12.75">
      <c r="A958" s="50"/>
    </row>
    <row r="959" spans="1:1" ht="12.75">
      <c r="A959" s="50"/>
    </row>
    <row r="960" spans="1:1" ht="12.75">
      <c r="A960" s="50"/>
    </row>
    <row r="961" spans="1:1" ht="12.75">
      <c r="A961" s="50"/>
    </row>
    <row r="962" spans="1:1" ht="12.75">
      <c r="A962" s="50"/>
    </row>
    <row r="963" spans="1:1" ht="12.75">
      <c r="A963" s="50"/>
    </row>
    <row r="964" spans="1:1" ht="12.75">
      <c r="A964" s="50"/>
    </row>
    <row r="965" spans="1:1" ht="12.75">
      <c r="A965" s="50"/>
    </row>
    <row r="966" spans="1:1" ht="12.75">
      <c r="A966" s="50"/>
    </row>
    <row r="967" spans="1:1" ht="12.75">
      <c r="A967" s="50"/>
    </row>
    <row r="968" spans="1:1" ht="12.75">
      <c r="A968" s="50"/>
    </row>
    <row r="969" spans="1:1" ht="12.75">
      <c r="A969" s="50"/>
    </row>
    <row r="970" spans="1:1" ht="12.75">
      <c r="A970" s="50"/>
    </row>
    <row r="971" spans="1:1" ht="12.75">
      <c r="A971" s="50"/>
    </row>
    <row r="972" spans="1:1" ht="12.75">
      <c r="A972" s="50"/>
    </row>
    <row r="973" spans="1:1" ht="12.75">
      <c r="A973" s="50"/>
    </row>
    <row r="974" spans="1:1" ht="12.75">
      <c r="A974" s="50"/>
    </row>
    <row r="975" spans="1:1" ht="12.75">
      <c r="A975" s="50"/>
    </row>
    <row r="976" spans="1:1" ht="12.75">
      <c r="A976" s="50"/>
    </row>
    <row r="977" spans="1:1" ht="12.75">
      <c r="A977" s="50"/>
    </row>
    <row r="978" spans="1:1" ht="12.75">
      <c r="A978" s="50"/>
    </row>
    <row r="979" spans="1:1" ht="12.75">
      <c r="A979" s="50"/>
    </row>
    <row r="980" spans="1:1" ht="12.75">
      <c r="A980" s="50"/>
    </row>
    <row r="981" spans="1:1" ht="12.75">
      <c r="A981" s="50"/>
    </row>
    <row r="982" spans="1:1" ht="12.75">
      <c r="A982" s="50"/>
    </row>
    <row r="983" spans="1:1" ht="12.75">
      <c r="A983" s="50"/>
    </row>
    <row r="984" spans="1:1" ht="12.75">
      <c r="A984" s="50"/>
    </row>
    <row r="985" spans="1:1" ht="12.75">
      <c r="A985" s="50"/>
    </row>
    <row r="986" spans="1:1" ht="12.75">
      <c r="A986" s="50"/>
    </row>
    <row r="987" spans="1:1" ht="12.75">
      <c r="A987" s="50"/>
    </row>
    <row r="988" spans="1:1" ht="12.75">
      <c r="A988" s="50"/>
    </row>
    <row r="989" spans="1:1" ht="12.75">
      <c r="A989" s="50"/>
    </row>
    <row r="990" spans="1:1" ht="12.75">
      <c r="A990" s="50"/>
    </row>
    <row r="991" spans="1:1" ht="12.75">
      <c r="A991" s="50"/>
    </row>
    <row r="992" spans="1:1" ht="12.75">
      <c r="A992" s="50"/>
    </row>
    <row r="993" spans="1:1" ht="12.75">
      <c r="A993" s="50"/>
    </row>
    <row r="994" spans="1:1" ht="12.75">
      <c r="A994" s="50"/>
    </row>
    <row r="995" spans="1:1" ht="12.75">
      <c r="A995" s="50"/>
    </row>
    <row r="996" spans="1:1" ht="12.75">
      <c r="A996" s="50"/>
    </row>
    <row r="997" spans="1:1" ht="12.75">
      <c r="A997" s="50"/>
    </row>
    <row r="998" spans="1:1" ht="12.75">
      <c r="A998" s="50"/>
    </row>
    <row r="999" spans="1:1" ht="12.75">
      <c r="A999" s="50"/>
    </row>
    <row r="1000" spans="1:1" ht="12.75">
      <c r="A1000" s="50"/>
    </row>
    <row r="1001" spans="1:1" ht="12.75">
      <c r="A1001" s="50"/>
    </row>
    <row r="1002" spans="1:1" ht="12.75">
      <c r="A1002" s="50"/>
    </row>
  </sheetData>
  <mergeCells count="2">
    <mergeCell ref="A1:B1"/>
    <mergeCell ref="C1:E1"/>
  </mergeCells>
  <pageMargins left="0.7" right="0.7" top="0.75" bottom="0.75" header="0.3" footer="0.3"/>
  <headerFooter>
    <oddHeader>&amp;C&amp;"Calibri"&amp;10&amp;K000000 Public&amp;1#_x000D_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0"/>
  <sheetViews>
    <sheetView workbookViewId="0">
      <pane xSplit="5" ySplit="2" topLeftCell="F3" activePane="bottomRight" state="frozen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defaultColWidth="12.5703125" defaultRowHeight="15.75" customHeight="1"/>
  <cols>
    <col min="1" max="1" width="12.28515625" customWidth="1"/>
    <col min="12" max="12" width="15.28515625" customWidth="1"/>
    <col min="24" max="24" width="13.85546875" customWidth="1"/>
  </cols>
  <sheetData>
    <row r="1" spans="1:26" ht="32.25" customHeight="1">
      <c r="A1" s="5"/>
      <c r="B1" s="4"/>
      <c r="C1" s="119" t="s">
        <v>85</v>
      </c>
      <c r="D1" s="116"/>
      <c r="E1" s="11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  <c r="Y1" s="42"/>
      <c r="Z1" s="42"/>
    </row>
    <row r="2" spans="1:26" ht="45.75">
      <c r="A2" s="57" t="s">
        <v>1</v>
      </c>
      <c r="B2" s="57" t="s">
        <v>2</v>
      </c>
      <c r="C2" s="57" t="s">
        <v>3</v>
      </c>
      <c r="D2" s="58" t="s">
        <v>4</v>
      </c>
      <c r="E2" s="57" t="s">
        <v>5</v>
      </c>
      <c r="F2" s="57" t="s">
        <v>6</v>
      </c>
      <c r="G2" s="57" t="s">
        <v>7</v>
      </c>
      <c r="H2" s="59" t="s">
        <v>8</v>
      </c>
      <c r="I2" s="57" t="s">
        <v>9</v>
      </c>
      <c r="J2" s="57" t="s">
        <v>10</v>
      </c>
      <c r="K2" s="59" t="s">
        <v>11</v>
      </c>
      <c r="L2" s="57" t="s">
        <v>12</v>
      </c>
      <c r="M2" s="57" t="s">
        <v>13</v>
      </c>
      <c r="N2" s="57" t="s">
        <v>14</v>
      </c>
      <c r="O2" s="59" t="s">
        <v>15</v>
      </c>
      <c r="P2" s="59" t="s">
        <v>16</v>
      </c>
      <c r="Q2" s="59" t="s">
        <v>17</v>
      </c>
      <c r="R2" s="59" t="s">
        <v>18</v>
      </c>
      <c r="S2" s="59" t="s">
        <v>19</v>
      </c>
      <c r="T2" s="59" t="s">
        <v>20</v>
      </c>
      <c r="U2" s="60" t="s">
        <v>21</v>
      </c>
      <c r="V2" s="59" t="s">
        <v>22</v>
      </c>
      <c r="W2" s="59" t="s">
        <v>23</v>
      </c>
      <c r="X2" s="57" t="s">
        <v>24</v>
      </c>
      <c r="Y2" s="42"/>
      <c r="Z2" s="42"/>
    </row>
    <row r="3" spans="1:26" ht="15">
      <c r="A3" s="9">
        <v>1</v>
      </c>
      <c r="B3" s="10">
        <v>44795</v>
      </c>
      <c r="C3" s="25" t="s">
        <v>25</v>
      </c>
      <c r="D3" s="11" t="s">
        <v>26</v>
      </c>
      <c r="E3" s="11" t="s">
        <v>27</v>
      </c>
      <c r="F3" s="12">
        <v>2264</v>
      </c>
      <c r="G3" s="13">
        <v>2264</v>
      </c>
      <c r="H3" s="14">
        <f t="shared" ref="H3:H18" si="0">IFERROR(G3/F3,0)</f>
        <v>1</v>
      </c>
      <c r="I3" s="15">
        <v>0</v>
      </c>
      <c r="J3" s="15">
        <v>0</v>
      </c>
      <c r="K3" s="16">
        <f t="shared" ref="K3:K18" si="1">G3-I3-J3</f>
        <v>2264</v>
      </c>
      <c r="L3" s="12">
        <f>77863*5000</f>
        <v>389315000</v>
      </c>
      <c r="M3" s="13">
        <v>0</v>
      </c>
      <c r="N3" s="13">
        <v>0</v>
      </c>
      <c r="O3" s="17">
        <f t="shared" ref="O3:O18" si="2">N3+M3</f>
        <v>0</v>
      </c>
      <c r="P3" s="17">
        <f t="shared" ref="P3:P18" si="3">M3-N3</f>
        <v>0</v>
      </c>
      <c r="Q3" s="16">
        <f t="shared" ref="Q3:Q18" si="4">IFERROR(L3-N3-M3,0)</f>
        <v>389315000</v>
      </c>
      <c r="R3" s="18">
        <f t="shared" ref="R3:R18" si="5">IFERROR((K3/G3),0)</f>
        <v>1</v>
      </c>
      <c r="S3" s="18">
        <v>1</v>
      </c>
      <c r="T3" s="61">
        <v>1</v>
      </c>
      <c r="U3" s="19">
        <v>1E-3</v>
      </c>
      <c r="V3" s="20">
        <f t="shared" ref="V3:V18" si="6">IFERROR(I3/G3,0)</f>
        <v>0</v>
      </c>
      <c r="W3" s="20">
        <f t="shared" ref="W3:W18" si="7">IFERROR(J3/G3,0)</f>
        <v>0</v>
      </c>
      <c r="X3" s="11" t="s">
        <v>28</v>
      </c>
      <c r="Y3" s="42"/>
      <c r="Z3" s="42"/>
    </row>
    <row r="4" spans="1:26" ht="15">
      <c r="A4" s="9">
        <f t="shared" ref="A4:A17" si="8">A3+1</f>
        <v>2</v>
      </c>
      <c r="B4" s="10">
        <f t="shared" ref="B4:B17" si="9">B3</f>
        <v>44795</v>
      </c>
      <c r="C4" s="25" t="s">
        <v>65</v>
      </c>
      <c r="D4" s="11" t="s">
        <v>26</v>
      </c>
      <c r="E4" s="11" t="s">
        <v>27</v>
      </c>
      <c r="F4" s="12">
        <v>5344</v>
      </c>
      <c r="G4" s="13">
        <v>5344</v>
      </c>
      <c r="H4" s="14">
        <f t="shared" si="0"/>
        <v>1</v>
      </c>
      <c r="I4" s="15">
        <v>1</v>
      </c>
      <c r="J4" s="15">
        <v>6</v>
      </c>
      <c r="K4" s="16">
        <f t="shared" si="1"/>
        <v>5337</v>
      </c>
      <c r="L4" s="12">
        <v>1799019237</v>
      </c>
      <c r="M4" s="13">
        <v>3900</v>
      </c>
      <c r="N4" s="13">
        <v>251816</v>
      </c>
      <c r="O4" s="17">
        <f t="shared" si="2"/>
        <v>255716</v>
      </c>
      <c r="P4" s="17">
        <f t="shared" si="3"/>
        <v>-247916</v>
      </c>
      <c r="Q4" s="16">
        <f t="shared" si="4"/>
        <v>1798763521</v>
      </c>
      <c r="R4" s="18">
        <f t="shared" si="5"/>
        <v>0.99869011976047906</v>
      </c>
      <c r="S4" s="18">
        <f t="shared" ref="S4:S18" si="10">IFERROR(1-(O4/L4),0)</f>
        <v>0.99985785810693917</v>
      </c>
      <c r="T4" s="18">
        <f t="shared" ref="T4:T18" si="11">IFERROR(1-(P4/L4),0)</f>
        <v>1.0001378061973443</v>
      </c>
      <c r="U4" s="19">
        <v>1.5E-3</v>
      </c>
      <c r="V4" s="20">
        <f t="shared" si="6"/>
        <v>1.8712574850299402E-4</v>
      </c>
      <c r="W4" s="20">
        <f t="shared" si="7"/>
        <v>1.122754491017964E-3</v>
      </c>
      <c r="X4" s="11" t="s">
        <v>28</v>
      </c>
      <c r="Y4" s="42"/>
      <c r="Z4" s="42"/>
    </row>
    <row r="5" spans="1:26" ht="15">
      <c r="A5" s="9">
        <f t="shared" si="8"/>
        <v>3</v>
      </c>
      <c r="B5" s="10">
        <f t="shared" si="9"/>
        <v>44795</v>
      </c>
      <c r="C5" s="25" t="s">
        <v>66</v>
      </c>
      <c r="D5" s="11" t="s">
        <v>26</v>
      </c>
      <c r="E5" s="11" t="s">
        <v>27</v>
      </c>
      <c r="F5" s="27">
        <v>287</v>
      </c>
      <c r="G5" s="13">
        <v>287</v>
      </c>
      <c r="H5" s="14">
        <f t="shared" si="0"/>
        <v>1</v>
      </c>
      <c r="I5" s="15">
        <v>0</v>
      </c>
      <c r="J5" s="15">
        <v>0</v>
      </c>
      <c r="K5" s="16">
        <f t="shared" si="1"/>
        <v>287</v>
      </c>
      <c r="L5" s="26">
        <v>12779773</v>
      </c>
      <c r="M5" s="13">
        <v>0</v>
      </c>
      <c r="N5" s="13">
        <v>0</v>
      </c>
      <c r="O5" s="17">
        <f t="shared" si="2"/>
        <v>0</v>
      </c>
      <c r="P5" s="17">
        <f t="shared" si="3"/>
        <v>0</v>
      </c>
      <c r="Q5" s="16">
        <f t="shared" si="4"/>
        <v>12779773</v>
      </c>
      <c r="R5" s="18">
        <f t="shared" si="5"/>
        <v>1</v>
      </c>
      <c r="S5" s="18">
        <f t="shared" si="10"/>
        <v>1</v>
      </c>
      <c r="T5" s="18">
        <f t="shared" si="11"/>
        <v>1</v>
      </c>
      <c r="U5" s="19">
        <v>0</v>
      </c>
      <c r="V5" s="20">
        <f t="shared" si="6"/>
        <v>0</v>
      </c>
      <c r="W5" s="20">
        <f t="shared" si="7"/>
        <v>0</v>
      </c>
      <c r="X5" s="11" t="s">
        <v>28</v>
      </c>
      <c r="Y5" s="42"/>
      <c r="Z5" s="42"/>
    </row>
    <row r="6" spans="1:26" ht="15">
      <c r="A6" s="9">
        <f t="shared" si="8"/>
        <v>4</v>
      </c>
      <c r="B6" s="10">
        <f t="shared" si="9"/>
        <v>44795</v>
      </c>
      <c r="C6" s="25" t="s">
        <v>31</v>
      </c>
      <c r="D6" s="11" t="s">
        <v>26</v>
      </c>
      <c r="E6" s="11" t="s">
        <v>27</v>
      </c>
      <c r="F6" s="12">
        <v>577</v>
      </c>
      <c r="G6" s="13">
        <v>577</v>
      </c>
      <c r="H6" s="14">
        <f t="shared" si="0"/>
        <v>1</v>
      </c>
      <c r="I6" s="15">
        <v>0</v>
      </c>
      <c r="J6" s="15">
        <v>0</v>
      </c>
      <c r="K6" s="16">
        <f t="shared" si="1"/>
        <v>577</v>
      </c>
      <c r="L6" s="26">
        <v>198234317</v>
      </c>
      <c r="M6" s="13">
        <v>0</v>
      </c>
      <c r="N6" s="13">
        <v>0</v>
      </c>
      <c r="O6" s="17">
        <f t="shared" si="2"/>
        <v>0</v>
      </c>
      <c r="P6" s="17">
        <f t="shared" si="3"/>
        <v>0</v>
      </c>
      <c r="Q6" s="16">
        <f t="shared" si="4"/>
        <v>198234317</v>
      </c>
      <c r="R6" s="18">
        <f t="shared" si="5"/>
        <v>1</v>
      </c>
      <c r="S6" s="18">
        <f t="shared" si="10"/>
        <v>1</v>
      </c>
      <c r="T6" s="18">
        <f t="shared" si="11"/>
        <v>1</v>
      </c>
      <c r="U6" s="19">
        <v>1.5E-3</v>
      </c>
      <c r="V6" s="20">
        <f t="shared" si="6"/>
        <v>0</v>
      </c>
      <c r="W6" s="20">
        <f t="shared" si="7"/>
        <v>0</v>
      </c>
      <c r="X6" s="11" t="s">
        <v>28</v>
      </c>
      <c r="Y6" s="42"/>
      <c r="Z6" s="42"/>
    </row>
    <row r="7" spans="1:26" ht="34.5">
      <c r="A7" s="9">
        <f t="shared" si="8"/>
        <v>5</v>
      </c>
      <c r="B7" s="10">
        <f t="shared" si="9"/>
        <v>44795</v>
      </c>
      <c r="C7" s="25" t="s">
        <v>32</v>
      </c>
      <c r="D7" s="11" t="s">
        <v>26</v>
      </c>
      <c r="E7" s="11" t="s">
        <v>27</v>
      </c>
      <c r="F7" s="12">
        <v>2944</v>
      </c>
      <c r="G7" s="13">
        <v>2851</v>
      </c>
      <c r="H7" s="14">
        <f t="shared" si="0"/>
        <v>0.96841032608695654</v>
      </c>
      <c r="I7" s="15">
        <v>0</v>
      </c>
      <c r="J7" s="15">
        <v>1</v>
      </c>
      <c r="K7" s="16">
        <f t="shared" si="1"/>
        <v>2850</v>
      </c>
      <c r="L7" s="26">
        <v>544358760</v>
      </c>
      <c r="M7" s="13">
        <v>0</v>
      </c>
      <c r="N7" s="13">
        <v>44840</v>
      </c>
      <c r="O7" s="17">
        <f t="shared" si="2"/>
        <v>44840</v>
      </c>
      <c r="P7" s="17">
        <f t="shared" si="3"/>
        <v>-44840</v>
      </c>
      <c r="Q7" s="16">
        <f t="shared" si="4"/>
        <v>544313920</v>
      </c>
      <c r="R7" s="18">
        <f t="shared" si="5"/>
        <v>0.99964924587863913</v>
      </c>
      <c r="S7" s="18">
        <f t="shared" si="10"/>
        <v>0.99991762785263161</v>
      </c>
      <c r="T7" s="18">
        <f t="shared" si="11"/>
        <v>1.0000823721473684</v>
      </c>
      <c r="U7" s="19">
        <v>1.5E-3</v>
      </c>
      <c r="V7" s="20">
        <f t="shared" si="6"/>
        <v>0</v>
      </c>
      <c r="W7" s="20">
        <f t="shared" si="7"/>
        <v>3.5075412136092597E-4</v>
      </c>
      <c r="X7" s="11" t="s">
        <v>86</v>
      </c>
      <c r="Y7" s="42"/>
      <c r="Z7" s="42"/>
    </row>
    <row r="8" spans="1:26" ht="15">
      <c r="A8" s="9">
        <f t="shared" si="8"/>
        <v>6</v>
      </c>
      <c r="B8" s="10">
        <f t="shared" si="9"/>
        <v>44795</v>
      </c>
      <c r="C8" s="25" t="s">
        <v>34</v>
      </c>
      <c r="D8" s="11" t="s">
        <v>26</v>
      </c>
      <c r="E8" s="11" t="s">
        <v>27</v>
      </c>
      <c r="F8" s="12">
        <v>1804</v>
      </c>
      <c r="G8" s="12">
        <v>1804</v>
      </c>
      <c r="H8" s="14">
        <f t="shared" si="0"/>
        <v>1</v>
      </c>
      <c r="I8" s="15">
        <v>2</v>
      </c>
      <c r="J8" s="15">
        <v>5</v>
      </c>
      <c r="K8" s="16">
        <f t="shared" si="1"/>
        <v>1797</v>
      </c>
      <c r="L8" s="26">
        <v>826813</v>
      </c>
      <c r="M8" s="13">
        <v>0</v>
      </c>
      <c r="N8" s="13">
        <v>0</v>
      </c>
      <c r="O8" s="17">
        <f t="shared" si="2"/>
        <v>0</v>
      </c>
      <c r="P8" s="17">
        <f t="shared" si="3"/>
        <v>0</v>
      </c>
      <c r="Q8" s="16">
        <f t="shared" si="4"/>
        <v>826813</v>
      </c>
      <c r="R8" s="18">
        <f t="shared" si="5"/>
        <v>0.99611973392461195</v>
      </c>
      <c r="S8" s="18">
        <f t="shared" si="10"/>
        <v>1</v>
      </c>
      <c r="T8" s="18">
        <f t="shared" si="11"/>
        <v>1</v>
      </c>
      <c r="U8" s="19">
        <v>0</v>
      </c>
      <c r="V8" s="20">
        <f t="shared" si="6"/>
        <v>1.1086474501108647E-3</v>
      </c>
      <c r="W8" s="20">
        <f t="shared" si="7"/>
        <v>2.7716186252771621E-3</v>
      </c>
      <c r="X8" s="11" t="s">
        <v>28</v>
      </c>
      <c r="Y8" s="42"/>
      <c r="Z8" s="42"/>
    </row>
    <row r="9" spans="1:26" ht="15">
      <c r="A9" s="9">
        <f t="shared" si="8"/>
        <v>7</v>
      </c>
      <c r="B9" s="10">
        <f t="shared" si="9"/>
        <v>44795</v>
      </c>
      <c r="C9" s="25" t="s">
        <v>87</v>
      </c>
      <c r="D9" s="11" t="s">
        <v>26</v>
      </c>
      <c r="E9" s="11" t="s">
        <v>27</v>
      </c>
      <c r="F9" s="12">
        <v>1100</v>
      </c>
      <c r="G9" s="13">
        <v>1100</v>
      </c>
      <c r="H9" s="14">
        <f t="shared" si="0"/>
        <v>1</v>
      </c>
      <c r="I9" s="15">
        <v>1</v>
      </c>
      <c r="J9" s="15">
        <v>1</v>
      </c>
      <c r="K9" s="16">
        <f t="shared" si="1"/>
        <v>1098</v>
      </c>
      <c r="L9" s="26">
        <v>5969752.3020000001</v>
      </c>
      <c r="M9" s="13">
        <v>1128</v>
      </c>
      <c r="N9" s="13">
        <v>1038</v>
      </c>
      <c r="O9" s="17">
        <f t="shared" si="2"/>
        <v>2166</v>
      </c>
      <c r="P9" s="17">
        <f t="shared" si="3"/>
        <v>90</v>
      </c>
      <c r="Q9" s="16">
        <f t="shared" si="4"/>
        <v>5967586.3020000001</v>
      </c>
      <c r="R9" s="18">
        <f t="shared" si="5"/>
        <v>0.99818181818181817</v>
      </c>
      <c r="S9" s="18">
        <f t="shared" si="10"/>
        <v>0.99963717087570381</v>
      </c>
      <c r="T9" s="18">
        <f t="shared" si="11"/>
        <v>0.99998492399760541</v>
      </c>
      <c r="U9" s="19">
        <v>5.0000000000000001E-4</v>
      </c>
      <c r="V9" s="20">
        <f t="shared" si="6"/>
        <v>9.0909090909090909E-4</v>
      </c>
      <c r="W9" s="20">
        <f t="shared" si="7"/>
        <v>9.0909090909090909E-4</v>
      </c>
      <c r="X9" s="11" t="s">
        <v>28</v>
      </c>
      <c r="Y9" s="42"/>
      <c r="Z9" s="42"/>
    </row>
    <row r="10" spans="1:26" ht="15">
      <c r="A10" s="9">
        <f t="shared" si="8"/>
        <v>8</v>
      </c>
      <c r="B10" s="10">
        <f t="shared" si="9"/>
        <v>44795</v>
      </c>
      <c r="C10" s="25" t="s">
        <v>38</v>
      </c>
      <c r="D10" s="11" t="s">
        <v>26</v>
      </c>
      <c r="E10" s="11" t="s">
        <v>27</v>
      </c>
      <c r="F10" s="12">
        <v>1049</v>
      </c>
      <c r="G10" s="13">
        <v>1049</v>
      </c>
      <c r="H10" s="14">
        <f t="shared" si="0"/>
        <v>1</v>
      </c>
      <c r="I10" s="13">
        <v>0</v>
      </c>
      <c r="J10" s="13">
        <v>0</v>
      </c>
      <c r="K10" s="16">
        <f t="shared" si="1"/>
        <v>1049</v>
      </c>
      <c r="L10" s="26">
        <v>54822255</v>
      </c>
      <c r="M10" s="13">
        <v>0</v>
      </c>
      <c r="N10" s="13">
        <v>0</v>
      </c>
      <c r="O10" s="17">
        <f t="shared" si="2"/>
        <v>0</v>
      </c>
      <c r="P10" s="17">
        <f t="shared" si="3"/>
        <v>0</v>
      </c>
      <c r="Q10" s="16">
        <f t="shared" si="4"/>
        <v>54822255</v>
      </c>
      <c r="R10" s="18">
        <f t="shared" si="5"/>
        <v>1</v>
      </c>
      <c r="S10" s="18">
        <f t="shared" si="10"/>
        <v>1</v>
      </c>
      <c r="T10" s="18">
        <f t="shared" si="11"/>
        <v>1</v>
      </c>
      <c r="U10" s="19">
        <v>0</v>
      </c>
      <c r="V10" s="20">
        <f t="shared" si="6"/>
        <v>0</v>
      </c>
      <c r="W10" s="20">
        <f t="shared" si="7"/>
        <v>0</v>
      </c>
      <c r="X10" s="11" t="s">
        <v>28</v>
      </c>
      <c r="Y10" s="42"/>
      <c r="Z10" s="42"/>
    </row>
    <row r="11" spans="1:26" ht="15">
      <c r="A11" s="9">
        <f t="shared" si="8"/>
        <v>9</v>
      </c>
      <c r="B11" s="10">
        <f t="shared" si="9"/>
        <v>44795</v>
      </c>
      <c r="C11" s="25" t="s">
        <v>67</v>
      </c>
      <c r="D11" s="11" t="s">
        <v>26</v>
      </c>
      <c r="E11" s="11" t="s">
        <v>27</v>
      </c>
      <c r="F11" s="12">
        <v>431</v>
      </c>
      <c r="G11" s="13">
        <v>431</v>
      </c>
      <c r="H11" s="14">
        <f t="shared" si="0"/>
        <v>1</v>
      </c>
      <c r="I11" s="15">
        <v>0</v>
      </c>
      <c r="J11" s="15">
        <v>0</v>
      </c>
      <c r="K11" s="16">
        <f t="shared" si="1"/>
        <v>431</v>
      </c>
      <c r="L11" s="26">
        <v>238310814</v>
      </c>
      <c r="M11" s="15"/>
      <c r="N11" s="15"/>
      <c r="O11" s="17">
        <f t="shared" si="2"/>
        <v>0</v>
      </c>
      <c r="P11" s="17">
        <f t="shared" si="3"/>
        <v>0</v>
      </c>
      <c r="Q11" s="16">
        <f t="shared" si="4"/>
        <v>238310814</v>
      </c>
      <c r="R11" s="18">
        <f t="shared" si="5"/>
        <v>1</v>
      </c>
      <c r="S11" s="18">
        <f t="shared" si="10"/>
        <v>1</v>
      </c>
      <c r="T11" s="18">
        <f t="shared" si="11"/>
        <v>1</v>
      </c>
      <c r="U11" s="19">
        <v>0</v>
      </c>
      <c r="V11" s="20">
        <f t="shared" si="6"/>
        <v>0</v>
      </c>
      <c r="W11" s="20">
        <f t="shared" si="7"/>
        <v>0</v>
      </c>
      <c r="X11" s="11" t="s">
        <v>28</v>
      </c>
      <c r="Y11" s="42"/>
      <c r="Z11" s="42"/>
    </row>
    <row r="12" spans="1:26" ht="15">
      <c r="A12" s="9">
        <f t="shared" si="8"/>
        <v>10</v>
      </c>
      <c r="B12" s="10">
        <f t="shared" si="9"/>
        <v>44795</v>
      </c>
      <c r="C12" s="25" t="s">
        <v>42</v>
      </c>
      <c r="D12" s="11" t="s">
        <v>26</v>
      </c>
      <c r="E12" s="11" t="s">
        <v>27</v>
      </c>
      <c r="F12" s="12">
        <v>600</v>
      </c>
      <c r="G12" s="13">
        <v>545</v>
      </c>
      <c r="H12" s="14">
        <f t="shared" si="0"/>
        <v>0.90833333333333333</v>
      </c>
      <c r="I12" s="13">
        <v>0</v>
      </c>
      <c r="J12" s="13">
        <v>0</v>
      </c>
      <c r="K12" s="16">
        <f t="shared" si="1"/>
        <v>545</v>
      </c>
      <c r="L12" s="55">
        <v>3446719</v>
      </c>
      <c r="M12" s="15">
        <v>0</v>
      </c>
      <c r="N12" s="15">
        <v>0</v>
      </c>
      <c r="O12" s="17">
        <f t="shared" si="2"/>
        <v>0</v>
      </c>
      <c r="P12" s="17">
        <f t="shared" si="3"/>
        <v>0</v>
      </c>
      <c r="Q12" s="16">
        <f t="shared" si="4"/>
        <v>3446719</v>
      </c>
      <c r="R12" s="18">
        <f t="shared" si="5"/>
        <v>1</v>
      </c>
      <c r="S12" s="18">
        <f t="shared" si="10"/>
        <v>1</v>
      </c>
      <c r="T12" s="18">
        <f t="shared" si="11"/>
        <v>1</v>
      </c>
      <c r="U12" s="19">
        <v>0</v>
      </c>
      <c r="V12" s="20">
        <f t="shared" si="6"/>
        <v>0</v>
      </c>
      <c r="W12" s="20">
        <f t="shared" si="7"/>
        <v>0</v>
      </c>
      <c r="X12" s="11" t="s">
        <v>28</v>
      </c>
      <c r="Y12" s="42"/>
      <c r="Z12" s="42"/>
    </row>
    <row r="13" spans="1:26" ht="15">
      <c r="A13" s="9">
        <f t="shared" si="8"/>
        <v>11</v>
      </c>
      <c r="B13" s="10">
        <f t="shared" si="9"/>
        <v>44795</v>
      </c>
      <c r="C13" s="25" t="s">
        <v>68</v>
      </c>
      <c r="D13" s="11" t="s">
        <v>26</v>
      </c>
      <c r="E13" s="11" t="s">
        <v>27</v>
      </c>
      <c r="F13" s="12">
        <v>6000</v>
      </c>
      <c r="G13" s="12">
        <v>5833</v>
      </c>
      <c r="H13" s="14">
        <f t="shared" si="0"/>
        <v>0.97216666666666662</v>
      </c>
      <c r="I13" s="15">
        <v>427</v>
      </c>
      <c r="J13" s="15">
        <v>336</v>
      </c>
      <c r="K13" s="16">
        <f t="shared" si="1"/>
        <v>5070</v>
      </c>
      <c r="L13" s="26">
        <v>53644142</v>
      </c>
      <c r="M13" s="15">
        <v>535239</v>
      </c>
      <c r="N13" s="15">
        <v>274124</v>
      </c>
      <c r="O13" s="17">
        <f t="shared" si="2"/>
        <v>809363</v>
      </c>
      <c r="P13" s="17">
        <f t="shared" si="3"/>
        <v>261115</v>
      </c>
      <c r="Q13" s="16">
        <f t="shared" si="4"/>
        <v>52834779</v>
      </c>
      <c r="R13" s="18">
        <f t="shared" si="5"/>
        <v>0.86919252528715929</v>
      </c>
      <c r="S13" s="18">
        <f t="shared" si="10"/>
        <v>0.98491236936924076</v>
      </c>
      <c r="T13" s="18">
        <f t="shared" si="11"/>
        <v>0.99513246012957013</v>
      </c>
      <c r="U13" s="19">
        <v>3.0000000000000001E-3</v>
      </c>
      <c r="V13" s="20">
        <f t="shared" si="6"/>
        <v>7.320418309617692E-2</v>
      </c>
      <c r="W13" s="20">
        <f t="shared" si="7"/>
        <v>5.7603291616663811E-2</v>
      </c>
      <c r="X13" s="11" t="s">
        <v>28</v>
      </c>
      <c r="Y13" s="62" t="s">
        <v>88</v>
      </c>
      <c r="Z13" s="42"/>
    </row>
    <row r="14" spans="1:26" ht="15">
      <c r="A14" s="9">
        <f t="shared" si="8"/>
        <v>12</v>
      </c>
      <c r="B14" s="10">
        <f t="shared" si="9"/>
        <v>44795</v>
      </c>
      <c r="C14" s="25" t="s">
        <v>69</v>
      </c>
      <c r="D14" s="11" t="s">
        <v>26</v>
      </c>
      <c r="E14" s="11" t="s">
        <v>27</v>
      </c>
      <c r="F14" s="12">
        <v>1812</v>
      </c>
      <c r="G14" s="12">
        <v>1812</v>
      </c>
      <c r="H14" s="14">
        <f t="shared" si="0"/>
        <v>1</v>
      </c>
      <c r="I14" s="12">
        <v>0</v>
      </c>
      <c r="J14" s="12">
        <v>0</v>
      </c>
      <c r="K14" s="16">
        <f t="shared" si="1"/>
        <v>1812</v>
      </c>
      <c r="L14" s="26">
        <v>323080179</v>
      </c>
      <c r="M14" s="15">
        <v>0</v>
      </c>
      <c r="N14" s="15">
        <v>0</v>
      </c>
      <c r="O14" s="17">
        <f t="shared" si="2"/>
        <v>0</v>
      </c>
      <c r="P14" s="17">
        <f t="shared" si="3"/>
        <v>0</v>
      </c>
      <c r="Q14" s="16">
        <f t="shared" si="4"/>
        <v>323080179</v>
      </c>
      <c r="R14" s="18">
        <f t="shared" si="5"/>
        <v>1</v>
      </c>
      <c r="S14" s="18">
        <f t="shared" si="10"/>
        <v>1</v>
      </c>
      <c r="T14" s="18">
        <f t="shared" si="11"/>
        <v>1</v>
      </c>
      <c r="U14" s="19">
        <v>0</v>
      </c>
      <c r="V14" s="20">
        <f t="shared" si="6"/>
        <v>0</v>
      </c>
      <c r="W14" s="20">
        <f t="shared" si="7"/>
        <v>0</v>
      </c>
      <c r="X14" s="11" t="s">
        <v>28</v>
      </c>
      <c r="Y14" s="42"/>
      <c r="Z14" s="42"/>
    </row>
    <row r="15" spans="1:26" ht="15">
      <c r="A15" s="9">
        <f t="shared" si="8"/>
        <v>13</v>
      </c>
      <c r="B15" s="10">
        <f t="shared" si="9"/>
        <v>44795</v>
      </c>
      <c r="C15" s="25" t="s">
        <v>89</v>
      </c>
      <c r="D15" s="11" t="s">
        <v>26</v>
      </c>
      <c r="E15" s="11" t="s">
        <v>27</v>
      </c>
      <c r="F15" s="12"/>
      <c r="G15" s="12"/>
      <c r="H15" s="14">
        <f t="shared" si="0"/>
        <v>0</v>
      </c>
      <c r="I15" s="15"/>
      <c r="J15" s="12"/>
      <c r="K15" s="16">
        <f t="shared" si="1"/>
        <v>0</v>
      </c>
      <c r="L15" s="26"/>
      <c r="M15" s="15"/>
      <c r="N15" s="15"/>
      <c r="O15" s="17">
        <f t="shared" si="2"/>
        <v>0</v>
      </c>
      <c r="P15" s="17">
        <f t="shared" si="3"/>
        <v>0</v>
      </c>
      <c r="Q15" s="16">
        <f t="shared" si="4"/>
        <v>0</v>
      </c>
      <c r="R15" s="18">
        <f t="shared" si="5"/>
        <v>0</v>
      </c>
      <c r="S15" s="18">
        <f t="shared" si="10"/>
        <v>0</v>
      </c>
      <c r="T15" s="18">
        <f t="shared" si="11"/>
        <v>0</v>
      </c>
      <c r="U15" s="19">
        <v>0</v>
      </c>
      <c r="V15" s="20">
        <f t="shared" si="6"/>
        <v>0</v>
      </c>
      <c r="W15" s="20">
        <f t="shared" si="7"/>
        <v>0</v>
      </c>
      <c r="X15" s="11" t="s">
        <v>90</v>
      </c>
      <c r="Y15" s="42"/>
      <c r="Z15" s="42"/>
    </row>
    <row r="16" spans="1:26" ht="15">
      <c r="A16" s="9">
        <f t="shared" si="8"/>
        <v>14</v>
      </c>
      <c r="B16" s="10">
        <f t="shared" si="9"/>
        <v>44795</v>
      </c>
      <c r="C16" s="25" t="s">
        <v>74</v>
      </c>
      <c r="D16" s="11" t="s">
        <v>26</v>
      </c>
      <c r="E16" s="11" t="s">
        <v>27</v>
      </c>
      <c r="F16" s="27">
        <v>30</v>
      </c>
      <c r="G16" s="27">
        <v>30</v>
      </c>
      <c r="H16" s="14">
        <f t="shared" si="0"/>
        <v>1</v>
      </c>
      <c r="I16" s="15">
        <v>0</v>
      </c>
      <c r="J16" s="15">
        <v>0</v>
      </c>
      <c r="K16" s="16">
        <f t="shared" si="1"/>
        <v>30</v>
      </c>
      <c r="L16" s="28">
        <v>149320000</v>
      </c>
      <c r="M16" s="56">
        <v>0</v>
      </c>
      <c r="N16" s="56">
        <v>0</v>
      </c>
      <c r="O16" s="17">
        <f t="shared" si="2"/>
        <v>0</v>
      </c>
      <c r="P16" s="17">
        <f t="shared" si="3"/>
        <v>0</v>
      </c>
      <c r="Q16" s="16">
        <f t="shared" si="4"/>
        <v>149320000</v>
      </c>
      <c r="R16" s="18">
        <f t="shared" si="5"/>
        <v>1</v>
      </c>
      <c r="S16" s="18">
        <f t="shared" si="10"/>
        <v>1</v>
      </c>
      <c r="T16" s="18">
        <f t="shared" si="11"/>
        <v>1</v>
      </c>
      <c r="U16" s="19">
        <v>0</v>
      </c>
      <c r="V16" s="20">
        <f t="shared" si="6"/>
        <v>0</v>
      </c>
      <c r="W16" s="20">
        <f t="shared" si="7"/>
        <v>0</v>
      </c>
      <c r="X16" s="25" t="s">
        <v>46</v>
      </c>
      <c r="Y16" s="42"/>
      <c r="Z16" s="42"/>
    </row>
    <row r="17" spans="1:26" ht="15">
      <c r="A17" s="9">
        <f t="shared" si="8"/>
        <v>15</v>
      </c>
      <c r="B17" s="10">
        <f t="shared" si="9"/>
        <v>44795</v>
      </c>
      <c r="C17" s="25" t="s">
        <v>75</v>
      </c>
      <c r="D17" s="11" t="s">
        <v>26</v>
      </c>
      <c r="E17" s="11" t="s">
        <v>27</v>
      </c>
      <c r="F17" s="27">
        <v>4</v>
      </c>
      <c r="G17" s="27">
        <v>4</v>
      </c>
      <c r="H17" s="14">
        <f t="shared" si="0"/>
        <v>1</v>
      </c>
      <c r="I17" s="15">
        <v>0</v>
      </c>
      <c r="J17" s="15">
        <v>0</v>
      </c>
      <c r="K17" s="16">
        <f t="shared" si="1"/>
        <v>4</v>
      </c>
      <c r="L17" s="29">
        <v>360000000</v>
      </c>
      <c r="M17" s="15">
        <v>0</v>
      </c>
      <c r="N17" s="15">
        <v>0</v>
      </c>
      <c r="O17" s="17">
        <f t="shared" si="2"/>
        <v>0</v>
      </c>
      <c r="P17" s="17">
        <f t="shared" si="3"/>
        <v>0</v>
      </c>
      <c r="Q17" s="16">
        <f t="shared" si="4"/>
        <v>360000000</v>
      </c>
      <c r="R17" s="18">
        <f t="shared" si="5"/>
        <v>1</v>
      </c>
      <c r="S17" s="18">
        <f t="shared" si="10"/>
        <v>1</v>
      </c>
      <c r="T17" s="18">
        <f t="shared" si="11"/>
        <v>1</v>
      </c>
      <c r="U17" s="19">
        <v>0</v>
      </c>
      <c r="V17" s="20">
        <f t="shared" si="6"/>
        <v>0</v>
      </c>
      <c r="W17" s="20">
        <f t="shared" si="7"/>
        <v>0</v>
      </c>
      <c r="X17" s="25" t="s">
        <v>46</v>
      </c>
      <c r="Y17" s="42"/>
      <c r="Z17" s="42"/>
    </row>
    <row r="18" spans="1:26" ht="15">
      <c r="A18" s="63" t="s">
        <v>52</v>
      </c>
      <c r="B18" s="31"/>
      <c r="C18" s="31"/>
      <c r="D18" s="32"/>
      <c r="E18" s="32"/>
      <c r="F18" s="33">
        <f t="shared" ref="F18:G18" si="12">SUM(F3:F17)</f>
        <v>24246</v>
      </c>
      <c r="G18" s="33">
        <f t="shared" si="12"/>
        <v>23931</v>
      </c>
      <c r="H18" s="34">
        <f t="shared" si="0"/>
        <v>0.98700816629547139</v>
      </c>
      <c r="I18" s="33">
        <f t="shared" ref="I18:J18" si="13">SUM(I3:I17)</f>
        <v>431</v>
      </c>
      <c r="J18" s="33">
        <f t="shared" si="13"/>
        <v>349</v>
      </c>
      <c r="K18" s="35">
        <f t="shared" si="1"/>
        <v>23151</v>
      </c>
      <c r="L18" s="36">
        <f t="shared" ref="L18:N18" si="14">SUM(L3:L17)</f>
        <v>4133127761.302</v>
      </c>
      <c r="M18" s="37">
        <f t="shared" si="14"/>
        <v>540267</v>
      </c>
      <c r="N18" s="37">
        <f t="shared" si="14"/>
        <v>571818</v>
      </c>
      <c r="O18" s="38">
        <f t="shared" si="2"/>
        <v>1112085</v>
      </c>
      <c r="P18" s="38">
        <f t="shared" si="3"/>
        <v>-31551</v>
      </c>
      <c r="Q18" s="39">
        <f t="shared" si="4"/>
        <v>4132015676.302</v>
      </c>
      <c r="R18" s="40">
        <f t="shared" si="5"/>
        <v>0.96740629309264137</v>
      </c>
      <c r="S18" s="40">
        <f t="shared" si="10"/>
        <v>0.99973093379536626</v>
      </c>
      <c r="T18" s="40">
        <f t="shared" si="11"/>
        <v>1.0000076336861143</v>
      </c>
      <c r="U18" s="31"/>
      <c r="V18" s="40">
        <f t="shared" si="6"/>
        <v>1.8010112406502028E-2</v>
      </c>
      <c r="W18" s="40">
        <f t="shared" si="7"/>
        <v>1.4583594500856629E-2</v>
      </c>
      <c r="X18" s="31"/>
      <c r="Y18" s="42"/>
      <c r="Z18" s="42"/>
    </row>
    <row r="19" spans="1:26" ht="1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">
      <c r="A21" s="42"/>
      <c r="B21" s="5"/>
      <c r="C21" s="5"/>
      <c r="D21" s="5"/>
      <c r="E21" s="5"/>
      <c r="F21" s="5"/>
      <c r="G21" s="5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51.75">
      <c r="A22" s="5"/>
      <c r="B22" s="44" t="s">
        <v>91</v>
      </c>
      <c r="C22" s="45" t="s">
        <v>3</v>
      </c>
      <c r="D22" s="45" t="str">
        <f t="shared" ref="D22:D37" si="15">H2</f>
        <v>CC Adherance %</v>
      </c>
      <c r="E22" s="45" t="str">
        <f t="shared" ref="E22:G22" si="16">R2</f>
        <v>Inventory Record Accuracy (IRA)</v>
      </c>
      <c r="F22" s="45" t="str">
        <f t="shared" si="16"/>
        <v>Inventory Value Accuracy -GROSS
 (IVA)</v>
      </c>
      <c r="G22" s="45" t="str">
        <f t="shared" si="16"/>
        <v>Inventory Value Accuracy -NET 
 (IVA)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">
      <c r="A23" s="5"/>
      <c r="B23" s="46">
        <v>1</v>
      </c>
      <c r="C23" s="47" t="str">
        <f t="shared" ref="C23:C37" si="17">C3</f>
        <v>Bic Cello</v>
      </c>
      <c r="D23" s="48">
        <f t="shared" si="15"/>
        <v>1</v>
      </c>
      <c r="E23" s="49">
        <f t="shared" ref="E23:G23" si="18">R3</f>
        <v>1</v>
      </c>
      <c r="F23" s="49">
        <f t="shared" si="18"/>
        <v>1</v>
      </c>
      <c r="G23" s="49">
        <f t="shared" si="18"/>
        <v>1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">
      <c r="A24" s="5"/>
      <c r="B24" s="46">
        <f t="shared" ref="B24:B37" si="19">B23+1</f>
        <v>2</v>
      </c>
      <c r="C24" s="47" t="str">
        <f t="shared" si="17"/>
        <v>Siemens BGR</v>
      </c>
      <c r="D24" s="48">
        <f t="shared" si="15"/>
        <v>1</v>
      </c>
      <c r="E24" s="49">
        <f t="shared" ref="E24:G24" si="20">R4</f>
        <v>0.99869011976047906</v>
      </c>
      <c r="F24" s="49">
        <f t="shared" si="20"/>
        <v>0.99985785810693917</v>
      </c>
      <c r="G24" s="49">
        <f t="shared" si="20"/>
        <v>1.0001378061973443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">
      <c r="A25" s="5"/>
      <c r="B25" s="46">
        <f t="shared" si="19"/>
        <v>3</v>
      </c>
      <c r="C25" s="47" t="str">
        <f t="shared" si="17"/>
        <v>Siemens Kalwa</v>
      </c>
      <c r="D25" s="48">
        <f t="shared" si="15"/>
        <v>1</v>
      </c>
      <c r="E25" s="49">
        <f t="shared" ref="E25:G25" si="21">R5</f>
        <v>1</v>
      </c>
      <c r="F25" s="49">
        <f t="shared" si="21"/>
        <v>1</v>
      </c>
      <c r="G25" s="49">
        <f t="shared" si="21"/>
        <v>1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">
      <c r="A26" s="5"/>
      <c r="B26" s="46">
        <f t="shared" si="19"/>
        <v>4</v>
      </c>
      <c r="C26" s="47" t="str">
        <f t="shared" si="17"/>
        <v>Siemens Vapi</v>
      </c>
      <c r="D26" s="48">
        <f t="shared" si="15"/>
        <v>1</v>
      </c>
      <c r="E26" s="49">
        <f t="shared" ref="E26:G26" si="22">R6</f>
        <v>1</v>
      </c>
      <c r="F26" s="49">
        <f t="shared" si="22"/>
        <v>1</v>
      </c>
      <c r="G26" s="49">
        <f t="shared" si="22"/>
        <v>1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">
      <c r="A27" s="5"/>
      <c r="B27" s="46">
        <f t="shared" si="19"/>
        <v>5</v>
      </c>
      <c r="C27" s="47" t="str">
        <f t="shared" si="17"/>
        <v>Siemens Medical</v>
      </c>
      <c r="D27" s="48">
        <f t="shared" si="15"/>
        <v>0.96841032608695654</v>
      </c>
      <c r="E27" s="49">
        <f t="shared" ref="E27:G27" si="23">R7</f>
        <v>0.99964924587863913</v>
      </c>
      <c r="F27" s="49">
        <f t="shared" si="23"/>
        <v>0.99991762785263161</v>
      </c>
      <c r="G27" s="49">
        <f t="shared" si="23"/>
        <v>1.0000823721473684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">
      <c r="A28" s="5"/>
      <c r="B28" s="46">
        <f t="shared" si="19"/>
        <v>6</v>
      </c>
      <c r="C28" s="47" t="str">
        <f t="shared" si="17"/>
        <v>Godrej Interio</v>
      </c>
      <c r="D28" s="48">
        <f t="shared" si="15"/>
        <v>1</v>
      </c>
      <c r="E28" s="49">
        <f t="shared" ref="E28:G28" si="24">R8</f>
        <v>0.99611973392461195</v>
      </c>
      <c r="F28" s="49">
        <f t="shared" si="24"/>
        <v>1</v>
      </c>
      <c r="G28" s="49">
        <f t="shared" si="24"/>
        <v>1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">
      <c r="A29" s="5"/>
      <c r="B29" s="46">
        <f t="shared" si="19"/>
        <v>7</v>
      </c>
      <c r="C29" s="47" t="str">
        <f t="shared" si="17"/>
        <v>Godrej Barn</v>
      </c>
      <c r="D29" s="48">
        <f t="shared" si="15"/>
        <v>1</v>
      </c>
      <c r="E29" s="49">
        <f t="shared" ref="E29:G29" si="25">R9</f>
        <v>0.99818181818181817</v>
      </c>
      <c r="F29" s="49">
        <f t="shared" si="25"/>
        <v>0.99963717087570381</v>
      </c>
      <c r="G29" s="49">
        <f t="shared" si="25"/>
        <v>0.99998492399760541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">
      <c r="A30" s="5"/>
      <c r="B30" s="46">
        <f t="shared" si="19"/>
        <v>8</v>
      </c>
      <c r="C30" s="47" t="str">
        <f t="shared" si="17"/>
        <v>Godrej spare</v>
      </c>
      <c r="D30" s="48">
        <f t="shared" si="15"/>
        <v>1</v>
      </c>
      <c r="E30" s="49">
        <f t="shared" ref="E30:G30" si="26">R10</f>
        <v>1</v>
      </c>
      <c r="F30" s="49">
        <f t="shared" si="26"/>
        <v>1</v>
      </c>
      <c r="G30" s="49">
        <f t="shared" si="26"/>
        <v>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">
      <c r="A31" s="5"/>
      <c r="B31" s="46">
        <f t="shared" si="19"/>
        <v>9</v>
      </c>
      <c r="C31" s="47" t="str">
        <f t="shared" si="17"/>
        <v>Osram</v>
      </c>
      <c r="D31" s="48">
        <f t="shared" si="15"/>
        <v>1</v>
      </c>
      <c r="E31" s="49">
        <f t="shared" ref="E31:G31" si="27">R11</f>
        <v>1</v>
      </c>
      <c r="F31" s="49">
        <f t="shared" si="27"/>
        <v>1</v>
      </c>
      <c r="G31" s="49">
        <f t="shared" si="27"/>
        <v>1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">
      <c r="A32" s="5"/>
      <c r="B32" s="46">
        <f t="shared" si="19"/>
        <v>10</v>
      </c>
      <c r="C32" s="47" t="str">
        <f t="shared" si="17"/>
        <v>Celio</v>
      </c>
      <c r="D32" s="48">
        <f t="shared" si="15"/>
        <v>0.90833333333333333</v>
      </c>
      <c r="E32" s="49">
        <f t="shared" ref="E32:G32" si="28">R12</f>
        <v>1</v>
      </c>
      <c r="F32" s="49">
        <f t="shared" si="28"/>
        <v>1</v>
      </c>
      <c r="G32" s="49">
        <f t="shared" si="28"/>
        <v>1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">
      <c r="A33" s="5"/>
      <c r="B33" s="46">
        <f t="shared" si="19"/>
        <v>11</v>
      </c>
      <c r="C33" s="47" t="str">
        <f t="shared" si="17"/>
        <v>Welspun</v>
      </c>
      <c r="D33" s="48">
        <f t="shared" si="15"/>
        <v>0.97216666666666662</v>
      </c>
      <c r="E33" s="49">
        <f t="shared" ref="E33:G33" si="29">R13</f>
        <v>0.86919252528715929</v>
      </c>
      <c r="F33" s="49">
        <f t="shared" si="29"/>
        <v>0.98491236936924076</v>
      </c>
      <c r="G33" s="49">
        <f t="shared" si="29"/>
        <v>0.99513246012957013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">
      <c r="A34" s="5"/>
      <c r="B34" s="46">
        <f t="shared" si="19"/>
        <v>12</v>
      </c>
      <c r="C34" s="47" t="str">
        <f t="shared" si="17"/>
        <v>Hansgrohe</v>
      </c>
      <c r="D34" s="48">
        <f t="shared" si="15"/>
        <v>1</v>
      </c>
      <c r="E34" s="49">
        <f t="shared" ref="E34:G34" si="30">R14</f>
        <v>1</v>
      </c>
      <c r="F34" s="49">
        <f t="shared" si="30"/>
        <v>1</v>
      </c>
      <c r="G34" s="49">
        <f t="shared" si="30"/>
        <v>1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">
      <c r="A35" s="5"/>
      <c r="B35" s="46">
        <f t="shared" si="19"/>
        <v>13</v>
      </c>
      <c r="C35" s="47" t="str">
        <f t="shared" si="17"/>
        <v>EdaMamma</v>
      </c>
      <c r="D35" s="48">
        <f t="shared" si="15"/>
        <v>0</v>
      </c>
      <c r="E35" s="49">
        <f t="shared" ref="E35:G35" si="31">R15</f>
        <v>0</v>
      </c>
      <c r="F35" s="49">
        <f t="shared" si="31"/>
        <v>0</v>
      </c>
      <c r="G35" s="49">
        <f t="shared" si="31"/>
        <v>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">
      <c r="A36" s="5"/>
      <c r="B36" s="46">
        <f t="shared" si="19"/>
        <v>14</v>
      </c>
      <c r="C36" s="47" t="str">
        <f t="shared" si="17"/>
        <v>Roquette</v>
      </c>
      <c r="D36" s="48">
        <f t="shared" si="15"/>
        <v>1</v>
      </c>
      <c r="E36" s="49">
        <f t="shared" ref="E36:G36" si="32">R16</f>
        <v>1</v>
      </c>
      <c r="F36" s="49">
        <f t="shared" si="32"/>
        <v>1</v>
      </c>
      <c r="G36" s="49">
        <f t="shared" si="32"/>
        <v>1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">
      <c r="A37" s="5"/>
      <c r="B37" s="46">
        <f t="shared" si="19"/>
        <v>15</v>
      </c>
      <c r="C37" s="47" t="str">
        <f t="shared" si="17"/>
        <v>Jubilant</v>
      </c>
      <c r="D37" s="48">
        <f t="shared" si="15"/>
        <v>1</v>
      </c>
      <c r="E37" s="49">
        <f t="shared" ref="E37:G37" si="33">R17</f>
        <v>1</v>
      </c>
      <c r="F37" s="49">
        <f t="shared" si="33"/>
        <v>1</v>
      </c>
      <c r="G37" s="49">
        <f t="shared" si="33"/>
        <v>1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">
      <c r="A53" s="5"/>
      <c r="B53" s="42"/>
      <c r="C53" s="42"/>
      <c r="D53" s="42"/>
      <c r="E53" s="42"/>
      <c r="F53" s="42"/>
      <c r="G53" s="42"/>
      <c r="H53" s="5"/>
      <c r="I53" s="42"/>
      <c r="J53" s="42"/>
      <c r="K53" s="5"/>
      <c r="L53" s="42"/>
      <c r="M53" s="42"/>
      <c r="N53" s="42"/>
      <c r="O53" s="5"/>
      <c r="P53" s="5"/>
      <c r="Q53" s="5"/>
      <c r="R53" s="5"/>
      <c r="S53" s="5"/>
      <c r="T53" s="5"/>
      <c r="U53" s="5"/>
      <c r="V53" s="5"/>
      <c r="W53" s="5"/>
      <c r="X53" s="42"/>
      <c r="Y53" s="42"/>
      <c r="Z53" s="42"/>
    </row>
    <row r="54" spans="1:26" ht="15">
      <c r="A54" s="64">
        <v>6</v>
      </c>
      <c r="B54" s="65">
        <v>44734</v>
      </c>
      <c r="C54" s="47" t="s">
        <v>92</v>
      </c>
      <c r="D54" s="47" t="s">
        <v>26</v>
      </c>
      <c r="E54" s="47" t="s">
        <v>27</v>
      </c>
      <c r="F54" s="66">
        <v>0</v>
      </c>
      <c r="G54" s="67">
        <v>0</v>
      </c>
      <c r="H54" s="68">
        <v>0</v>
      </c>
      <c r="I54" s="66">
        <v>0</v>
      </c>
      <c r="J54" s="66">
        <v>0</v>
      </c>
      <c r="K54" s="69" t="s">
        <v>55</v>
      </c>
      <c r="L54" s="67" t="s">
        <v>55</v>
      </c>
      <c r="M54" s="67" t="s">
        <v>55</v>
      </c>
      <c r="N54" s="67" t="s">
        <v>55</v>
      </c>
      <c r="O54" s="69" t="s">
        <v>55</v>
      </c>
      <c r="P54" s="69" t="s">
        <v>55</v>
      </c>
      <c r="Q54" s="70">
        <v>0</v>
      </c>
      <c r="R54" s="71">
        <v>0</v>
      </c>
      <c r="S54" s="71">
        <v>0</v>
      </c>
      <c r="T54" s="71">
        <v>0</v>
      </c>
      <c r="U54" s="72">
        <v>0</v>
      </c>
      <c r="V54" s="73">
        <v>0</v>
      </c>
      <c r="W54" s="73">
        <v>0</v>
      </c>
      <c r="X54" s="47"/>
      <c r="Y54" s="42"/>
      <c r="Z54" s="42"/>
    </row>
    <row r="55" spans="1:26" ht="15">
      <c r="A55" s="64">
        <v>10</v>
      </c>
      <c r="B55" s="74">
        <v>44734</v>
      </c>
      <c r="C55" s="64" t="s">
        <v>93</v>
      </c>
      <c r="D55" s="47" t="s">
        <v>26</v>
      </c>
      <c r="E55" s="47" t="s">
        <v>27</v>
      </c>
      <c r="F55" s="66">
        <v>0</v>
      </c>
      <c r="G55" s="67">
        <v>0</v>
      </c>
      <c r="H55" s="68">
        <v>0</v>
      </c>
      <c r="I55" s="66">
        <v>0</v>
      </c>
      <c r="J55" s="66">
        <v>0</v>
      </c>
      <c r="K55" s="69" t="s">
        <v>55</v>
      </c>
      <c r="L55" s="67" t="s">
        <v>55</v>
      </c>
      <c r="M55" s="67" t="s">
        <v>55</v>
      </c>
      <c r="N55" s="67" t="s">
        <v>55</v>
      </c>
      <c r="O55" s="69" t="s">
        <v>55</v>
      </c>
      <c r="P55" s="69" t="s">
        <v>55</v>
      </c>
      <c r="Q55" s="70">
        <v>0</v>
      </c>
      <c r="R55" s="71">
        <v>0</v>
      </c>
      <c r="S55" s="71">
        <v>0</v>
      </c>
      <c r="T55" s="71">
        <v>0</v>
      </c>
      <c r="U55" s="72">
        <v>0.01</v>
      </c>
      <c r="V55" s="73">
        <v>0</v>
      </c>
      <c r="W55" s="73">
        <v>0</v>
      </c>
      <c r="X55" s="47"/>
      <c r="Y55" s="42"/>
      <c r="Z55" s="42"/>
    </row>
    <row r="56" spans="1:26" ht="15">
      <c r="A56" s="64">
        <v>11</v>
      </c>
      <c r="B56" s="65">
        <v>44734</v>
      </c>
      <c r="C56" s="47" t="s">
        <v>39</v>
      </c>
      <c r="D56" s="47" t="s">
        <v>26</v>
      </c>
      <c r="E56" s="47" t="s">
        <v>27</v>
      </c>
      <c r="F56" s="75">
        <v>0</v>
      </c>
      <c r="G56" s="67">
        <v>0</v>
      </c>
      <c r="H56" s="68">
        <v>0</v>
      </c>
      <c r="I56" s="66">
        <v>0</v>
      </c>
      <c r="J56" s="66">
        <v>0</v>
      </c>
      <c r="K56" s="69" t="s">
        <v>55</v>
      </c>
      <c r="L56" s="76" t="s">
        <v>55</v>
      </c>
      <c r="M56" s="76" t="s">
        <v>55</v>
      </c>
      <c r="N56" s="76" t="s">
        <v>55</v>
      </c>
      <c r="O56" s="69" t="s">
        <v>55</v>
      </c>
      <c r="P56" s="69" t="s">
        <v>55</v>
      </c>
      <c r="Q56" s="70">
        <v>0</v>
      </c>
      <c r="R56" s="71">
        <v>0</v>
      </c>
      <c r="S56" s="71">
        <v>0</v>
      </c>
      <c r="T56" s="71">
        <v>0</v>
      </c>
      <c r="U56" s="72">
        <v>0.01</v>
      </c>
      <c r="V56" s="73">
        <v>0</v>
      </c>
      <c r="W56" s="73">
        <v>0</v>
      </c>
      <c r="X56" s="47"/>
      <c r="Y56" s="42"/>
      <c r="Z56" s="42"/>
    </row>
    <row r="57" spans="1:26" ht="15">
      <c r="A57" s="64">
        <v>17</v>
      </c>
      <c r="B57" s="74">
        <v>44734</v>
      </c>
      <c r="C57" s="77" t="s">
        <v>94</v>
      </c>
      <c r="D57" s="47" t="s">
        <v>26</v>
      </c>
      <c r="E57" s="47" t="s">
        <v>27</v>
      </c>
      <c r="F57" s="66"/>
      <c r="G57" s="66"/>
      <c r="H57" s="68">
        <v>0</v>
      </c>
      <c r="I57" s="67">
        <v>0</v>
      </c>
      <c r="J57" s="67">
        <v>0</v>
      </c>
      <c r="K57" s="69" t="s">
        <v>55</v>
      </c>
      <c r="L57" s="67"/>
      <c r="M57" s="67"/>
      <c r="N57" s="67"/>
      <c r="O57" s="69" t="s">
        <v>55</v>
      </c>
      <c r="P57" s="69" t="s">
        <v>55</v>
      </c>
      <c r="Q57" s="70">
        <v>0</v>
      </c>
      <c r="R57" s="71">
        <v>0</v>
      </c>
      <c r="S57" s="71">
        <v>0</v>
      </c>
      <c r="T57" s="71">
        <v>0</v>
      </c>
      <c r="U57" s="72">
        <v>9.4999999999999998E-3</v>
      </c>
      <c r="V57" s="73">
        <v>0</v>
      </c>
      <c r="W57" s="73">
        <v>0</v>
      </c>
      <c r="X57" s="47"/>
      <c r="Y57" s="42"/>
      <c r="Z57" s="42"/>
    </row>
    <row r="58" spans="1:26" ht="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</sheetData>
  <mergeCells count="1">
    <mergeCell ref="C1:E1"/>
  </mergeCells>
  <hyperlinks>
    <hyperlink ref="B22" r:id="rId1" xr:uid="{00000000-0004-0000-0800-000000000000}"/>
  </hyperlinks>
  <pageMargins left="0.7" right="0.7" top="0.75" bottom="0.75" header="0.3" footer="0.3"/>
  <headerFooter>
    <oddHeader>&amp;C&amp;"Calibri"&amp;10&amp;K000000 Public&amp;1#_x000D_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703125" defaultRowHeight="15.75" customHeight="1"/>
  <cols>
    <col min="1" max="1" width="5.28515625" customWidth="1"/>
    <col min="3" max="3" width="28.42578125" customWidth="1"/>
    <col min="6" max="6" width="24.7109375" customWidth="1"/>
    <col min="8" max="8" width="12.42578125" customWidth="1"/>
    <col min="12" max="12" width="16.140625" customWidth="1"/>
    <col min="13" max="13" width="19.42578125" customWidth="1"/>
    <col min="14" max="14" width="19" customWidth="1"/>
    <col min="18" max="18" width="23.7109375" customWidth="1"/>
    <col min="19" max="19" width="24.7109375" customWidth="1"/>
    <col min="20" max="20" width="22.7109375" customWidth="1"/>
    <col min="21" max="21" width="33.7109375" customWidth="1"/>
    <col min="22" max="22" width="23" customWidth="1"/>
    <col min="23" max="23" width="22.140625" customWidth="1"/>
  </cols>
  <sheetData>
    <row r="1" spans="1:26" ht="18.75">
      <c r="A1" s="5"/>
      <c r="B1" s="4"/>
      <c r="C1" s="78" t="s">
        <v>95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4"/>
      <c r="W1" s="4"/>
      <c r="X1" s="5"/>
      <c r="Y1" s="42"/>
      <c r="Z1" s="42"/>
    </row>
    <row r="2" spans="1:26" ht="45.75" customHeight="1">
      <c r="A2" s="79" t="s">
        <v>1</v>
      </c>
      <c r="B2" s="79" t="s">
        <v>2</v>
      </c>
      <c r="C2" s="79" t="s">
        <v>3</v>
      </c>
      <c r="D2" s="79" t="s">
        <v>4</v>
      </c>
      <c r="E2" s="79" t="s">
        <v>5</v>
      </c>
      <c r="F2" s="79" t="s">
        <v>6</v>
      </c>
      <c r="G2" s="79" t="s">
        <v>7</v>
      </c>
      <c r="H2" s="80" t="s">
        <v>8</v>
      </c>
      <c r="I2" s="79" t="s">
        <v>9</v>
      </c>
      <c r="J2" s="79" t="s">
        <v>10</v>
      </c>
      <c r="K2" s="80" t="s">
        <v>11</v>
      </c>
      <c r="L2" s="79" t="s">
        <v>12</v>
      </c>
      <c r="M2" s="79" t="s">
        <v>13</v>
      </c>
      <c r="N2" s="79" t="s">
        <v>14</v>
      </c>
      <c r="O2" s="80" t="s">
        <v>15</v>
      </c>
      <c r="P2" s="80" t="s">
        <v>16</v>
      </c>
      <c r="Q2" s="80" t="s">
        <v>17</v>
      </c>
      <c r="R2" s="80" t="s">
        <v>18</v>
      </c>
      <c r="S2" s="80" t="s">
        <v>19</v>
      </c>
      <c r="T2" s="80" t="s">
        <v>20</v>
      </c>
      <c r="U2" s="81" t="s">
        <v>21</v>
      </c>
      <c r="V2" s="80" t="s">
        <v>22</v>
      </c>
      <c r="W2" s="80" t="s">
        <v>23</v>
      </c>
      <c r="X2" s="79" t="s">
        <v>96</v>
      </c>
      <c r="Y2" s="82"/>
      <c r="Z2" s="82"/>
    </row>
    <row r="3" spans="1:26" ht="15">
      <c r="A3" s="83">
        <v>1</v>
      </c>
      <c r="B3" s="84">
        <v>44764</v>
      </c>
      <c r="C3" s="85" t="s">
        <v>25</v>
      </c>
      <c r="D3" s="5" t="s">
        <v>26</v>
      </c>
      <c r="E3" s="86" t="s">
        <v>27</v>
      </c>
      <c r="F3" s="51">
        <v>2696</v>
      </c>
      <c r="G3" s="87">
        <v>2696</v>
      </c>
      <c r="H3" s="88">
        <f t="shared" ref="H3:H17" si="0">G3/F3</f>
        <v>1</v>
      </c>
      <c r="I3" s="89">
        <v>0</v>
      </c>
      <c r="J3" s="89">
        <v>0</v>
      </c>
      <c r="K3" s="90">
        <v>1</v>
      </c>
      <c r="L3" s="87">
        <v>784440000</v>
      </c>
      <c r="M3" s="87">
        <v>0</v>
      </c>
      <c r="N3" s="87">
        <v>0</v>
      </c>
      <c r="O3" s="91">
        <v>0</v>
      </c>
      <c r="P3" s="91">
        <v>0</v>
      </c>
      <c r="Q3" s="92">
        <v>0</v>
      </c>
      <c r="R3" s="93">
        <v>1</v>
      </c>
      <c r="S3" s="93">
        <v>1</v>
      </c>
      <c r="T3" s="93">
        <v>1</v>
      </c>
      <c r="U3" s="94">
        <v>2.0000000000000001E-4</v>
      </c>
      <c r="V3" s="90">
        <v>0</v>
      </c>
      <c r="W3" s="90">
        <v>0</v>
      </c>
      <c r="X3" s="5" t="s">
        <v>97</v>
      </c>
      <c r="Y3" s="42"/>
      <c r="Z3" s="42"/>
    </row>
    <row r="4" spans="1:26" ht="15">
      <c r="A4" s="83">
        <f t="shared" ref="A4:A17" si="1">A3+1</f>
        <v>2</v>
      </c>
      <c r="B4" s="84">
        <v>44764</v>
      </c>
      <c r="C4" s="85" t="s">
        <v>65</v>
      </c>
      <c r="D4" s="5" t="s">
        <v>26</v>
      </c>
      <c r="E4" s="86" t="s">
        <v>27</v>
      </c>
      <c r="F4" s="51">
        <v>5480</v>
      </c>
      <c r="G4" s="87">
        <v>5480</v>
      </c>
      <c r="H4" s="88">
        <f t="shared" si="0"/>
        <v>1</v>
      </c>
      <c r="I4" s="89">
        <v>0</v>
      </c>
      <c r="J4" s="89">
        <v>0</v>
      </c>
      <c r="K4" s="90">
        <v>1</v>
      </c>
      <c r="L4" s="87">
        <v>324498688</v>
      </c>
      <c r="M4" s="87">
        <v>0</v>
      </c>
      <c r="N4" s="87">
        <v>0</v>
      </c>
      <c r="O4" s="91">
        <v>0</v>
      </c>
      <c r="P4" s="91">
        <v>0</v>
      </c>
      <c r="Q4" s="92">
        <v>324498688</v>
      </c>
      <c r="R4" s="93">
        <v>1</v>
      </c>
      <c r="S4" s="93">
        <v>1</v>
      </c>
      <c r="T4" s="93">
        <v>1</v>
      </c>
      <c r="U4" s="94">
        <v>0</v>
      </c>
      <c r="V4" s="90">
        <v>0</v>
      </c>
      <c r="W4" s="90">
        <v>0</v>
      </c>
      <c r="X4" s="5"/>
      <c r="Y4" s="42"/>
      <c r="Z4" s="42"/>
    </row>
    <row r="5" spans="1:26" ht="15">
      <c r="A5" s="83">
        <f t="shared" si="1"/>
        <v>3</v>
      </c>
      <c r="B5" s="84">
        <v>44764</v>
      </c>
      <c r="C5" s="85" t="s">
        <v>66</v>
      </c>
      <c r="D5" s="5" t="s">
        <v>26</v>
      </c>
      <c r="E5" s="86" t="s">
        <v>27</v>
      </c>
      <c r="F5" s="89">
        <f>365+263</f>
        <v>628</v>
      </c>
      <c r="G5" s="87">
        <v>628</v>
      </c>
      <c r="H5" s="88">
        <f t="shared" si="0"/>
        <v>1</v>
      </c>
      <c r="I5" s="89">
        <v>0</v>
      </c>
      <c r="J5" s="89">
        <v>0</v>
      </c>
      <c r="K5" s="90">
        <f t="shared" ref="K5:K6" si="2">G5/F5%/100</f>
        <v>1</v>
      </c>
      <c r="L5" s="87">
        <v>49774580</v>
      </c>
      <c r="M5" s="87">
        <v>0</v>
      </c>
      <c r="N5" s="87">
        <v>0</v>
      </c>
      <c r="O5" s="91">
        <v>0</v>
      </c>
      <c r="P5" s="91">
        <v>0</v>
      </c>
      <c r="Q5" s="92">
        <v>49774580</v>
      </c>
      <c r="R5" s="90">
        <v>1</v>
      </c>
      <c r="S5" s="90">
        <v>1</v>
      </c>
      <c r="T5" s="90">
        <v>1</v>
      </c>
      <c r="U5" s="94">
        <v>0</v>
      </c>
      <c r="V5" s="90">
        <v>0</v>
      </c>
      <c r="W5" s="90">
        <v>0</v>
      </c>
      <c r="X5" s="5"/>
      <c r="Y5" s="42"/>
      <c r="Z5" s="42"/>
    </row>
    <row r="6" spans="1:26" ht="15">
      <c r="A6" s="83">
        <f t="shared" si="1"/>
        <v>4</v>
      </c>
      <c r="B6" s="84">
        <v>44764</v>
      </c>
      <c r="C6" s="85" t="s">
        <v>31</v>
      </c>
      <c r="D6" s="5" t="s">
        <v>26</v>
      </c>
      <c r="E6" s="86" t="s">
        <v>27</v>
      </c>
      <c r="F6" s="51">
        <v>2373</v>
      </c>
      <c r="G6" s="87">
        <v>2373</v>
      </c>
      <c r="H6" s="88">
        <f t="shared" si="0"/>
        <v>1</v>
      </c>
      <c r="I6" s="89">
        <v>0</v>
      </c>
      <c r="J6" s="89">
        <v>0</v>
      </c>
      <c r="K6" s="90">
        <f t="shared" si="2"/>
        <v>1</v>
      </c>
      <c r="L6" s="87">
        <v>209388947</v>
      </c>
      <c r="M6" s="87">
        <v>0</v>
      </c>
      <c r="N6" s="87">
        <v>0</v>
      </c>
      <c r="O6" s="91">
        <v>0</v>
      </c>
      <c r="P6" s="91">
        <v>0</v>
      </c>
      <c r="Q6" s="92">
        <v>209388947</v>
      </c>
      <c r="R6" s="90">
        <v>1</v>
      </c>
      <c r="S6" s="90">
        <v>1</v>
      </c>
      <c r="T6" s="90">
        <v>1</v>
      </c>
      <c r="U6" s="94">
        <v>0</v>
      </c>
      <c r="V6" s="90">
        <v>0</v>
      </c>
      <c r="W6" s="90">
        <v>0</v>
      </c>
      <c r="X6" s="5"/>
      <c r="Y6" s="42"/>
      <c r="Z6" s="42"/>
    </row>
    <row r="7" spans="1:26" ht="15">
      <c r="A7" s="83">
        <f t="shared" si="1"/>
        <v>5</v>
      </c>
      <c r="B7" s="84">
        <v>44764</v>
      </c>
      <c r="C7" s="85" t="s">
        <v>32</v>
      </c>
      <c r="D7" s="5" t="s">
        <v>26</v>
      </c>
      <c r="E7" s="86" t="s">
        <v>27</v>
      </c>
      <c r="F7" s="95">
        <v>7875</v>
      </c>
      <c r="G7" s="87">
        <v>7875</v>
      </c>
      <c r="H7" s="88">
        <f t="shared" si="0"/>
        <v>1</v>
      </c>
      <c r="I7" s="89">
        <v>0</v>
      </c>
      <c r="J7" s="89">
        <v>0</v>
      </c>
      <c r="K7" s="90">
        <v>1</v>
      </c>
      <c r="L7" s="87">
        <v>389377041</v>
      </c>
      <c r="M7" s="87" t="s">
        <v>55</v>
      </c>
      <c r="N7" s="87" t="s">
        <v>55</v>
      </c>
      <c r="O7" s="91"/>
      <c r="P7" s="91"/>
      <c r="Q7" s="92">
        <v>389377041</v>
      </c>
      <c r="R7" s="90">
        <v>1</v>
      </c>
      <c r="S7" s="90">
        <v>1</v>
      </c>
      <c r="T7" s="90">
        <v>1</v>
      </c>
      <c r="U7" s="94">
        <v>0</v>
      </c>
      <c r="V7" s="90">
        <v>0</v>
      </c>
      <c r="W7" s="90">
        <v>0</v>
      </c>
      <c r="X7" s="5"/>
      <c r="Y7" s="42"/>
      <c r="Z7" s="42"/>
    </row>
    <row r="8" spans="1:26" ht="15">
      <c r="A8" s="83">
        <f t="shared" si="1"/>
        <v>6</v>
      </c>
      <c r="B8" s="84">
        <v>44764</v>
      </c>
      <c r="C8" s="85" t="s">
        <v>34</v>
      </c>
      <c r="D8" s="5" t="s">
        <v>26</v>
      </c>
      <c r="E8" s="86" t="s">
        <v>27</v>
      </c>
      <c r="F8" s="51">
        <v>1722</v>
      </c>
      <c r="G8" s="87">
        <v>1722</v>
      </c>
      <c r="H8" s="88">
        <f t="shared" si="0"/>
        <v>1</v>
      </c>
      <c r="I8" s="89">
        <v>0</v>
      </c>
      <c r="J8" s="89">
        <v>0</v>
      </c>
      <c r="K8" s="90">
        <f>G8/F8%/100</f>
        <v>1</v>
      </c>
      <c r="L8" s="87">
        <v>28737483</v>
      </c>
      <c r="M8" s="87" t="s">
        <v>55</v>
      </c>
      <c r="N8" s="87" t="s">
        <v>55</v>
      </c>
      <c r="O8" s="91"/>
      <c r="P8" s="91"/>
      <c r="Q8" s="92">
        <v>28737483</v>
      </c>
      <c r="R8" s="90">
        <v>1</v>
      </c>
      <c r="S8" s="90">
        <v>1</v>
      </c>
      <c r="T8" s="90">
        <v>1</v>
      </c>
      <c r="U8" s="94">
        <v>0</v>
      </c>
      <c r="V8" s="90">
        <v>0</v>
      </c>
      <c r="W8" s="90">
        <v>0</v>
      </c>
      <c r="X8" s="5"/>
      <c r="Y8" s="42"/>
      <c r="Z8" s="42"/>
    </row>
    <row r="9" spans="1:26" ht="15">
      <c r="A9" s="83">
        <f t="shared" si="1"/>
        <v>7</v>
      </c>
      <c r="B9" s="84">
        <v>44764</v>
      </c>
      <c r="C9" s="85" t="s">
        <v>98</v>
      </c>
      <c r="D9" s="5" t="s">
        <v>26</v>
      </c>
      <c r="E9" s="86" t="s">
        <v>27</v>
      </c>
      <c r="F9" s="51">
        <v>1150</v>
      </c>
      <c r="G9" s="87">
        <v>1150</v>
      </c>
      <c r="H9" s="88">
        <f t="shared" si="0"/>
        <v>1</v>
      </c>
      <c r="I9" s="89">
        <v>5</v>
      </c>
      <c r="J9" s="89">
        <v>8</v>
      </c>
      <c r="K9" s="90">
        <v>0.98870000000000002</v>
      </c>
      <c r="L9" s="87">
        <v>4829893</v>
      </c>
      <c r="M9" s="87">
        <v>8560</v>
      </c>
      <c r="N9" s="87">
        <v>7412</v>
      </c>
      <c r="O9" s="91">
        <v>1148</v>
      </c>
      <c r="P9" s="91">
        <v>1148</v>
      </c>
      <c r="Q9" s="92">
        <v>4822481.01</v>
      </c>
      <c r="R9" s="93">
        <v>0.98870000000000002</v>
      </c>
      <c r="S9" s="93">
        <v>0.99670000000000003</v>
      </c>
      <c r="T9" s="93">
        <v>0.99670000000000003</v>
      </c>
      <c r="U9" s="96">
        <v>5.0000000000000001E-4</v>
      </c>
      <c r="V9" s="90">
        <v>1E-4</v>
      </c>
      <c r="W9" s="90">
        <v>6.9999999999999999E-4</v>
      </c>
      <c r="X9" s="5"/>
      <c r="Y9" s="42"/>
      <c r="Z9" s="42"/>
    </row>
    <row r="10" spans="1:26" ht="15">
      <c r="A10" s="83">
        <f t="shared" si="1"/>
        <v>8</v>
      </c>
      <c r="B10" s="84">
        <v>44764</v>
      </c>
      <c r="C10" s="85" t="s">
        <v>38</v>
      </c>
      <c r="D10" s="5" t="s">
        <v>26</v>
      </c>
      <c r="E10" s="86" t="s">
        <v>27</v>
      </c>
      <c r="F10" s="51">
        <v>1122</v>
      </c>
      <c r="G10" s="87">
        <v>1122</v>
      </c>
      <c r="H10" s="88">
        <f t="shared" si="0"/>
        <v>1</v>
      </c>
      <c r="I10" s="87">
        <v>0</v>
      </c>
      <c r="J10" s="87">
        <v>0</v>
      </c>
      <c r="K10" s="90">
        <f t="shared" ref="K10:K11" si="3">G10/F10%/100</f>
        <v>1</v>
      </c>
      <c r="L10" s="87">
        <v>15317796</v>
      </c>
      <c r="M10" s="87">
        <v>0</v>
      </c>
      <c r="N10" s="87">
        <v>0</v>
      </c>
      <c r="O10" s="91">
        <v>0</v>
      </c>
      <c r="P10" s="91">
        <v>0</v>
      </c>
      <c r="Q10" s="92">
        <v>0</v>
      </c>
      <c r="R10" s="90">
        <v>1</v>
      </c>
      <c r="S10" s="90">
        <v>1</v>
      </c>
      <c r="T10" s="90">
        <v>1</v>
      </c>
      <c r="U10" s="94">
        <v>0</v>
      </c>
      <c r="V10" s="90">
        <v>0</v>
      </c>
      <c r="W10" s="90">
        <v>0</v>
      </c>
      <c r="X10" s="5"/>
      <c r="Y10" s="42"/>
      <c r="Z10" s="42"/>
    </row>
    <row r="11" spans="1:26" ht="15">
      <c r="A11" s="83">
        <f t="shared" si="1"/>
        <v>9</v>
      </c>
      <c r="B11" s="84">
        <v>44764</v>
      </c>
      <c r="C11" s="85" t="s">
        <v>67</v>
      </c>
      <c r="D11" s="5" t="s">
        <v>26</v>
      </c>
      <c r="E11" s="86" t="s">
        <v>27</v>
      </c>
      <c r="F11" s="51">
        <v>679</v>
      </c>
      <c r="G11" s="87">
        <v>679</v>
      </c>
      <c r="H11" s="88">
        <f t="shared" si="0"/>
        <v>1</v>
      </c>
      <c r="I11" s="89">
        <v>0</v>
      </c>
      <c r="J11" s="89">
        <v>0</v>
      </c>
      <c r="K11" s="90">
        <f t="shared" si="3"/>
        <v>1</v>
      </c>
      <c r="L11" s="55">
        <v>3446719</v>
      </c>
      <c r="M11" s="55" t="s">
        <v>55</v>
      </c>
      <c r="N11" s="55">
        <v>0</v>
      </c>
      <c r="O11" s="91" t="s">
        <v>55</v>
      </c>
      <c r="P11" s="91" t="s">
        <v>55</v>
      </c>
      <c r="Q11" s="92">
        <v>679</v>
      </c>
      <c r="R11" s="90">
        <v>1</v>
      </c>
      <c r="S11" s="90">
        <v>1</v>
      </c>
      <c r="T11" s="90">
        <v>1</v>
      </c>
      <c r="U11" s="94">
        <v>0</v>
      </c>
      <c r="V11" s="90">
        <v>0</v>
      </c>
      <c r="W11" s="90">
        <v>0</v>
      </c>
      <c r="X11" s="5"/>
      <c r="Y11" s="42"/>
      <c r="Z11" s="42"/>
    </row>
    <row r="12" spans="1:26" ht="15">
      <c r="A12" s="83">
        <f t="shared" si="1"/>
        <v>10</v>
      </c>
      <c r="B12" s="84">
        <v>44764</v>
      </c>
      <c r="C12" s="85" t="s">
        <v>42</v>
      </c>
      <c r="D12" s="5" t="s">
        <v>26</v>
      </c>
      <c r="E12" s="86" t="s">
        <v>27</v>
      </c>
      <c r="F12" s="87">
        <v>200</v>
      </c>
      <c r="G12" s="87">
        <v>206</v>
      </c>
      <c r="H12" s="88">
        <f t="shared" si="0"/>
        <v>1.03</v>
      </c>
      <c r="I12" s="87">
        <v>0</v>
      </c>
      <c r="J12" s="87">
        <v>0</v>
      </c>
      <c r="K12" s="90">
        <v>1</v>
      </c>
      <c r="L12" s="55">
        <v>0</v>
      </c>
      <c r="M12" s="55">
        <v>0</v>
      </c>
      <c r="N12" s="55">
        <v>0</v>
      </c>
      <c r="O12" s="91">
        <v>0</v>
      </c>
      <c r="P12" s="91">
        <v>0</v>
      </c>
      <c r="Q12" s="92" t="s">
        <v>61</v>
      </c>
      <c r="R12" s="93">
        <v>1</v>
      </c>
      <c r="S12" s="97" t="s">
        <v>61</v>
      </c>
      <c r="T12" s="97" t="s">
        <v>61</v>
      </c>
      <c r="U12" s="96">
        <v>0</v>
      </c>
      <c r="V12" s="90">
        <v>0</v>
      </c>
      <c r="W12" s="90">
        <v>0</v>
      </c>
      <c r="X12" s="5"/>
      <c r="Y12" s="42"/>
      <c r="Z12" s="42"/>
    </row>
    <row r="13" spans="1:26" ht="15">
      <c r="A13" s="83">
        <f t="shared" si="1"/>
        <v>11</v>
      </c>
      <c r="B13" s="84">
        <v>44764</v>
      </c>
      <c r="C13" s="85" t="s">
        <v>68</v>
      </c>
      <c r="D13" s="5" t="s">
        <v>26</v>
      </c>
      <c r="E13" s="86" t="s">
        <v>27</v>
      </c>
      <c r="F13" s="95">
        <v>2475</v>
      </c>
      <c r="G13" s="51">
        <v>2396</v>
      </c>
      <c r="H13" s="88">
        <f t="shared" si="0"/>
        <v>0.9680808080808081</v>
      </c>
      <c r="I13" s="89">
        <v>836</v>
      </c>
      <c r="J13" s="89">
        <v>397</v>
      </c>
      <c r="K13" s="90">
        <f t="shared" ref="K13:K14" si="4">G13/F13%/100</f>
        <v>0.96808080808080799</v>
      </c>
      <c r="L13" s="55">
        <v>10526739</v>
      </c>
      <c r="M13" s="55">
        <v>1881695</v>
      </c>
      <c r="N13" s="55">
        <v>416649</v>
      </c>
      <c r="O13" s="91"/>
      <c r="P13" s="91">
        <v>1465046</v>
      </c>
      <c r="Q13" s="92">
        <v>10110090</v>
      </c>
      <c r="R13" s="93">
        <v>0.79510000000000003</v>
      </c>
      <c r="S13" s="93">
        <v>0.79459999999999997</v>
      </c>
      <c r="T13" s="93">
        <v>0.79459999999999997</v>
      </c>
      <c r="U13" s="96">
        <v>3.0000000000000001E-3</v>
      </c>
      <c r="V13" s="90">
        <v>0</v>
      </c>
      <c r="W13" s="90">
        <v>0</v>
      </c>
      <c r="X13" s="5"/>
      <c r="Y13" s="42"/>
      <c r="Z13" s="42"/>
    </row>
    <row r="14" spans="1:26" ht="15">
      <c r="A14" s="83">
        <f t="shared" si="1"/>
        <v>12</v>
      </c>
      <c r="B14" s="84">
        <v>44764</v>
      </c>
      <c r="C14" s="85" t="s">
        <v>69</v>
      </c>
      <c r="D14" s="5" t="s">
        <v>26</v>
      </c>
      <c r="E14" s="86" t="s">
        <v>27</v>
      </c>
      <c r="F14" s="51">
        <v>1374</v>
      </c>
      <c r="G14" s="51">
        <v>1374</v>
      </c>
      <c r="H14" s="88">
        <f t="shared" si="0"/>
        <v>1</v>
      </c>
      <c r="I14" s="51">
        <v>0</v>
      </c>
      <c r="J14" s="51">
        <v>0</v>
      </c>
      <c r="K14" s="90">
        <f t="shared" si="4"/>
        <v>1</v>
      </c>
      <c r="L14" s="55">
        <v>27313600</v>
      </c>
      <c r="M14" s="55">
        <v>0</v>
      </c>
      <c r="N14" s="55">
        <v>0</v>
      </c>
      <c r="O14" s="91">
        <v>0</v>
      </c>
      <c r="P14" s="91">
        <v>0</v>
      </c>
      <c r="Q14" s="92">
        <v>0</v>
      </c>
      <c r="R14" s="90">
        <v>1</v>
      </c>
      <c r="S14" s="90">
        <v>1</v>
      </c>
      <c r="T14" s="90">
        <v>1</v>
      </c>
      <c r="U14" s="94">
        <v>0</v>
      </c>
      <c r="V14" s="90">
        <v>0</v>
      </c>
      <c r="W14" s="90">
        <v>0</v>
      </c>
      <c r="X14" s="5"/>
      <c r="Y14" s="42"/>
      <c r="Z14" s="42"/>
    </row>
    <row r="15" spans="1:26" ht="15">
      <c r="A15" s="83">
        <f t="shared" si="1"/>
        <v>13</v>
      </c>
      <c r="B15" s="84">
        <v>44764</v>
      </c>
      <c r="C15" s="85" t="s">
        <v>99</v>
      </c>
      <c r="D15" s="5" t="s">
        <v>26</v>
      </c>
      <c r="E15" s="86" t="s">
        <v>27</v>
      </c>
      <c r="F15" s="95">
        <v>25000</v>
      </c>
      <c r="G15" s="51">
        <v>32048</v>
      </c>
      <c r="H15" s="88">
        <f t="shared" si="0"/>
        <v>1.2819199999999999</v>
      </c>
      <c r="I15" s="89">
        <v>0</v>
      </c>
      <c r="J15" s="51">
        <v>0</v>
      </c>
      <c r="K15" s="90">
        <v>1</v>
      </c>
      <c r="L15" s="98">
        <f>G15*1200</f>
        <v>38457600</v>
      </c>
      <c r="M15" s="98">
        <v>0</v>
      </c>
      <c r="N15" s="98">
        <v>0</v>
      </c>
      <c r="O15" s="91">
        <v>0</v>
      </c>
      <c r="P15" s="91">
        <v>0</v>
      </c>
      <c r="Q15" s="91">
        <v>0</v>
      </c>
      <c r="R15" s="93">
        <v>1</v>
      </c>
      <c r="S15" s="93">
        <v>0.99</v>
      </c>
      <c r="T15" s="93">
        <v>0.99</v>
      </c>
      <c r="U15" s="96">
        <v>0</v>
      </c>
      <c r="V15" s="90">
        <v>0</v>
      </c>
      <c r="W15" s="90">
        <v>0</v>
      </c>
      <c r="X15" s="5"/>
      <c r="Y15" s="42"/>
      <c r="Z15" s="42"/>
    </row>
    <row r="16" spans="1:26" ht="15">
      <c r="A16" s="83">
        <f t="shared" si="1"/>
        <v>14</v>
      </c>
      <c r="B16" s="84">
        <v>44764</v>
      </c>
      <c r="C16" s="85" t="s">
        <v>74</v>
      </c>
      <c r="D16" s="5" t="s">
        <v>26</v>
      </c>
      <c r="E16" s="86" t="s">
        <v>27</v>
      </c>
      <c r="F16" s="89">
        <v>29</v>
      </c>
      <c r="G16" s="89">
        <v>29</v>
      </c>
      <c r="H16" s="88">
        <f t="shared" si="0"/>
        <v>1</v>
      </c>
      <c r="I16" s="89">
        <v>0</v>
      </c>
      <c r="J16" s="89">
        <v>0</v>
      </c>
      <c r="K16" s="90">
        <v>1</v>
      </c>
      <c r="L16" s="89">
        <f>16000*10343</f>
        <v>165488000</v>
      </c>
      <c r="M16" s="89">
        <v>0</v>
      </c>
      <c r="N16" s="89">
        <v>0</v>
      </c>
      <c r="O16" s="99">
        <v>0</v>
      </c>
      <c r="P16" s="99"/>
      <c r="Q16" s="99"/>
      <c r="R16" s="93">
        <v>1</v>
      </c>
      <c r="S16" s="93">
        <v>1</v>
      </c>
      <c r="T16" s="93">
        <v>1</v>
      </c>
      <c r="U16" s="96"/>
      <c r="V16" s="90"/>
      <c r="W16" s="90"/>
      <c r="X16" s="5" t="s">
        <v>46</v>
      </c>
      <c r="Y16" s="42"/>
      <c r="Z16" s="42"/>
    </row>
    <row r="17" spans="1:26" ht="15">
      <c r="A17" s="83">
        <f t="shared" si="1"/>
        <v>15</v>
      </c>
      <c r="B17" s="84">
        <v>44764</v>
      </c>
      <c r="C17" s="85" t="s">
        <v>75</v>
      </c>
      <c r="D17" s="5" t="s">
        <v>26</v>
      </c>
      <c r="E17" s="86" t="s">
        <v>27</v>
      </c>
      <c r="F17" s="89">
        <v>4</v>
      </c>
      <c r="G17" s="89">
        <v>4</v>
      </c>
      <c r="H17" s="88">
        <f t="shared" si="0"/>
        <v>1</v>
      </c>
      <c r="I17" s="89">
        <v>0</v>
      </c>
      <c r="J17" s="89">
        <v>0</v>
      </c>
      <c r="K17" s="90">
        <v>1</v>
      </c>
      <c r="L17" s="51">
        <v>318997664</v>
      </c>
      <c r="M17" s="5">
        <v>0</v>
      </c>
      <c r="N17" s="5">
        <v>0</v>
      </c>
      <c r="O17" s="99">
        <v>0</v>
      </c>
      <c r="P17" s="99">
        <v>0</v>
      </c>
      <c r="Q17" s="99">
        <v>0</v>
      </c>
      <c r="R17" s="93">
        <v>1</v>
      </c>
      <c r="S17" s="93">
        <v>1</v>
      </c>
      <c r="T17" s="93">
        <v>1</v>
      </c>
      <c r="U17" s="96">
        <v>0</v>
      </c>
      <c r="V17" s="90">
        <v>0</v>
      </c>
      <c r="W17" s="90">
        <v>0</v>
      </c>
      <c r="X17" s="5" t="s">
        <v>46</v>
      </c>
      <c r="Y17" s="42"/>
      <c r="Z17" s="42"/>
    </row>
    <row r="18" spans="1:26" ht="15">
      <c r="A18" s="42"/>
      <c r="B18" s="42"/>
      <c r="C18" s="42"/>
      <c r="D18" s="100"/>
      <c r="E18" s="100"/>
      <c r="F18" s="101"/>
      <c r="G18" s="102"/>
      <c r="H18" s="88"/>
      <c r="I18" s="101"/>
      <c r="J18" s="102"/>
      <c r="K18" s="103"/>
      <c r="L18" s="104"/>
      <c r="M18" s="104"/>
      <c r="N18" s="105"/>
      <c r="O18" s="99"/>
      <c r="P18" s="99"/>
      <c r="Q18" s="99"/>
      <c r="R18" s="93"/>
      <c r="S18" s="93"/>
      <c r="T18" s="93"/>
      <c r="U18" s="42"/>
      <c r="V18" s="106"/>
      <c r="W18" s="106"/>
      <c r="X18" s="42"/>
      <c r="Y18" s="42"/>
      <c r="Z18" s="42"/>
    </row>
    <row r="19" spans="1:26" ht="1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">
      <c r="A21" s="42"/>
      <c r="B21" s="5"/>
      <c r="C21" s="5"/>
      <c r="D21" s="5"/>
      <c r="E21" s="5"/>
      <c r="F21" s="5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57">
      <c r="A22" s="5"/>
      <c r="B22" s="107" t="s">
        <v>100</v>
      </c>
      <c r="C22" s="79" t="s">
        <v>3</v>
      </c>
      <c r="D22" s="79" t="str">
        <f t="shared" ref="D22:D37" si="5">H2</f>
        <v>CC Adherance %</v>
      </c>
      <c r="E22" s="79" t="str">
        <f t="shared" ref="E22:F22" si="6">S2</f>
        <v>Inventory Value Accuracy -GROSS
 (IVA)</v>
      </c>
      <c r="F22" s="79" t="str">
        <f t="shared" si="6"/>
        <v>Inventory Value Accuracy -NET 
 (IVA)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">
      <c r="A23" s="5"/>
      <c r="B23" s="43">
        <v>1</v>
      </c>
      <c r="C23" s="47" t="str">
        <f t="shared" ref="C23:C37" si="7">C3</f>
        <v>Bic Cello</v>
      </c>
      <c r="D23" s="48">
        <f t="shared" si="5"/>
        <v>1</v>
      </c>
      <c r="E23" s="49">
        <f t="shared" ref="E23:F23" si="8">S3</f>
        <v>1</v>
      </c>
      <c r="F23" s="49">
        <f t="shared" si="8"/>
        <v>1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">
      <c r="A24" s="5"/>
      <c r="B24" s="43">
        <f t="shared" ref="B24:B37" si="9">B23+1</f>
        <v>2</v>
      </c>
      <c r="C24" s="47" t="str">
        <f t="shared" si="7"/>
        <v>Siemens BGR</v>
      </c>
      <c r="D24" s="48">
        <f t="shared" si="5"/>
        <v>1</v>
      </c>
      <c r="E24" s="49">
        <f t="shared" ref="E24:F24" si="10">S4</f>
        <v>1</v>
      </c>
      <c r="F24" s="49">
        <f t="shared" si="10"/>
        <v>1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">
      <c r="A25" s="5"/>
      <c r="B25" s="43">
        <f t="shared" si="9"/>
        <v>3</v>
      </c>
      <c r="C25" s="47" t="str">
        <f t="shared" si="7"/>
        <v>Siemens Kalwa</v>
      </c>
      <c r="D25" s="48">
        <f t="shared" si="5"/>
        <v>1</v>
      </c>
      <c r="E25" s="49">
        <f t="shared" ref="E25:F25" si="11">S5</f>
        <v>1</v>
      </c>
      <c r="F25" s="49">
        <f t="shared" si="11"/>
        <v>1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">
      <c r="A26" s="5"/>
      <c r="B26" s="43">
        <f t="shared" si="9"/>
        <v>4</v>
      </c>
      <c r="C26" s="47" t="str">
        <f t="shared" si="7"/>
        <v>Siemens Vapi</v>
      </c>
      <c r="D26" s="48">
        <f t="shared" si="5"/>
        <v>1</v>
      </c>
      <c r="E26" s="49">
        <f t="shared" ref="E26:F26" si="12">S6</f>
        <v>1</v>
      </c>
      <c r="F26" s="49">
        <f t="shared" si="12"/>
        <v>1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">
      <c r="A27" s="5"/>
      <c r="B27" s="43">
        <f t="shared" si="9"/>
        <v>5</v>
      </c>
      <c r="C27" s="47" t="str">
        <f t="shared" si="7"/>
        <v>Siemens Medical</v>
      </c>
      <c r="D27" s="48">
        <f t="shared" si="5"/>
        <v>1</v>
      </c>
      <c r="E27" s="49">
        <f t="shared" ref="E27:F27" si="13">S7</f>
        <v>1</v>
      </c>
      <c r="F27" s="49">
        <f t="shared" si="13"/>
        <v>1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">
      <c r="A28" s="5"/>
      <c r="B28" s="43">
        <f t="shared" si="9"/>
        <v>6</v>
      </c>
      <c r="C28" s="47" t="str">
        <f t="shared" si="7"/>
        <v>Godrej Interio</v>
      </c>
      <c r="D28" s="48">
        <f t="shared" si="5"/>
        <v>1</v>
      </c>
      <c r="E28" s="49">
        <f t="shared" ref="E28:F28" si="14">S8</f>
        <v>1</v>
      </c>
      <c r="F28" s="49">
        <f t="shared" si="14"/>
        <v>1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">
      <c r="A29" s="5"/>
      <c r="B29" s="43">
        <f t="shared" si="9"/>
        <v>7</v>
      </c>
      <c r="C29" s="47" t="str">
        <f t="shared" si="7"/>
        <v>Godrej Bran</v>
      </c>
      <c r="D29" s="48">
        <f t="shared" si="5"/>
        <v>1</v>
      </c>
      <c r="E29" s="49">
        <f t="shared" ref="E29:F29" si="15">S9</f>
        <v>0.99670000000000003</v>
      </c>
      <c r="F29" s="49">
        <f t="shared" si="15"/>
        <v>0.99670000000000003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">
      <c r="A30" s="5"/>
      <c r="B30" s="43">
        <f t="shared" si="9"/>
        <v>8</v>
      </c>
      <c r="C30" s="47" t="str">
        <f t="shared" si="7"/>
        <v>Godrej spare</v>
      </c>
      <c r="D30" s="48">
        <f t="shared" si="5"/>
        <v>1</v>
      </c>
      <c r="E30" s="49">
        <f t="shared" ref="E30:F30" si="16">S10</f>
        <v>1</v>
      </c>
      <c r="F30" s="49">
        <f t="shared" si="16"/>
        <v>1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">
      <c r="A31" s="5"/>
      <c r="B31" s="43">
        <f t="shared" si="9"/>
        <v>9</v>
      </c>
      <c r="C31" s="47" t="str">
        <f t="shared" si="7"/>
        <v>Osram</v>
      </c>
      <c r="D31" s="48">
        <f t="shared" si="5"/>
        <v>1</v>
      </c>
      <c r="E31" s="49">
        <f t="shared" ref="E31:F31" si="17">S11</f>
        <v>1</v>
      </c>
      <c r="F31" s="49">
        <f t="shared" si="17"/>
        <v>1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">
      <c r="A32" s="5"/>
      <c r="B32" s="43">
        <f t="shared" si="9"/>
        <v>10</v>
      </c>
      <c r="C32" s="47" t="str">
        <f t="shared" si="7"/>
        <v>Celio</v>
      </c>
      <c r="D32" s="48">
        <f t="shared" si="5"/>
        <v>1.03</v>
      </c>
      <c r="E32" s="49" t="str">
        <f t="shared" ref="E32:F32" si="18">S12</f>
        <v>NA</v>
      </c>
      <c r="F32" s="49" t="str">
        <f t="shared" si="18"/>
        <v>NA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">
      <c r="A33" s="5"/>
      <c r="B33" s="43">
        <f t="shared" si="9"/>
        <v>11</v>
      </c>
      <c r="C33" s="47" t="str">
        <f t="shared" si="7"/>
        <v>Welspun</v>
      </c>
      <c r="D33" s="48">
        <f t="shared" si="5"/>
        <v>0.9680808080808081</v>
      </c>
      <c r="E33" s="49">
        <f t="shared" ref="E33:F33" si="19">S13</f>
        <v>0.79459999999999997</v>
      </c>
      <c r="F33" s="49">
        <f t="shared" si="19"/>
        <v>0.79459999999999997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">
      <c r="A34" s="5"/>
      <c r="B34" s="43">
        <f t="shared" si="9"/>
        <v>12</v>
      </c>
      <c r="C34" s="47" t="str">
        <f t="shared" si="7"/>
        <v>Hansgrohe</v>
      </c>
      <c r="D34" s="48">
        <f t="shared" si="5"/>
        <v>1</v>
      </c>
      <c r="E34" s="49">
        <f t="shared" ref="E34:F34" si="20">S14</f>
        <v>1</v>
      </c>
      <c r="F34" s="49">
        <f t="shared" si="20"/>
        <v>1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">
      <c r="A35" s="5"/>
      <c r="B35" s="43">
        <f t="shared" si="9"/>
        <v>13</v>
      </c>
      <c r="C35" s="47" t="str">
        <f t="shared" si="7"/>
        <v>Eda_Mamma</v>
      </c>
      <c r="D35" s="48">
        <f t="shared" si="5"/>
        <v>1.2819199999999999</v>
      </c>
      <c r="E35" s="49">
        <f t="shared" ref="E35:F35" si="21">S15</f>
        <v>0.99</v>
      </c>
      <c r="F35" s="49">
        <f t="shared" si="21"/>
        <v>0.99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">
      <c r="A36" s="5"/>
      <c r="B36" s="43">
        <f t="shared" si="9"/>
        <v>14</v>
      </c>
      <c r="C36" s="47" t="str">
        <f t="shared" si="7"/>
        <v>Roquette</v>
      </c>
      <c r="D36" s="48">
        <f t="shared" si="5"/>
        <v>1</v>
      </c>
      <c r="E36" s="49">
        <f t="shared" ref="E36:F36" si="22">S16</f>
        <v>1</v>
      </c>
      <c r="F36" s="49">
        <f t="shared" si="22"/>
        <v>1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">
      <c r="A37" s="5"/>
      <c r="B37" s="43">
        <f t="shared" si="9"/>
        <v>15</v>
      </c>
      <c r="C37" s="47" t="str">
        <f t="shared" si="7"/>
        <v>Jubilant</v>
      </c>
      <c r="D37" s="48">
        <f t="shared" si="5"/>
        <v>1</v>
      </c>
      <c r="E37" s="49">
        <f t="shared" ref="E37:F37" si="23">S17</f>
        <v>1</v>
      </c>
      <c r="F37" s="49">
        <f t="shared" si="23"/>
        <v>1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">
      <c r="A54" s="83">
        <v>6</v>
      </c>
      <c r="B54" s="108">
        <v>44734</v>
      </c>
      <c r="C54" s="5" t="s">
        <v>92</v>
      </c>
      <c r="D54" s="5" t="s">
        <v>26</v>
      </c>
      <c r="E54" s="86" t="s">
        <v>27</v>
      </c>
      <c r="F54" s="89">
        <v>0</v>
      </c>
      <c r="G54" s="87">
        <v>0</v>
      </c>
      <c r="H54" s="88">
        <v>0</v>
      </c>
      <c r="I54" s="89">
        <v>0</v>
      </c>
      <c r="J54" s="89">
        <v>0</v>
      </c>
      <c r="K54" s="91" t="s">
        <v>55</v>
      </c>
      <c r="L54" s="87" t="s">
        <v>55</v>
      </c>
      <c r="M54" s="87" t="s">
        <v>55</v>
      </c>
      <c r="N54" s="87" t="s">
        <v>55</v>
      </c>
      <c r="O54" s="91" t="s">
        <v>55</v>
      </c>
      <c r="P54" s="91" t="s">
        <v>55</v>
      </c>
      <c r="Q54" s="92">
        <v>0</v>
      </c>
      <c r="R54" s="93">
        <v>0</v>
      </c>
      <c r="S54" s="93">
        <v>0</v>
      </c>
      <c r="T54" s="93">
        <v>0</v>
      </c>
      <c r="U54" s="96">
        <v>0</v>
      </c>
      <c r="V54" s="90">
        <v>0</v>
      </c>
      <c r="W54" s="90">
        <v>0</v>
      </c>
      <c r="X54" s="5"/>
      <c r="Y54" s="42"/>
      <c r="Z54" s="42"/>
    </row>
    <row r="55" spans="1:26" ht="15">
      <c r="A55" s="83">
        <v>10</v>
      </c>
      <c r="B55" s="84">
        <v>44734</v>
      </c>
      <c r="C55" s="83" t="s">
        <v>93</v>
      </c>
      <c r="D55" s="5" t="s">
        <v>26</v>
      </c>
      <c r="E55" s="86" t="s">
        <v>27</v>
      </c>
      <c r="F55" s="89">
        <v>0</v>
      </c>
      <c r="G55" s="87">
        <v>0</v>
      </c>
      <c r="H55" s="88">
        <v>0</v>
      </c>
      <c r="I55" s="89">
        <v>0</v>
      </c>
      <c r="J55" s="89">
        <v>0</v>
      </c>
      <c r="K55" s="91" t="s">
        <v>55</v>
      </c>
      <c r="L55" s="87" t="s">
        <v>55</v>
      </c>
      <c r="M55" s="87" t="s">
        <v>55</v>
      </c>
      <c r="N55" s="87" t="s">
        <v>55</v>
      </c>
      <c r="O55" s="91" t="s">
        <v>55</v>
      </c>
      <c r="P55" s="91" t="s">
        <v>55</v>
      </c>
      <c r="Q55" s="92">
        <v>0</v>
      </c>
      <c r="R55" s="93">
        <v>0</v>
      </c>
      <c r="S55" s="93">
        <v>0</v>
      </c>
      <c r="T55" s="93">
        <v>0</v>
      </c>
      <c r="U55" s="96">
        <v>0.01</v>
      </c>
      <c r="V55" s="90">
        <v>0</v>
      </c>
      <c r="W55" s="90">
        <v>0</v>
      </c>
      <c r="X55" s="5"/>
      <c r="Y55" s="42"/>
      <c r="Z55" s="42"/>
    </row>
    <row r="56" spans="1:26" ht="15">
      <c r="A56" s="83">
        <v>11</v>
      </c>
      <c r="B56" s="108">
        <v>44734</v>
      </c>
      <c r="C56" s="5" t="s">
        <v>39</v>
      </c>
      <c r="D56" s="5" t="s">
        <v>26</v>
      </c>
      <c r="E56" s="86" t="s">
        <v>27</v>
      </c>
      <c r="F56" s="51">
        <v>0</v>
      </c>
      <c r="G56" s="87">
        <v>0</v>
      </c>
      <c r="H56" s="88">
        <v>0</v>
      </c>
      <c r="I56" s="89">
        <v>0</v>
      </c>
      <c r="J56" s="89">
        <v>0</v>
      </c>
      <c r="K56" s="91" t="s">
        <v>55</v>
      </c>
      <c r="L56" s="55" t="s">
        <v>55</v>
      </c>
      <c r="M56" s="55" t="s">
        <v>55</v>
      </c>
      <c r="N56" s="55" t="s">
        <v>55</v>
      </c>
      <c r="O56" s="91" t="s">
        <v>55</v>
      </c>
      <c r="P56" s="91" t="s">
        <v>55</v>
      </c>
      <c r="Q56" s="92">
        <v>0</v>
      </c>
      <c r="R56" s="93">
        <v>0</v>
      </c>
      <c r="S56" s="93">
        <v>0</v>
      </c>
      <c r="T56" s="93">
        <v>0</v>
      </c>
      <c r="U56" s="96">
        <v>0.01</v>
      </c>
      <c r="V56" s="90">
        <v>0</v>
      </c>
      <c r="W56" s="90">
        <v>0</v>
      </c>
      <c r="X56" s="5"/>
      <c r="Y56" s="42"/>
      <c r="Z56" s="42"/>
    </row>
    <row r="57" spans="1:26" ht="15">
      <c r="A57" s="83">
        <v>17</v>
      </c>
      <c r="B57" s="84">
        <v>44734</v>
      </c>
      <c r="C57" s="85" t="s">
        <v>94</v>
      </c>
      <c r="D57" s="5" t="s">
        <v>26</v>
      </c>
      <c r="E57" s="86" t="s">
        <v>27</v>
      </c>
      <c r="F57" s="5"/>
      <c r="G57" s="5"/>
      <c r="H57" s="88">
        <v>0</v>
      </c>
      <c r="I57" s="87">
        <v>0</v>
      </c>
      <c r="J57" s="87">
        <v>0</v>
      </c>
      <c r="K57" s="91" t="s">
        <v>55</v>
      </c>
      <c r="L57" s="109"/>
      <c r="M57" s="109"/>
      <c r="N57" s="109"/>
      <c r="O57" s="91" t="s">
        <v>55</v>
      </c>
      <c r="P57" s="91" t="s">
        <v>55</v>
      </c>
      <c r="Q57" s="92">
        <v>0</v>
      </c>
      <c r="R57" s="93">
        <v>0</v>
      </c>
      <c r="S57" s="93">
        <v>0</v>
      </c>
      <c r="T57" s="93">
        <v>0</v>
      </c>
      <c r="U57" s="96">
        <v>9.4999999999999998E-3</v>
      </c>
      <c r="V57" s="90">
        <v>0</v>
      </c>
      <c r="W57" s="90">
        <v>0</v>
      </c>
      <c r="X57" s="5"/>
      <c r="Y57" s="42"/>
      <c r="Z57" s="42"/>
    </row>
    <row r="58" spans="1:26" ht="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</sheetData>
  <hyperlinks>
    <hyperlink ref="B22" r:id="rId1" xr:uid="{00000000-0004-0000-0900-000000000000}"/>
  </hyperlinks>
  <pageMargins left="0.7" right="0.7" top="0.75" bottom="0.75" header="0.3" footer="0.3"/>
  <headerFooter>
    <oddHeader>&amp;C&amp;"Calibri"&amp;10&amp;K000000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May-26</vt:lpstr>
      <vt:lpstr>March-23</vt:lpstr>
      <vt:lpstr>February-23</vt:lpstr>
      <vt:lpstr>January-23</vt:lpstr>
      <vt:lpstr>December-22</vt:lpstr>
      <vt:lpstr>November-22</vt:lpstr>
      <vt:lpstr>October-22</vt:lpstr>
      <vt:lpstr>September-22</vt:lpstr>
      <vt:lpstr>August-22</vt:lpstr>
      <vt:lpstr>July-22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Salunke</dc:creator>
  <cp:lastModifiedBy>Aditya Salunke</cp:lastModifiedBy>
  <dcterms:created xsi:type="dcterms:W3CDTF">2023-05-03T06:23:57Z</dcterms:created>
  <dcterms:modified xsi:type="dcterms:W3CDTF">2026-06-01T09:32:11Z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e56841-897a-4359-87a7-ac954c2e1f5c_Enabled">
    <vt:lpwstr>true</vt:lpwstr>
  </property>
  <property fmtid="{D5CDD505-2E9C-101B-9397-08002B2CF9AE}" pid="3" name="MSIP_Label_16e56841-897a-4359-87a7-ac954c2e1f5c_SetDate">
    <vt:lpwstr>2025-07-02T05:41:56Z</vt:lpwstr>
  </property>
  <property fmtid="{D5CDD505-2E9C-101B-9397-08002B2CF9AE}" pid="4" name="MSIP_Label_16e56841-897a-4359-87a7-ac954c2e1f5c_Method">
    <vt:lpwstr>Privileged</vt:lpwstr>
  </property>
  <property fmtid="{D5CDD505-2E9C-101B-9397-08002B2CF9AE}" pid="5" name="MSIP_Label_16e56841-897a-4359-87a7-ac954c2e1f5c_Name">
    <vt:lpwstr>Public-O365</vt:lpwstr>
  </property>
  <property fmtid="{D5CDD505-2E9C-101B-9397-08002B2CF9AE}" pid="6" name="MSIP_Label_16e56841-897a-4359-87a7-ac954c2e1f5c_SiteId">
    <vt:lpwstr>d44ff723-4fa7-405e-afc0-43c21e573043</vt:lpwstr>
  </property>
  <property fmtid="{D5CDD505-2E9C-101B-9397-08002B2CF9AE}" pid="7" name="MSIP_Label_16e56841-897a-4359-87a7-ac954c2e1f5c_ActionId">
    <vt:lpwstr>ec162d33-1a5e-4eb9-805b-b099f53884e2</vt:lpwstr>
  </property>
  <property fmtid="{D5CDD505-2E9C-101B-9397-08002B2CF9AE}" pid="8" name="MSIP_Label_16e56841-897a-4359-87a7-ac954c2e1f5c_ContentBits">
    <vt:lpwstr>1</vt:lpwstr>
  </property>
  <property fmtid="{D5CDD505-2E9C-101B-9397-08002B2CF9AE}" pid="9" name="MSIP_Label_16e56841-897a-4359-87a7-ac954c2e1f5c_Tag">
    <vt:lpwstr>10, 0, 1, 1</vt:lpwstr>
  </property>
</Properties>
</file>