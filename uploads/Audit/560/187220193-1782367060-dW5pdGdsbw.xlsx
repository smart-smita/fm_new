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drej-my.sharepoint.com/personal/adityams_sp_godrej_com/Documents/Desktop/Daily Working/"/>
    </mc:Choice>
  </mc:AlternateContent>
  <xr:revisionPtr revIDLastSave="874" documentId="8_{42F24471-46C4-4C90-A99B-EC0D8C8ED49D}" xr6:coauthVersionLast="47" xr6:coauthVersionMax="47" xr10:uidLastSave="{CCF90C6F-701F-45B9-8DDF-9B3CC00D41AF}"/>
  <bookViews>
    <workbookView xWindow="-120" yWindow="-120" windowWidth="24240" windowHeight="13020" firstSheet="1" activeTab="1" xr2:uid="{00000000-000D-0000-FFFF-FFFF00000000}"/>
  </bookViews>
  <sheets>
    <sheet name="Summery" sheetId="2" r:id="rId1"/>
    <sheet name="Jun_26" sheetId="1" r:id="rId2"/>
  </sheets>
  <definedNames>
    <definedName name="_xlnm._FilterDatabase" localSheetId="1" hidden="1">Jun_26!$A$1:$A$24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K11" i="2"/>
  <c r="J11" i="2"/>
  <c r="I11" i="2"/>
  <c r="H11" i="2"/>
  <c r="G11" i="2"/>
  <c r="F11" i="2"/>
  <c r="E11" i="2"/>
  <c r="D11" i="2"/>
  <c r="C11" i="2"/>
  <c r="K9" i="2"/>
  <c r="J9" i="2"/>
  <c r="I9" i="2"/>
  <c r="H9" i="2"/>
  <c r="G9" i="2"/>
  <c r="F9" i="2"/>
  <c r="E9" i="2"/>
  <c r="D9" i="2"/>
  <c r="C9" i="2"/>
  <c r="I23" i="1"/>
  <c r="I22" i="1"/>
  <c r="I13" i="1"/>
  <c r="I12" i="1"/>
  <c r="J13" i="1"/>
  <c r="H30" i="1" l="1"/>
  <c r="AF37" i="1"/>
  <c r="C30" i="1" l="1"/>
  <c r="B30" i="1"/>
  <c r="E30" i="1"/>
  <c r="AC23" i="1"/>
  <c r="AB23" i="1"/>
  <c r="V23" i="1"/>
  <c r="U23" i="1"/>
  <c r="AD22" i="1"/>
  <c r="AC22" i="1"/>
  <c r="W22" i="1"/>
  <c r="V22" i="1"/>
  <c r="U22" i="1"/>
  <c r="R22" i="1"/>
  <c r="AD13" i="1"/>
  <c r="X13" i="1"/>
  <c r="W13" i="1"/>
  <c r="V13" i="1"/>
  <c r="U13" i="1"/>
  <c r="T13" i="1"/>
  <c r="R13" i="1"/>
  <c r="X12" i="1"/>
  <c r="W12" i="1"/>
  <c r="V12" i="1"/>
  <c r="U12" i="1"/>
  <c r="T12" i="1"/>
  <c r="F28" i="1"/>
  <c r="F30" i="1" s="1"/>
  <c r="C2" i="1"/>
  <c r="D2" i="1" s="1"/>
  <c r="B3" i="1"/>
  <c r="AF6" i="1"/>
  <c r="AF7" i="1"/>
  <c r="AF8" i="1"/>
  <c r="B9" i="1"/>
  <c r="B13" i="1" s="1"/>
  <c r="C9" i="1"/>
  <c r="C13" i="1" s="1"/>
  <c r="D9" i="1"/>
  <c r="D13" i="1" s="1"/>
  <c r="E9" i="1"/>
  <c r="E13" i="1" s="1"/>
  <c r="F9" i="1"/>
  <c r="F12" i="1" s="1"/>
  <c r="G9" i="1"/>
  <c r="G12" i="1" s="1"/>
  <c r="H9" i="1"/>
  <c r="H12" i="1" s="1"/>
  <c r="I9" i="1"/>
  <c r="J9" i="1"/>
  <c r="J12" i="1" s="1"/>
  <c r="K9" i="1"/>
  <c r="K13" i="1" s="1"/>
  <c r="L9" i="1"/>
  <c r="L12" i="1" s="1"/>
  <c r="M9" i="1"/>
  <c r="M12" i="1" s="1"/>
  <c r="N9" i="1"/>
  <c r="N13" i="1" s="1"/>
  <c r="O9" i="1"/>
  <c r="O13" i="1" s="1"/>
  <c r="P9" i="1"/>
  <c r="P13" i="1" s="1"/>
  <c r="Q9" i="1"/>
  <c r="Q13" i="1" s="1"/>
  <c r="R9" i="1"/>
  <c r="R12" i="1" s="1"/>
  <c r="S9" i="1"/>
  <c r="S13" i="1" s="1"/>
  <c r="T9" i="1"/>
  <c r="U9" i="1"/>
  <c r="V9" i="1"/>
  <c r="W9" i="1"/>
  <c r="X9" i="1"/>
  <c r="Y9" i="1"/>
  <c r="Y13" i="1" s="1"/>
  <c r="Z9" i="1"/>
  <c r="Z13" i="1" s="1"/>
  <c r="AA9" i="1"/>
  <c r="AA13" i="1" s="1"/>
  <c r="AB9" i="1"/>
  <c r="AB13" i="1" s="1"/>
  <c r="AC9" i="1"/>
  <c r="AC13" i="1" s="1"/>
  <c r="AD9" i="1"/>
  <c r="AD12" i="1" s="1"/>
  <c r="AE9" i="1"/>
  <c r="AE12" i="1" s="1"/>
  <c r="AF10" i="1"/>
  <c r="B2" i="2" s="1"/>
  <c r="AF11" i="1"/>
  <c r="B5" i="2" s="1"/>
  <c r="AF16" i="1"/>
  <c r="AF17" i="1"/>
  <c r="AF18" i="1"/>
  <c r="B19" i="1"/>
  <c r="B22" i="1" s="1"/>
  <c r="C19" i="1"/>
  <c r="C22" i="1" s="1"/>
  <c r="D19" i="1"/>
  <c r="D23" i="1" s="1"/>
  <c r="E19" i="1"/>
  <c r="E22" i="1" s="1"/>
  <c r="F19" i="1"/>
  <c r="F22" i="1" s="1"/>
  <c r="G19" i="1"/>
  <c r="G22" i="1" s="1"/>
  <c r="H19" i="1"/>
  <c r="H23" i="1" s="1"/>
  <c r="I19" i="1"/>
  <c r="J19" i="1"/>
  <c r="J22" i="1" s="1"/>
  <c r="K19" i="1"/>
  <c r="K23" i="1" s="1"/>
  <c r="L19" i="1"/>
  <c r="L23" i="1" s="1"/>
  <c r="M19" i="1"/>
  <c r="M23" i="1" s="1"/>
  <c r="N19" i="1"/>
  <c r="N23" i="1" s="1"/>
  <c r="O19" i="1"/>
  <c r="O23" i="1" s="1"/>
  <c r="P19" i="1"/>
  <c r="Q19" i="1"/>
  <c r="R19" i="1"/>
  <c r="R23" i="1" s="1"/>
  <c r="S19" i="1"/>
  <c r="S23" i="1" s="1"/>
  <c r="T19" i="1"/>
  <c r="T23" i="1" s="1"/>
  <c r="U19" i="1"/>
  <c r="V19" i="1"/>
  <c r="W19" i="1"/>
  <c r="W23" i="1" s="1"/>
  <c r="X19" i="1"/>
  <c r="X23" i="1" s="1"/>
  <c r="Y19" i="1"/>
  <c r="Y23" i="1" s="1"/>
  <c r="Z19" i="1"/>
  <c r="Z23" i="1" s="1"/>
  <c r="AA19" i="1"/>
  <c r="AA23" i="1" s="1"/>
  <c r="AB19" i="1"/>
  <c r="AB22" i="1" s="1"/>
  <c r="AC19" i="1"/>
  <c r="AD19" i="1"/>
  <c r="AD23" i="1" s="1"/>
  <c r="AE19" i="1"/>
  <c r="AE22" i="1" s="1"/>
  <c r="AF20" i="1"/>
  <c r="B3" i="2" s="1"/>
  <c r="AF21" i="1"/>
  <c r="B6" i="2" s="1"/>
  <c r="AF26" i="1"/>
  <c r="AF27" i="1"/>
  <c r="B28" i="1"/>
  <c r="C28" i="1"/>
  <c r="D28" i="1"/>
  <c r="D30" i="1" s="1"/>
  <c r="E28" i="1"/>
  <c r="G28" i="1"/>
  <c r="G30" i="1" s="1"/>
  <c r="H28" i="1"/>
  <c r="I28" i="1"/>
  <c r="J28" i="1"/>
  <c r="K28" i="1"/>
  <c r="K30" i="1" s="1"/>
  <c r="L28" i="1"/>
  <c r="L30" i="1" s="1"/>
  <c r="M28" i="1"/>
  <c r="M30" i="1" s="1"/>
  <c r="N28" i="1"/>
  <c r="N30" i="1" s="1"/>
  <c r="O28" i="1"/>
  <c r="O30" i="1" s="1"/>
  <c r="P28" i="1"/>
  <c r="P30" i="1" s="1"/>
  <c r="Q28" i="1"/>
  <c r="Q30" i="1" s="1"/>
  <c r="R28" i="1"/>
  <c r="R30" i="1" s="1"/>
  <c r="S28" i="1"/>
  <c r="S30" i="1" s="1"/>
  <c r="T28" i="1"/>
  <c r="T30" i="1" s="1"/>
  <c r="U28" i="1"/>
  <c r="U30" i="1" s="1"/>
  <c r="V28" i="1"/>
  <c r="V30" i="1" s="1"/>
  <c r="W28" i="1"/>
  <c r="W30" i="1" s="1"/>
  <c r="X28" i="1"/>
  <c r="X30" i="1" s="1"/>
  <c r="Y28" i="1"/>
  <c r="Z28" i="1"/>
  <c r="Z30" i="1" s="1"/>
  <c r="AA28" i="1"/>
  <c r="AA30" i="1" s="1"/>
  <c r="AB28" i="1"/>
  <c r="AB30" i="1" s="1"/>
  <c r="AC28" i="1"/>
  <c r="AC30" i="1" s="1"/>
  <c r="AD28" i="1"/>
  <c r="AD30" i="1" s="1"/>
  <c r="AE28" i="1"/>
  <c r="AE30" i="1" s="1"/>
  <c r="AF29" i="1"/>
  <c r="I30" i="1"/>
  <c r="J30" i="1"/>
  <c r="Y30" i="1"/>
  <c r="AF33" i="1"/>
  <c r="AF34" i="1"/>
  <c r="AF35" i="1"/>
  <c r="AF36" i="1"/>
  <c r="Q23" i="1" l="1"/>
  <c r="Q22" i="1"/>
  <c r="P22" i="1"/>
  <c r="P23" i="1"/>
  <c r="L13" i="1"/>
  <c r="K12" i="1"/>
  <c r="B4" i="2"/>
  <c r="B7" i="2"/>
  <c r="K22" i="1"/>
  <c r="J23" i="1"/>
  <c r="H13" i="1"/>
  <c r="S12" i="1"/>
  <c r="H22" i="1"/>
  <c r="AE13" i="1"/>
  <c r="S22" i="1"/>
  <c r="AE23" i="1"/>
  <c r="Y12" i="1"/>
  <c r="N12" i="1"/>
  <c r="Z12" i="1"/>
  <c r="M13" i="1"/>
  <c r="L22" i="1"/>
  <c r="X22" i="1"/>
  <c r="G23" i="1"/>
  <c r="AA12" i="1"/>
  <c r="M22" i="1"/>
  <c r="Y22" i="1"/>
  <c r="P12" i="1"/>
  <c r="AB12" i="1"/>
  <c r="N22" i="1"/>
  <c r="Z22" i="1"/>
  <c r="G13" i="1"/>
  <c r="Q12" i="1"/>
  <c r="AC12" i="1"/>
  <c r="O22" i="1"/>
  <c r="AA22" i="1"/>
  <c r="T22" i="1"/>
  <c r="F13" i="1"/>
  <c r="F23" i="1"/>
  <c r="D22" i="1"/>
  <c r="B23" i="1"/>
  <c r="C23" i="1"/>
  <c r="D12" i="1"/>
  <c r="C12" i="1"/>
  <c r="B12" i="1"/>
  <c r="E2" i="1"/>
  <c r="F2" i="1" s="1"/>
  <c r="D3" i="1"/>
  <c r="E12" i="1"/>
  <c r="AF19" i="1"/>
  <c r="AF9" i="1"/>
  <c r="AF12" i="1" s="1"/>
  <c r="C3" i="1"/>
  <c r="AF28" i="1"/>
  <c r="AF30" i="1" s="1"/>
  <c r="E23" i="1"/>
  <c r="AF23" i="1" l="1"/>
  <c r="AF22" i="1"/>
  <c r="B8" i="2"/>
  <c r="AF13" i="1"/>
  <c r="E3" i="1"/>
  <c r="F3" i="1"/>
  <c r="G2" i="1"/>
  <c r="B9" i="2" l="1"/>
  <c r="B11" i="2"/>
  <c r="H2" i="1"/>
  <c r="G3" i="1"/>
  <c r="I2" i="1" l="1"/>
  <c r="H3" i="1"/>
  <c r="I3" i="1" l="1"/>
  <c r="J2" i="1"/>
  <c r="K2" i="1" l="1"/>
  <c r="J3" i="1"/>
  <c r="K3" i="1" l="1"/>
  <c r="L2" i="1"/>
  <c r="L3" i="1" l="1"/>
  <c r="M2" i="1"/>
  <c r="M3" i="1" l="1"/>
  <c r="N2" i="1"/>
  <c r="O2" i="1" l="1"/>
  <c r="N3" i="1"/>
  <c r="P2" i="1" l="1"/>
  <c r="O3" i="1"/>
  <c r="Q2" i="1" l="1"/>
  <c r="P3" i="1"/>
  <c r="R2" i="1" l="1"/>
  <c r="Q3" i="1"/>
  <c r="S2" i="1" l="1"/>
  <c r="R3" i="1"/>
  <c r="T2" i="1" l="1"/>
  <c r="S3" i="1"/>
  <c r="U2" i="1" l="1"/>
  <c r="T3" i="1"/>
  <c r="U3" i="1" l="1"/>
  <c r="V2" i="1"/>
  <c r="W2" i="1" l="1"/>
  <c r="V3" i="1"/>
  <c r="W3" i="1" l="1"/>
  <c r="X2" i="1"/>
  <c r="X3" i="1" l="1"/>
  <c r="Y2" i="1"/>
  <c r="Y3" i="1" l="1"/>
  <c r="Z2" i="1"/>
  <c r="AA2" i="1" l="1"/>
  <c r="Z3" i="1"/>
  <c r="AA3" i="1" l="1"/>
  <c r="AB2" i="1"/>
  <c r="AC2" i="1" l="1"/>
  <c r="AB3" i="1"/>
  <c r="AD2" i="1" l="1"/>
  <c r="AC3" i="1"/>
  <c r="AE2" i="1" l="1"/>
  <c r="AE3" i="1" s="1"/>
  <c r="AD3" i="1"/>
</calcChain>
</file>

<file path=xl/sharedStrings.xml><?xml version="1.0" encoding="utf-8"?>
<sst xmlns="http://schemas.openxmlformats.org/spreadsheetml/2006/main" count="81" uniqueCount="48">
  <si>
    <t>Month Wise Productivity FY 26-27</t>
  </si>
  <si>
    <t>Jun_26</t>
  </si>
  <si>
    <t>Jul_26</t>
  </si>
  <si>
    <t>Aug_26</t>
  </si>
  <si>
    <t>Sep_26</t>
  </si>
  <si>
    <t>Oct_26</t>
  </si>
  <si>
    <t>Nov_26</t>
  </si>
  <si>
    <t>Dec_26</t>
  </si>
  <si>
    <t>Jan_27</t>
  </si>
  <si>
    <t>Feb_27</t>
  </si>
  <si>
    <t>Mar_27</t>
  </si>
  <si>
    <t>Total Inward Lines</t>
  </si>
  <si>
    <t>Total Outward Lines</t>
  </si>
  <si>
    <t>Total Lines</t>
  </si>
  <si>
    <t>Total Inward Qty</t>
  </si>
  <si>
    <t>Total Outward Qty</t>
  </si>
  <si>
    <t>Total Qty</t>
  </si>
  <si>
    <t>Total Direct Manhrs</t>
  </si>
  <si>
    <t>Lines per hour per person</t>
  </si>
  <si>
    <t>Target</t>
  </si>
  <si>
    <t>Qty per hour per person</t>
  </si>
  <si>
    <t>Godrej MHE Jun-26</t>
  </si>
  <si>
    <t>W/Off</t>
  </si>
  <si>
    <t xml:space="preserve"> </t>
  </si>
  <si>
    <t>Total</t>
  </si>
  <si>
    <t>Inward</t>
  </si>
  <si>
    <t>Supervisor+DEO</t>
  </si>
  <si>
    <t>Unskilled+Associates</t>
  </si>
  <si>
    <t>Overtime (direct) Hours</t>
  </si>
  <si>
    <t>Manhours</t>
  </si>
  <si>
    <t>Lines Inward</t>
  </si>
  <si>
    <t>Qty Inward</t>
  </si>
  <si>
    <t>Outward</t>
  </si>
  <si>
    <t>Lines Dispacth</t>
  </si>
  <si>
    <t>Qty Dispacth</t>
  </si>
  <si>
    <t>Inventory</t>
  </si>
  <si>
    <t>MIC</t>
  </si>
  <si>
    <t>System Issue</t>
  </si>
  <si>
    <t>Locations Counted</t>
  </si>
  <si>
    <t>Safety</t>
  </si>
  <si>
    <t>Kiazen</t>
  </si>
  <si>
    <t>Hazards</t>
  </si>
  <si>
    <t>Nearmiss</t>
  </si>
  <si>
    <t>Behaiviour Analysis</t>
  </si>
  <si>
    <t>Training Hrs</t>
  </si>
  <si>
    <t>SCM/Audit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</si>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</sst>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16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" fontId="1" fillId="2" borderId="2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" fontId="1" fillId="2" borderId="0" xfId="0" applyNumberFormat="1" applyFont="1" applyFill="1" applyAlignment="1">
      <alignment horizontal="center"/>
    </xf>
    <xf numFmtId="0" fontId="1" fillId="0" borderId="10" xfId="0" applyFont="1" applyBorder="1" applyAlignment="1">
      <alignment horizontal="left" indent="3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left" indent="3"/>
    </xf>
    <xf numFmtId="0" fontId="1" fillId="5" borderId="12" xfId="0" applyFont="1" applyFill="1" applyBorder="1" applyAlignment="1">
      <alignment horizontal="left" indent="3"/>
    </xf>
    <xf numFmtId="0" fontId="1" fillId="5" borderId="13" xfId="0" applyFont="1" applyFill="1" applyBorder="1" applyAlignment="1">
      <alignment horizontal="left" indent="3"/>
    </xf>
    <xf numFmtId="164" fontId="1" fillId="5" borderId="14" xfId="0" applyNumberFormat="1" applyFont="1" applyFill="1" applyBorder="1" applyAlignment="1">
      <alignment horizontal="center"/>
    </xf>
    <xf numFmtId="16" fontId="5" fillId="2" borderId="0" xfId="0" applyNumberFormat="1" applyFont="1" applyFill="1" applyAlignment="1">
      <alignment horizontal="center" wrapText="1"/>
    </xf>
    <xf numFmtId="164" fontId="1" fillId="0" borderId="13" xfId="0" applyNumberFormat="1" applyFont="1" applyBorder="1" applyAlignment="1">
      <alignment horizontal="left" indent="3"/>
    </xf>
    <xf numFmtId="164" fontId="2" fillId="0" borderId="14" xfId="0" applyNumberFormat="1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" fontId="1" fillId="4" borderId="15" xfId="0" applyNumberFormat="1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164" fontId="1" fillId="5" borderId="15" xfId="0" applyNumberFormat="1" applyFont="1" applyFill="1" applyBorder="1" applyAlignment="1">
      <alignment horizontal="center"/>
    </xf>
    <xf numFmtId="164" fontId="1" fillId="5" borderId="17" xfId="0" applyNumberFormat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" fontId="1" fillId="2" borderId="8" xfId="0" applyNumberFormat="1" applyFont="1" applyFill="1" applyBorder="1" applyAlignment="1">
      <alignment horizontal="center"/>
    </xf>
    <xf numFmtId="16" fontId="1" fillId="2" borderId="9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164" fontId="1" fillId="5" borderId="19" xfId="0" applyNumberFormat="1" applyFont="1" applyFill="1" applyBorder="1" applyAlignment="1">
      <alignment horizontal="center"/>
    </xf>
    <xf numFmtId="164" fontId="1" fillId="5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Summery!$A$9:$A$10</c:f>
              <c:strCache>
                <c:ptCount val="2"/>
                <c:pt idx="0">
                  <c:v>Lines per hour per person</c:v>
                </c:pt>
                <c:pt idx="1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Summery!$B$1:$K$1</c:f>
              <c:strCache>
                <c:ptCount val="10"/>
                <c:pt idx="0">
                  <c:v>Jun_26</c:v>
                </c:pt>
                <c:pt idx="1">
                  <c:v>Jul_26</c:v>
                </c:pt>
                <c:pt idx="2">
                  <c:v>Aug_26</c:v>
                </c:pt>
                <c:pt idx="3">
                  <c:v>Sep_26</c:v>
                </c:pt>
                <c:pt idx="4">
                  <c:v>Oct_26</c:v>
                </c:pt>
                <c:pt idx="5">
                  <c:v>Nov_26</c:v>
                </c:pt>
                <c:pt idx="6">
                  <c:v>Dec_26</c:v>
                </c:pt>
                <c:pt idx="7">
                  <c:v>Jan_27</c:v>
                </c:pt>
                <c:pt idx="8">
                  <c:v>Feb_27</c:v>
                </c:pt>
                <c:pt idx="9">
                  <c:v>Mar_27</c:v>
                </c:pt>
              </c:strCache>
            </c:strRef>
          </c:cat>
          <c:val>
            <c:numRef>
              <c:f>Summery!$B$9:$K$9</c:f>
              <c:numCache>
                <c:formatCode>0.0</c:formatCode>
                <c:ptCount val="10"/>
                <c:pt idx="0" formatCode="0.00">
                  <c:v>3.645621181262729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3-448F-B3EF-0BB153EE76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22648928"/>
        <c:axId val="1822646048"/>
      </c:barChart>
      <c:catAx>
        <c:axId val="18226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46048"/>
        <c:crosses val="autoZero"/>
        <c:auto val="1"/>
        <c:lblAlgn val="ctr"/>
        <c:lblOffset val="100"/>
        <c:noMultiLvlLbl val="0"/>
      </c:catAx>
      <c:valAx>
        <c:axId val="18226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4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4762</xdr:rowOff>
    </xdr:from>
    <xdr:to>
      <xdr:col>11</xdr:col>
      <xdr:colOff>19050</xdr:colOff>
      <xdr:row>26</xdr:row>
      <xdr:rowOff>80962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901287FD-FA80-06B0-6DE7-2328EF6E6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EE04-756E-4473-AF92-22FFD8AFA121}">
  <dimension ref="A1:K11"/>
  <sheetViews>
    <sheetView workbookViewId="0">
      <selection activeCell="C2" sqref="C2"/>
    </sheetView>
  </sheetViews>
  <sheetFormatPr defaultRowHeight="15"/>
  <cols>
    <col min="1" max="1" width="33" style="40" customWidth="1"/>
    <col min="2" max="11" width="11" customWidth="1"/>
  </cols>
  <sheetData>
    <row r="1" spans="1:11" ht="30.75" customHeight="1">
      <c r="A1" s="44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</row>
    <row r="2" spans="1:11">
      <c r="A2" s="42" t="s">
        <v>11</v>
      </c>
      <c r="B2" s="39">
        <f>Jun_26!AF10</f>
        <v>1974</v>
      </c>
      <c r="C2" s="39"/>
      <c r="D2" s="39"/>
      <c r="E2" s="39"/>
      <c r="F2" s="39"/>
      <c r="G2" s="39"/>
      <c r="H2" s="39"/>
      <c r="I2" s="39"/>
      <c r="J2" s="39"/>
      <c r="K2" s="39"/>
    </row>
    <row r="3" spans="1:11">
      <c r="A3" s="42" t="s">
        <v>12</v>
      </c>
      <c r="B3" s="39">
        <f>Jun_26!AF20</f>
        <v>6976</v>
      </c>
      <c r="C3" s="39"/>
      <c r="D3" s="39"/>
      <c r="E3" s="39"/>
      <c r="F3" s="39"/>
      <c r="G3" s="39"/>
      <c r="H3" s="39"/>
      <c r="I3" s="39"/>
      <c r="J3" s="39"/>
      <c r="K3" s="39"/>
    </row>
    <row r="4" spans="1:11">
      <c r="A4" s="42" t="s">
        <v>13</v>
      </c>
      <c r="B4" s="39">
        <f>B3+B2</f>
        <v>8950</v>
      </c>
      <c r="C4" s="39"/>
      <c r="D4" s="39"/>
      <c r="E4" s="39"/>
      <c r="F4" s="39"/>
      <c r="G4" s="39"/>
      <c r="H4" s="39"/>
      <c r="I4" s="39"/>
      <c r="J4" s="39"/>
      <c r="K4" s="39"/>
    </row>
    <row r="5" spans="1:11">
      <c r="A5" s="42" t="s">
        <v>14</v>
      </c>
      <c r="B5" s="39">
        <f>Jun_26!AF11</f>
        <v>29929</v>
      </c>
      <c r="C5" s="39"/>
      <c r="D5" s="39"/>
      <c r="E5" s="39"/>
      <c r="F5" s="39"/>
      <c r="G5" s="39"/>
      <c r="H5" s="39"/>
      <c r="I5" s="39"/>
      <c r="J5" s="39"/>
      <c r="K5" s="39"/>
    </row>
    <row r="6" spans="1:11">
      <c r="A6" s="42" t="s">
        <v>15</v>
      </c>
      <c r="B6" s="39">
        <f>Jun_26!AF21</f>
        <v>24763</v>
      </c>
      <c r="C6" s="39"/>
      <c r="D6" s="39"/>
      <c r="E6" s="39"/>
      <c r="F6" s="39"/>
      <c r="G6" s="39"/>
      <c r="H6" s="39"/>
      <c r="I6" s="39"/>
      <c r="J6" s="39"/>
      <c r="K6" s="39"/>
    </row>
    <row r="7" spans="1:11">
      <c r="A7" s="42" t="s">
        <v>16</v>
      </c>
      <c r="B7" s="39">
        <f>B5+B6</f>
        <v>54692</v>
      </c>
      <c r="C7" s="39"/>
      <c r="D7" s="39"/>
      <c r="E7" s="39"/>
      <c r="F7" s="39"/>
      <c r="G7" s="39"/>
      <c r="H7" s="39"/>
      <c r="I7" s="39"/>
      <c r="J7" s="39"/>
      <c r="K7" s="39"/>
    </row>
    <row r="8" spans="1:11">
      <c r="A8" s="42" t="s">
        <v>17</v>
      </c>
      <c r="B8" s="39">
        <f>Jun_26!AF9+Jun_26!AF19</f>
        <v>2455</v>
      </c>
      <c r="C8" s="39"/>
      <c r="D8" s="39"/>
      <c r="E8" s="39"/>
      <c r="F8" s="39"/>
      <c r="G8" s="39"/>
      <c r="H8" s="39"/>
      <c r="I8" s="39"/>
      <c r="J8" s="39"/>
      <c r="K8" s="39"/>
    </row>
    <row r="9" spans="1:11" ht="15.75" customHeight="1">
      <c r="A9" s="43" t="s">
        <v>18</v>
      </c>
      <c r="B9" s="45">
        <f>IFERROR(B4/B8,"NA")</f>
        <v>3.645621181262729</v>
      </c>
      <c r="C9" s="10" t="str">
        <f t="shared" ref="C9:K9" si="0">IFERROR(C4/C8,"NA")</f>
        <v>NA</v>
      </c>
      <c r="D9" s="10" t="str">
        <f t="shared" si="0"/>
        <v>NA</v>
      </c>
      <c r="E9" s="10" t="str">
        <f t="shared" si="0"/>
        <v>NA</v>
      </c>
      <c r="F9" s="10" t="str">
        <f t="shared" si="0"/>
        <v>NA</v>
      </c>
      <c r="G9" s="10" t="str">
        <f t="shared" si="0"/>
        <v>NA</v>
      </c>
      <c r="H9" s="10" t="str">
        <f t="shared" si="0"/>
        <v>NA</v>
      </c>
      <c r="I9" s="10" t="str">
        <f t="shared" si="0"/>
        <v>NA</v>
      </c>
      <c r="J9" s="10" t="str">
        <f t="shared" si="0"/>
        <v>NA</v>
      </c>
      <c r="K9" s="10" t="str">
        <f t="shared" si="0"/>
        <v>NA</v>
      </c>
    </row>
    <row r="10" spans="1:11" ht="15.75" customHeight="1">
      <c r="A10" s="43" t="s">
        <v>19</v>
      </c>
      <c r="B10" s="45">
        <v>4</v>
      </c>
      <c r="C10" s="10">
        <v>4</v>
      </c>
      <c r="D10" s="10">
        <v>4</v>
      </c>
      <c r="E10" s="10">
        <v>4</v>
      </c>
      <c r="F10" s="10">
        <v>4</v>
      </c>
      <c r="G10" s="10">
        <v>4</v>
      </c>
      <c r="H10" s="10">
        <v>4</v>
      </c>
      <c r="I10" s="10">
        <v>4</v>
      </c>
      <c r="J10" s="10">
        <v>4</v>
      </c>
      <c r="K10" s="10">
        <v>4</v>
      </c>
    </row>
    <row r="11" spans="1:11">
      <c r="A11" s="43" t="s">
        <v>20</v>
      </c>
      <c r="B11" s="45">
        <f>IFERROR(B7/B8,"NA")</f>
        <v>22.277800407331977</v>
      </c>
      <c r="C11" s="10" t="str">
        <f t="shared" ref="C11:K11" si="1">IFERROR(C7/C8,"NA")</f>
        <v>NA</v>
      </c>
      <c r="D11" s="10" t="str">
        <f t="shared" si="1"/>
        <v>NA</v>
      </c>
      <c r="E11" s="10" t="str">
        <f t="shared" si="1"/>
        <v>NA</v>
      </c>
      <c r="F11" s="10" t="str">
        <f t="shared" si="1"/>
        <v>NA</v>
      </c>
      <c r="G11" s="10" t="str">
        <f t="shared" si="1"/>
        <v>NA</v>
      </c>
      <c r="H11" s="10" t="str">
        <f t="shared" si="1"/>
        <v>NA</v>
      </c>
      <c r="I11" s="10" t="str">
        <f t="shared" si="1"/>
        <v>NA</v>
      </c>
      <c r="J11" s="10" t="str">
        <f t="shared" si="1"/>
        <v>NA</v>
      </c>
      <c r="K11" s="10" t="str">
        <f t="shared" si="1"/>
        <v>NA</v>
      </c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zoomScale="85" zoomScaleNormal="85" workbookViewId="0">
      <pane xSplit="1" ySplit="3" topLeftCell="P21" activePane="bottomRight" state="frozen"/>
      <selection pane="bottomRight" activeCell="S29" sqref="S29"/>
      <selection pane="bottomLeft" activeCell="A6" sqref="A6"/>
      <selection pane="topRight" activeCell="B1" sqref="B1"/>
    </sheetView>
  </sheetViews>
  <sheetFormatPr defaultRowHeight="12.75"/>
  <cols>
    <col min="1" max="1" width="57.140625" style="7" bestFit="1" customWidth="1"/>
    <col min="2" max="2" width="7" style="8" hidden="1" customWidth="1"/>
    <col min="3" max="4" width="8.42578125" style="8" hidden="1" customWidth="1"/>
    <col min="5" max="5" width="9.85546875" style="8" hidden="1" customWidth="1"/>
    <col min="6" max="6" width="7.28515625" style="8" hidden="1" customWidth="1"/>
    <col min="7" max="14" width="7" style="8" hidden="1" customWidth="1"/>
    <col min="15" max="15" width="9.140625" style="8" hidden="1" customWidth="1"/>
    <col min="16" max="22" width="7" style="8" customWidth="1"/>
    <col min="23" max="31" width="7" style="8" hidden="1" customWidth="1"/>
    <col min="32" max="33" width="9.140625" style="7" customWidth="1"/>
    <col min="34" max="16384" width="9.140625" style="7"/>
  </cols>
  <sheetData>
    <row r="1" spans="1:32" s="2" customFormat="1" ht="12" customHeight="1">
      <c r="A1" s="49" t="s">
        <v>21</v>
      </c>
      <c r="B1" s="1"/>
      <c r="C1" s="1"/>
      <c r="D1" s="1"/>
      <c r="E1" s="1"/>
      <c r="F1" s="1"/>
      <c r="G1" s="1"/>
      <c r="H1" s="1" t="s">
        <v>22</v>
      </c>
      <c r="I1" s="1"/>
      <c r="J1" s="1"/>
      <c r="K1" s="1"/>
      <c r="L1" s="1"/>
      <c r="M1" s="1"/>
      <c r="N1" s="1"/>
      <c r="O1" s="1" t="s">
        <v>22</v>
      </c>
      <c r="P1" s="1"/>
      <c r="Q1" s="1"/>
      <c r="R1" s="1"/>
      <c r="S1" s="1"/>
      <c r="T1" s="1" t="s">
        <v>23</v>
      </c>
      <c r="U1" s="1"/>
      <c r="V1" s="1" t="s">
        <v>22</v>
      </c>
      <c r="W1" s="1"/>
      <c r="X1" s="1"/>
      <c r="Y1" s="1"/>
      <c r="Z1" s="1"/>
      <c r="AA1" s="1"/>
      <c r="AB1" s="1"/>
      <c r="AC1" s="1" t="s">
        <v>22</v>
      </c>
      <c r="AD1" s="1"/>
      <c r="AE1" s="21"/>
      <c r="AF1" s="51" t="s">
        <v>24</v>
      </c>
    </row>
    <row r="2" spans="1:32" ht="12" customHeight="1">
      <c r="A2" s="50"/>
      <c r="B2" s="3">
        <v>46174</v>
      </c>
      <c r="C2" s="3">
        <f>+B2+1</f>
        <v>46175</v>
      </c>
      <c r="D2" s="3">
        <f>+C2+1</f>
        <v>46176</v>
      </c>
      <c r="E2" s="3">
        <f t="shared" ref="E2:AD2" si="0">+D2+1</f>
        <v>46177</v>
      </c>
      <c r="F2" s="3">
        <f t="shared" si="0"/>
        <v>46178</v>
      </c>
      <c r="G2" s="3">
        <f t="shared" si="0"/>
        <v>46179</v>
      </c>
      <c r="H2" s="3">
        <f t="shared" si="0"/>
        <v>46180</v>
      </c>
      <c r="I2" s="3">
        <f t="shared" si="0"/>
        <v>46181</v>
      </c>
      <c r="J2" s="3">
        <f t="shared" si="0"/>
        <v>46182</v>
      </c>
      <c r="K2" s="3">
        <f t="shared" si="0"/>
        <v>46183</v>
      </c>
      <c r="L2" s="3">
        <f t="shared" si="0"/>
        <v>46184</v>
      </c>
      <c r="M2" s="3">
        <f t="shared" si="0"/>
        <v>46185</v>
      </c>
      <c r="N2" s="3">
        <f t="shared" si="0"/>
        <v>46186</v>
      </c>
      <c r="O2" s="3">
        <f t="shared" si="0"/>
        <v>46187</v>
      </c>
      <c r="P2" s="3">
        <f t="shared" si="0"/>
        <v>46188</v>
      </c>
      <c r="Q2" s="3">
        <f t="shared" si="0"/>
        <v>46189</v>
      </c>
      <c r="R2" s="3">
        <f t="shared" si="0"/>
        <v>46190</v>
      </c>
      <c r="S2" s="3">
        <f t="shared" si="0"/>
        <v>46191</v>
      </c>
      <c r="T2" s="3">
        <f t="shared" si="0"/>
        <v>46192</v>
      </c>
      <c r="U2" s="3">
        <f t="shared" si="0"/>
        <v>46193</v>
      </c>
      <c r="V2" s="3">
        <f t="shared" si="0"/>
        <v>46194</v>
      </c>
      <c r="W2" s="3">
        <f t="shared" si="0"/>
        <v>46195</v>
      </c>
      <c r="X2" s="3">
        <f t="shared" si="0"/>
        <v>46196</v>
      </c>
      <c r="Y2" s="3">
        <f t="shared" si="0"/>
        <v>46197</v>
      </c>
      <c r="Z2" s="3">
        <f t="shared" si="0"/>
        <v>46198</v>
      </c>
      <c r="AA2" s="3">
        <f t="shared" si="0"/>
        <v>46199</v>
      </c>
      <c r="AB2" s="3">
        <f t="shared" si="0"/>
        <v>46200</v>
      </c>
      <c r="AC2" s="3">
        <f t="shared" si="0"/>
        <v>46201</v>
      </c>
      <c r="AD2" s="3">
        <f t="shared" si="0"/>
        <v>46202</v>
      </c>
      <c r="AE2" s="22">
        <f t="shared" ref="AE2" si="1">+AD2+1</f>
        <v>46203</v>
      </c>
      <c r="AF2" s="52"/>
    </row>
    <row r="3" spans="1:32" ht="12" customHeight="1" thickBot="1">
      <c r="A3" s="50"/>
      <c r="B3" s="4" t="str">
        <f>TEXT(B2,"ddd")</f>
        <v>Mon</v>
      </c>
      <c r="C3" s="4" t="str">
        <f>TEXT(C2,"ddd")</f>
        <v>Tue</v>
      </c>
      <c r="D3" s="4" t="str">
        <f t="shared" ref="D3:AE3" si="2">TEXT(D2,"ddd")</f>
        <v>Wed</v>
      </c>
      <c r="E3" s="4" t="str">
        <f t="shared" si="2"/>
        <v>Thu</v>
      </c>
      <c r="F3" s="4" t="str">
        <f t="shared" si="2"/>
        <v>Fri</v>
      </c>
      <c r="G3" s="4" t="str">
        <f t="shared" si="2"/>
        <v>Sat</v>
      </c>
      <c r="H3" s="4" t="str">
        <f t="shared" si="2"/>
        <v>Sun</v>
      </c>
      <c r="I3" s="4" t="str">
        <f t="shared" si="2"/>
        <v>Mon</v>
      </c>
      <c r="J3" s="4" t="str">
        <f t="shared" si="2"/>
        <v>Tue</v>
      </c>
      <c r="K3" s="4" t="str">
        <f t="shared" si="2"/>
        <v>Wed</v>
      </c>
      <c r="L3" s="4" t="str">
        <f t="shared" si="2"/>
        <v>Thu</v>
      </c>
      <c r="M3" s="4" t="str">
        <f t="shared" si="2"/>
        <v>Fri</v>
      </c>
      <c r="N3" s="4" t="str">
        <f t="shared" si="2"/>
        <v>Sat</v>
      </c>
      <c r="O3" s="4" t="str">
        <f t="shared" si="2"/>
        <v>Sun</v>
      </c>
      <c r="P3" s="4" t="str">
        <f t="shared" si="2"/>
        <v>Mon</v>
      </c>
      <c r="Q3" s="4" t="str">
        <f t="shared" si="2"/>
        <v>Tue</v>
      </c>
      <c r="R3" s="4" t="str">
        <f t="shared" si="2"/>
        <v>Wed</v>
      </c>
      <c r="S3" s="4" t="str">
        <f t="shared" si="2"/>
        <v>Thu</v>
      </c>
      <c r="T3" s="4" t="str">
        <f t="shared" si="2"/>
        <v>Fri</v>
      </c>
      <c r="U3" s="4" t="str">
        <f t="shared" si="2"/>
        <v>Sat</v>
      </c>
      <c r="V3" s="4" t="str">
        <f t="shared" si="2"/>
        <v>Sun</v>
      </c>
      <c r="W3" s="4" t="str">
        <f t="shared" si="2"/>
        <v>Mon</v>
      </c>
      <c r="X3" s="4" t="str">
        <f t="shared" si="2"/>
        <v>Tue</v>
      </c>
      <c r="Y3" s="4" t="str">
        <f t="shared" si="2"/>
        <v>Wed</v>
      </c>
      <c r="Z3" s="4" t="str">
        <f t="shared" si="2"/>
        <v>Thu</v>
      </c>
      <c r="AA3" s="4" t="str">
        <f t="shared" si="2"/>
        <v>Fri</v>
      </c>
      <c r="AB3" s="4" t="str">
        <f t="shared" si="2"/>
        <v>Sat</v>
      </c>
      <c r="AC3" s="4" t="str">
        <f t="shared" si="2"/>
        <v>Sun</v>
      </c>
      <c r="AD3" s="4" t="str">
        <f t="shared" si="2"/>
        <v>Mon</v>
      </c>
      <c r="AE3" s="23" t="str">
        <f t="shared" si="2"/>
        <v>Tue</v>
      </c>
      <c r="AF3" s="53"/>
    </row>
    <row r="4" spans="1:32" ht="15" customHeight="1">
      <c r="A4" s="47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30"/>
    </row>
    <row r="5" spans="1:32" ht="12.75" customHeight="1" thickBot="1">
      <c r="A5" s="48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31"/>
    </row>
    <row r="6" spans="1:32">
      <c r="A6" s="12" t="s">
        <v>26</v>
      </c>
      <c r="B6" s="13">
        <v>0</v>
      </c>
      <c r="C6" s="13">
        <v>0</v>
      </c>
      <c r="D6" s="13">
        <v>6</v>
      </c>
      <c r="E6" s="13">
        <v>4</v>
      </c>
      <c r="F6" s="13">
        <v>5</v>
      </c>
      <c r="G6" s="13">
        <v>5</v>
      </c>
      <c r="H6" s="13">
        <v>0</v>
      </c>
      <c r="I6" s="13">
        <v>5</v>
      </c>
      <c r="J6" s="13">
        <v>5</v>
      </c>
      <c r="K6" s="13">
        <v>6</v>
      </c>
      <c r="L6" s="13">
        <v>5</v>
      </c>
      <c r="M6" s="13">
        <v>5</v>
      </c>
      <c r="N6" s="13">
        <v>6</v>
      </c>
      <c r="O6" s="13">
        <v>0</v>
      </c>
      <c r="P6" s="13">
        <v>6</v>
      </c>
      <c r="Q6" s="13">
        <v>7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24"/>
      <c r="AF6" s="32">
        <f t="shared" ref="AF6:AF11" si="3">SUM(B6:AE6)</f>
        <v>65</v>
      </c>
    </row>
    <row r="7" spans="1:32">
      <c r="A7" s="14" t="s">
        <v>27</v>
      </c>
      <c r="B7" s="6">
        <v>0</v>
      </c>
      <c r="C7" s="6">
        <v>7</v>
      </c>
      <c r="D7" s="6">
        <v>7</v>
      </c>
      <c r="E7" s="6">
        <v>7</v>
      </c>
      <c r="F7" s="6">
        <v>7</v>
      </c>
      <c r="G7" s="6">
        <v>6</v>
      </c>
      <c r="H7" s="6">
        <v>0</v>
      </c>
      <c r="I7" s="6">
        <v>8</v>
      </c>
      <c r="J7" s="6">
        <v>6</v>
      </c>
      <c r="K7" s="6">
        <v>8</v>
      </c>
      <c r="L7" s="6">
        <v>8</v>
      </c>
      <c r="M7" s="6">
        <v>8</v>
      </c>
      <c r="N7" s="6">
        <v>8</v>
      </c>
      <c r="O7" s="6">
        <v>0</v>
      </c>
      <c r="P7" s="6">
        <v>8</v>
      </c>
      <c r="Q7" s="6">
        <v>8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25"/>
      <c r="AF7" s="33">
        <f t="shared" si="3"/>
        <v>96</v>
      </c>
    </row>
    <row r="8" spans="1:32">
      <c r="A8" s="14" t="s">
        <v>28</v>
      </c>
      <c r="B8" s="6">
        <v>0</v>
      </c>
      <c r="C8" s="6">
        <v>0</v>
      </c>
      <c r="D8" s="6">
        <v>0</v>
      </c>
      <c r="E8" s="6">
        <v>0</v>
      </c>
      <c r="F8" s="6">
        <v>11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25"/>
      <c r="AF8" s="33">
        <f t="shared" si="3"/>
        <v>11</v>
      </c>
    </row>
    <row r="9" spans="1:32">
      <c r="A9" s="15" t="s">
        <v>29</v>
      </c>
      <c r="B9" s="9">
        <f>SUM(B6:B7)*8+B8</f>
        <v>0</v>
      </c>
      <c r="C9" s="9">
        <f>SUM(C6:C7)*8+C8</f>
        <v>56</v>
      </c>
      <c r="D9" s="9">
        <f t="shared" ref="D9:AE9" si="4">SUM(D6:D7)*8+D8</f>
        <v>104</v>
      </c>
      <c r="E9" s="9">
        <f t="shared" si="4"/>
        <v>88</v>
      </c>
      <c r="F9" s="9">
        <f t="shared" si="4"/>
        <v>107</v>
      </c>
      <c r="G9" s="9">
        <f t="shared" si="4"/>
        <v>88</v>
      </c>
      <c r="H9" s="9">
        <f t="shared" si="4"/>
        <v>0</v>
      </c>
      <c r="I9" s="9">
        <f t="shared" si="4"/>
        <v>104</v>
      </c>
      <c r="J9" s="9">
        <f t="shared" si="4"/>
        <v>88</v>
      </c>
      <c r="K9" s="9">
        <f t="shared" si="4"/>
        <v>112</v>
      </c>
      <c r="L9" s="9">
        <f t="shared" si="4"/>
        <v>104</v>
      </c>
      <c r="M9" s="9">
        <f t="shared" si="4"/>
        <v>104</v>
      </c>
      <c r="N9" s="9">
        <f t="shared" si="4"/>
        <v>112</v>
      </c>
      <c r="O9" s="9">
        <f t="shared" si="4"/>
        <v>0</v>
      </c>
      <c r="P9" s="9">
        <f t="shared" si="4"/>
        <v>112</v>
      </c>
      <c r="Q9" s="9">
        <f t="shared" si="4"/>
        <v>120</v>
      </c>
      <c r="R9" s="9">
        <f t="shared" si="4"/>
        <v>0</v>
      </c>
      <c r="S9" s="9">
        <f t="shared" si="4"/>
        <v>0</v>
      </c>
      <c r="T9" s="9">
        <f t="shared" si="4"/>
        <v>0</v>
      </c>
      <c r="U9" s="9">
        <f t="shared" si="4"/>
        <v>0</v>
      </c>
      <c r="V9" s="9">
        <f t="shared" si="4"/>
        <v>0</v>
      </c>
      <c r="W9" s="9">
        <f t="shared" si="4"/>
        <v>0</v>
      </c>
      <c r="X9" s="9">
        <f t="shared" si="4"/>
        <v>0</v>
      </c>
      <c r="Y9" s="9">
        <f t="shared" si="4"/>
        <v>0</v>
      </c>
      <c r="Z9" s="9">
        <f t="shared" si="4"/>
        <v>0</v>
      </c>
      <c r="AA9" s="9">
        <f t="shared" si="4"/>
        <v>0</v>
      </c>
      <c r="AB9" s="9">
        <f t="shared" si="4"/>
        <v>0</v>
      </c>
      <c r="AC9" s="9">
        <f t="shared" si="4"/>
        <v>0</v>
      </c>
      <c r="AD9" s="9">
        <f t="shared" si="4"/>
        <v>0</v>
      </c>
      <c r="AE9" s="26">
        <f t="shared" si="4"/>
        <v>0</v>
      </c>
      <c r="AF9" s="34">
        <f t="shared" si="3"/>
        <v>1299</v>
      </c>
    </row>
    <row r="10" spans="1:32">
      <c r="A10" s="14" t="s">
        <v>30</v>
      </c>
      <c r="B10" s="6">
        <v>0</v>
      </c>
      <c r="C10" s="6">
        <v>40</v>
      </c>
      <c r="D10" s="6">
        <v>152</v>
      </c>
      <c r="E10" s="6">
        <v>398</v>
      </c>
      <c r="F10" s="6">
        <v>131</v>
      </c>
      <c r="G10" s="6">
        <v>116</v>
      </c>
      <c r="H10" s="6">
        <v>0</v>
      </c>
      <c r="I10" s="6">
        <v>86</v>
      </c>
      <c r="J10" s="6">
        <v>88</v>
      </c>
      <c r="K10" s="6">
        <v>232</v>
      </c>
      <c r="L10" s="6">
        <v>112</v>
      </c>
      <c r="M10" s="6">
        <v>83</v>
      </c>
      <c r="N10" s="6">
        <v>110</v>
      </c>
      <c r="O10" s="6">
        <v>0</v>
      </c>
      <c r="P10" s="6">
        <v>243</v>
      </c>
      <c r="Q10" s="6">
        <v>183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25"/>
      <c r="AF10" s="33">
        <f t="shared" si="3"/>
        <v>1974</v>
      </c>
    </row>
    <row r="11" spans="1:32">
      <c r="A11" s="14" t="s">
        <v>31</v>
      </c>
      <c r="B11" s="6">
        <v>0</v>
      </c>
      <c r="C11" s="6">
        <v>912</v>
      </c>
      <c r="D11" s="6">
        <v>1662</v>
      </c>
      <c r="E11" s="6">
        <v>4077</v>
      </c>
      <c r="F11" s="6">
        <v>5179</v>
      </c>
      <c r="G11" s="6">
        <v>964</v>
      </c>
      <c r="H11" s="6">
        <v>0</v>
      </c>
      <c r="I11" s="6">
        <v>2657</v>
      </c>
      <c r="J11" s="6">
        <v>522</v>
      </c>
      <c r="K11" s="6">
        <v>2267</v>
      </c>
      <c r="L11" s="6">
        <v>1833</v>
      </c>
      <c r="M11" s="6">
        <v>687</v>
      </c>
      <c r="N11" s="6">
        <v>873</v>
      </c>
      <c r="O11" s="6">
        <v>0</v>
      </c>
      <c r="P11" s="6">
        <v>3206</v>
      </c>
      <c r="Q11" s="6">
        <v>5090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25"/>
      <c r="AF11" s="33">
        <f t="shared" si="3"/>
        <v>29929</v>
      </c>
    </row>
    <row r="12" spans="1:32">
      <c r="A12" s="15" t="s">
        <v>18</v>
      </c>
      <c r="B12" s="10" t="str">
        <f t="shared" ref="B12:D12" si="5">IFERROR(B10/B9,"NA")</f>
        <v>NA</v>
      </c>
      <c r="C12" s="10">
        <f t="shared" si="5"/>
        <v>0.7142857142857143</v>
      </c>
      <c r="D12" s="10">
        <f t="shared" si="5"/>
        <v>1.4615384615384615</v>
      </c>
      <c r="E12" s="10">
        <f t="shared" ref="E12" si="6">IFERROR(E10/E9,"NA")</f>
        <v>4.5227272727272725</v>
      </c>
      <c r="F12" s="10">
        <f t="shared" ref="F12:AE12" si="7">IFERROR(F10/F9,"NA")</f>
        <v>1.2242990654205608</v>
      </c>
      <c r="G12" s="10">
        <f t="shared" si="7"/>
        <v>1.3181818181818181</v>
      </c>
      <c r="H12" s="10" t="str">
        <f t="shared" si="7"/>
        <v>NA</v>
      </c>
      <c r="I12" s="10">
        <f>IFERROR(I10/I9,"NA")</f>
        <v>0.82692307692307687</v>
      </c>
      <c r="J12" s="10">
        <f t="shared" si="7"/>
        <v>1</v>
      </c>
      <c r="K12" s="10">
        <f t="shared" si="7"/>
        <v>2.0714285714285716</v>
      </c>
      <c r="L12" s="10">
        <f t="shared" si="7"/>
        <v>1.0769230769230769</v>
      </c>
      <c r="M12" s="10">
        <f t="shared" si="7"/>
        <v>0.79807692307692313</v>
      </c>
      <c r="N12" s="10">
        <f t="shared" si="7"/>
        <v>0.9821428571428571</v>
      </c>
      <c r="O12" s="10" t="str">
        <f t="shared" si="7"/>
        <v>NA</v>
      </c>
      <c r="P12" s="10">
        <f t="shared" si="7"/>
        <v>2.1696428571428572</v>
      </c>
      <c r="Q12" s="10">
        <f t="shared" si="7"/>
        <v>1.5249999999999999</v>
      </c>
      <c r="R12" s="10" t="str">
        <f t="shared" si="7"/>
        <v>NA</v>
      </c>
      <c r="S12" s="10" t="str">
        <f t="shared" si="7"/>
        <v>NA</v>
      </c>
      <c r="T12" s="10" t="str">
        <f t="shared" si="7"/>
        <v>NA</v>
      </c>
      <c r="U12" s="10" t="str">
        <f t="shared" si="7"/>
        <v>NA</v>
      </c>
      <c r="V12" s="10" t="str">
        <f t="shared" si="7"/>
        <v>NA</v>
      </c>
      <c r="W12" s="10" t="str">
        <f t="shared" si="7"/>
        <v>NA</v>
      </c>
      <c r="X12" s="10" t="str">
        <f t="shared" si="7"/>
        <v>NA</v>
      </c>
      <c r="Y12" s="10" t="str">
        <f t="shared" si="7"/>
        <v>NA</v>
      </c>
      <c r="Z12" s="10" t="str">
        <f t="shared" si="7"/>
        <v>NA</v>
      </c>
      <c r="AA12" s="10" t="str">
        <f t="shared" si="7"/>
        <v>NA</v>
      </c>
      <c r="AB12" s="10" t="str">
        <f t="shared" si="7"/>
        <v>NA</v>
      </c>
      <c r="AC12" s="10" t="str">
        <f t="shared" si="7"/>
        <v>NA</v>
      </c>
      <c r="AD12" s="10" t="str">
        <f t="shared" si="7"/>
        <v>NA</v>
      </c>
      <c r="AE12" s="27" t="str">
        <f t="shared" si="7"/>
        <v>NA</v>
      </c>
      <c r="AF12" s="35">
        <f>IFERROR(AF10/AF9,"NA")</f>
        <v>1.5196304849884525</v>
      </c>
    </row>
    <row r="13" spans="1:32" ht="13.5" thickBot="1">
      <c r="A13" s="16" t="s">
        <v>20</v>
      </c>
      <c r="B13" s="17" t="str">
        <f t="shared" ref="B13:D13" si="8">IFERROR(B11/B9,"NA")</f>
        <v>NA</v>
      </c>
      <c r="C13" s="17">
        <f t="shared" si="8"/>
        <v>16.285714285714285</v>
      </c>
      <c r="D13" s="17">
        <f t="shared" si="8"/>
        <v>15.98076923076923</v>
      </c>
      <c r="E13" s="17">
        <f t="shared" ref="E13" si="9">IFERROR(E11/E9,"NA")</f>
        <v>46.329545454545453</v>
      </c>
      <c r="F13" s="17">
        <f t="shared" ref="F13:AE13" si="10">IFERROR(F11/F9,"NA")</f>
        <v>48.401869158878505</v>
      </c>
      <c r="G13" s="17">
        <f t="shared" si="10"/>
        <v>10.954545454545455</v>
      </c>
      <c r="H13" s="17" t="str">
        <f t="shared" si="10"/>
        <v>NA</v>
      </c>
      <c r="I13" s="17">
        <f>IFERROR(I11/I9,"NA")</f>
        <v>25.548076923076923</v>
      </c>
      <c r="J13" s="17">
        <f t="shared" si="10"/>
        <v>5.9318181818181817</v>
      </c>
      <c r="K13" s="17">
        <f t="shared" si="10"/>
        <v>20.241071428571427</v>
      </c>
      <c r="L13" s="17">
        <f t="shared" si="10"/>
        <v>17.625</v>
      </c>
      <c r="M13" s="17">
        <f t="shared" si="10"/>
        <v>6.6057692307692308</v>
      </c>
      <c r="N13" s="17">
        <f t="shared" si="10"/>
        <v>7.7946428571428568</v>
      </c>
      <c r="O13" s="17" t="str">
        <f t="shared" si="10"/>
        <v>NA</v>
      </c>
      <c r="P13" s="17">
        <f t="shared" si="10"/>
        <v>28.625</v>
      </c>
      <c r="Q13" s="17">
        <f t="shared" si="10"/>
        <v>42.416666666666664</v>
      </c>
      <c r="R13" s="17" t="str">
        <f t="shared" si="10"/>
        <v>NA</v>
      </c>
      <c r="S13" s="17" t="str">
        <f t="shared" si="10"/>
        <v>NA</v>
      </c>
      <c r="T13" s="17" t="str">
        <f t="shared" si="10"/>
        <v>NA</v>
      </c>
      <c r="U13" s="17" t="str">
        <f t="shared" si="10"/>
        <v>NA</v>
      </c>
      <c r="V13" s="17" t="str">
        <f t="shared" si="10"/>
        <v>NA</v>
      </c>
      <c r="W13" s="17" t="str">
        <f t="shared" si="10"/>
        <v>NA</v>
      </c>
      <c r="X13" s="17" t="str">
        <f t="shared" si="10"/>
        <v>NA</v>
      </c>
      <c r="Y13" s="17" t="str">
        <f t="shared" si="10"/>
        <v>NA</v>
      </c>
      <c r="Z13" s="17" t="str">
        <f t="shared" si="10"/>
        <v>NA</v>
      </c>
      <c r="AA13" s="17" t="str">
        <f t="shared" si="10"/>
        <v>NA</v>
      </c>
      <c r="AB13" s="17" t="str">
        <f t="shared" si="10"/>
        <v>NA</v>
      </c>
      <c r="AC13" s="17" t="str">
        <f t="shared" si="10"/>
        <v>NA</v>
      </c>
      <c r="AD13" s="17" t="str">
        <f t="shared" si="10"/>
        <v>NA</v>
      </c>
      <c r="AE13" s="28" t="str">
        <f t="shared" si="10"/>
        <v>NA</v>
      </c>
      <c r="AF13" s="36">
        <f>IFERROR(AF11/AF9,"NA")</f>
        <v>23.04003079291763</v>
      </c>
    </row>
    <row r="14" spans="1:32" ht="15" customHeight="1">
      <c r="A14" s="46" t="s">
        <v>32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31"/>
    </row>
    <row r="15" spans="1:32" ht="12.75" customHeight="1" thickBot="1">
      <c r="A15" s="46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31"/>
    </row>
    <row r="16" spans="1:32">
      <c r="A16" s="12" t="s">
        <v>26</v>
      </c>
      <c r="B16" s="13">
        <v>0</v>
      </c>
      <c r="C16" s="13">
        <v>5</v>
      </c>
      <c r="D16" s="13">
        <v>4</v>
      </c>
      <c r="E16" s="13">
        <v>4</v>
      </c>
      <c r="F16" s="13">
        <v>4</v>
      </c>
      <c r="G16" s="13">
        <v>4</v>
      </c>
      <c r="H16" s="13">
        <v>0</v>
      </c>
      <c r="I16" s="13">
        <v>6</v>
      </c>
      <c r="J16" s="13">
        <v>6</v>
      </c>
      <c r="K16" s="13">
        <v>5</v>
      </c>
      <c r="L16" s="13">
        <v>5</v>
      </c>
      <c r="M16" s="13">
        <v>5</v>
      </c>
      <c r="N16" s="13">
        <v>5</v>
      </c>
      <c r="O16" s="13">
        <v>0</v>
      </c>
      <c r="P16" s="13">
        <v>5</v>
      </c>
      <c r="Q16" s="13">
        <v>6</v>
      </c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24"/>
      <c r="AF16" s="32">
        <f t="shared" ref="AF16:AF21" si="11">SUM(B16:AE16)</f>
        <v>64</v>
      </c>
    </row>
    <row r="17" spans="1:32">
      <c r="A17" s="14" t="s">
        <v>27</v>
      </c>
      <c r="B17" s="6">
        <v>0</v>
      </c>
      <c r="C17" s="6">
        <v>4</v>
      </c>
      <c r="D17" s="6">
        <v>7</v>
      </c>
      <c r="E17" s="6">
        <v>6</v>
      </c>
      <c r="F17" s="6">
        <v>6</v>
      </c>
      <c r="G17" s="6">
        <v>3</v>
      </c>
      <c r="H17" s="6">
        <v>0</v>
      </c>
      <c r="I17" s="6">
        <v>7</v>
      </c>
      <c r="J17" s="6">
        <v>3</v>
      </c>
      <c r="K17" s="6">
        <v>7</v>
      </c>
      <c r="L17" s="6">
        <v>8</v>
      </c>
      <c r="M17" s="6">
        <v>7</v>
      </c>
      <c r="N17" s="6">
        <v>7</v>
      </c>
      <c r="O17" s="6">
        <v>0</v>
      </c>
      <c r="P17" s="6">
        <v>6</v>
      </c>
      <c r="Q17" s="6">
        <v>8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25"/>
      <c r="AF17" s="33">
        <f t="shared" si="11"/>
        <v>79</v>
      </c>
    </row>
    <row r="18" spans="1:32">
      <c r="A18" s="14" t="s">
        <v>28</v>
      </c>
      <c r="B18" s="6">
        <v>0</v>
      </c>
      <c r="C18" s="6">
        <v>0</v>
      </c>
      <c r="D18" s="6">
        <v>0</v>
      </c>
      <c r="E18" s="6">
        <v>0</v>
      </c>
      <c r="F18" s="6">
        <v>2</v>
      </c>
      <c r="G18" s="6">
        <v>0</v>
      </c>
      <c r="H18" s="6">
        <v>0</v>
      </c>
      <c r="I18" s="6">
        <v>0.5</v>
      </c>
      <c r="J18" s="6">
        <v>5</v>
      </c>
      <c r="K18" s="6">
        <v>1</v>
      </c>
      <c r="L18" s="6">
        <v>0</v>
      </c>
      <c r="M18" s="6">
        <v>1.5</v>
      </c>
      <c r="N18" s="6">
        <v>0</v>
      </c>
      <c r="O18" s="6">
        <v>0</v>
      </c>
      <c r="P18" s="6">
        <v>1</v>
      </c>
      <c r="Q18" s="6">
        <v>1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25"/>
      <c r="AF18" s="33">
        <f t="shared" si="11"/>
        <v>12</v>
      </c>
    </row>
    <row r="19" spans="1:32">
      <c r="A19" s="15" t="s">
        <v>29</v>
      </c>
      <c r="B19" s="10">
        <f t="shared" ref="B19" si="12">SUM(B16:B17)*8+B18</f>
        <v>0</v>
      </c>
      <c r="C19" s="10">
        <f>SUM(C16:C17)*8+C18</f>
        <v>72</v>
      </c>
      <c r="D19" s="10">
        <f t="shared" ref="D19:AE19" si="13">SUM(D16:D17)*8+D18</f>
        <v>88</v>
      </c>
      <c r="E19" s="10">
        <f t="shared" si="13"/>
        <v>80</v>
      </c>
      <c r="F19" s="10">
        <f t="shared" si="13"/>
        <v>82</v>
      </c>
      <c r="G19" s="10">
        <f t="shared" si="13"/>
        <v>56</v>
      </c>
      <c r="H19" s="10">
        <f t="shared" si="13"/>
        <v>0</v>
      </c>
      <c r="I19" s="10">
        <f t="shared" si="13"/>
        <v>104.5</v>
      </c>
      <c r="J19" s="10">
        <f t="shared" si="13"/>
        <v>77</v>
      </c>
      <c r="K19" s="10">
        <f t="shared" si="13"/>
        <v>97</v>
      </c>
      <c r="L19" s="10">
        <f t="shared" si="13"/>
        <v>104</v>
      </c>
      <c r="M19" s="10">
        <f t="shared" si="13"/>
        <v>97.5</v>
      </c>
      <c r="N19" s="10">
        <f t="shared" si="13"/>
        <v>96</v>
      </c>
      <c r="O19" s="10">
        <f t="shared" si="13"/>
        <v>0</v>
      </c>
      <c r="P19" s="10">
        <f t="shared" si="13"/>
        <v>89</v>
      </c>
      <c r="Q19" s="10">
        <f t="shared" si="13"/>
        <v>113</v>
      </c>
      <c r="R19" s="10">
        <f t="shared" si="13"/>
        <v>0</v>
      </c>
      <c r="S19" s="10">
        <f t="shared" si="13"/>
        <v>0</v>
      </c>
      <c r="T19" s="10">
        <f t="shared" si="13"/>
        <v>0</v>
      </c>
      <c r="U19" s="10">
        <f t="shared" si="13"/>
        <v>0</v>
      </c>
      <c r="V19" s="10">
        <f t="shared" si="13"/>
        <v>0</v>
      </c>
      <c r="W19" s="10">
        <f t="shared" si="13"/>
        <v>0</v>
      </c>
      <c r="X19" s="10">
        <f t="shared" si="13"/>
        <v>0</v>
      </c>
      <c r="Y19" s="10">
        <f t="shared" si="13"/>
        <v>0</v>
      </c>
      <c r="Z19" s="10">
        <f t="shared" si="13"/>
        <v>0</v>
      </c>
      <c r="AA19" s="10">
        <f t="shared" si="13"/>
        <v>0</v>
      </c>
      <c r="AB19" s="10">
        <f t="shared" si="13"/>
        <v>0</v>
      </c>
      <c r="AC19" s="10">
        <f t="shared" si="13"/>
        <v>0</v>
      </c>
      <c r="AD19" s="10">
        <f t="shared" si="13"/>
        <v>0</v>
      </c>
      <c r="AE19" s="27">
        <f t="shared" si="13"/>
        <v>0</v>
      </c>
      <c r="AF19" s="34">
        <f t="shared" si="11"/>
        <v>1156</v>
      </c>
    </row>
    <row r="20" spans="1:32">
      <c r="A20" s="14" t="s">
        <v>33</v>
      </c>
      <c r="B20" s="6">
        <v>6</v>
      </c>
      <c r="C20" s="6">
        <v>373</v>
      </c>
      <c r="D20" s="6">
        <v>469</v>
      </c>
      <c r="E20" s="6">
        <v>456</v>
      </c>
      <c r="F20" s="6">
        <v>450</v>
      </c>
      <c r="G20" s="6">
        <v>739</v>
      </c>
      <c r="H20" s="6">
        <v>0</v>
      </c>
      <c r="I20" s="6">
        <v>549</v>
      </c>
      <c r="J20" s="6">
        <v>595</v>
      </c>
      <c r="K20" s="6">
        <v>463</v>
      </c>
      <c r="L20" s="6">
        <v>565</v>
      </c>
      <c r="M20" s="6">
        <v>638</v>
      </c>
      <c r="N20" s="6">
        <v>392</v>
      </c>
      <c r="O20" s="6">
        <v>0</v>
      </c>
      <c r="P20" s="6">
        <v>820</v>
      </c>
      <c r="Q20" s="6">
        <v>461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25"/>
      <c r="AF20" s="33">
        <f t="shared" si="11"/>
        <v>6976</v>
      </c>
    </row>
    <row r="21" spans="1:32">
      <c r="A21" s="14" t="s">
        <v>34</v>
      </c>
      <c r="B21" s="6">
        <v>13</v>
      </c>
      <c r="C21" s="6">
        <v>4022</v>
      </c>
      <c r="D21" s="6">
        <v>1519</v>
      </c>
      <c r="E21" s="6">
        <v>1373</v>
      </c>
      <c r="F21" s="6">
        <v>1584</v>
      </c>
      <c r="G21" s="6">
        <v>1918</v>
      </c>
      <c r="H21" s="6">
        <v>0</v>
      </c>
      <c r="I21" s="6">
        <v>1401</v>
      </c>
      <c r="J21" s="6">
        <v>2018</v>
      </c>
      <c r="K21" s="6">
        <v>1689</v>
      </c>
      <c r="L21" s="6">
        <v>1798</v>
      </c>
      <c r="M21" s="6">
        <v>1762</v>
      </c>
      <c r="N21" s="6">
        <v>1112</v>
      </c>
      <c r="O21" s="6">
        <v>0</v>
      </c>
      <c r="P21" s="6">
        <v>3146</v>
      </c>
      <c r="Q21" s="6">
        <v>1408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25"/>
      <c r="AF21" s="33">
        <f t="shared" si="11"/>
        <v>24763</v>
      </c>
    </row>
    <row r="22" spans="1:32">
      <c r="A22" s="15" t="s">
        <v>18</v>
      </c>
      <c r="B22" s="10" t="str">
        <f t="shared" ref="B22:D22" si="14">IFERROR(B20/B19,"NA")</f>
        <v>NA</v>
      </c>
      <c r="C22" s="10">
        <f t="shared" si="14"/>
        <v>5.1805555555555554</v>
      </c>
      <c r="D22" s="10">
        <f t="shared" si="14"/>
        <v>5.3295454545454541</v>
      </c>
      <c r="E22" s="10">
        <f t="shared" ref="E22:F22" si="15">IFERROR(E20/E19,"NA")</f>
        <v>5.7</v>
      </c>
      <c r="F22" s="10">
        <f t="shared" si="15"/>
        <v>5.4878048780487809</v>
      </c>
      <c r="G22" s="10">
        <f t="shared" ref="G22:AE22" si="16">IFERROR(G20/G19,"NA")</f>
        <v>13.196428571428571</v>
      </c>
      <c r="H22" s="10" t="str">
        <f t="shared" si="16"/>
        <v>NA</v>
      </c>
      <c r="I22" s="10">
        <f>IFERROR(I20/I19,"NA")</f>
        <v>5.2535885167464116</v>
      </c>
      <c r="J22" s="10">
        <f t="shared" si="16"/>
        <v>7.7272727272727275</v>
      </c>
      <c r="K22" s="10">
        <f t="shared" si="16"/>
        <v>4.7731958762886597</v>
      </c>
      <c r="L22" s="10">
        <f t="shared" si="16"/>
        <v>5.4326923076923075</v>
      </c>
      <c r="M22" s="10">
        <f t="shared" si="16"/>
        <v>6.5435897435897434</v>
      </c>
      <c r="N22" s="10">
        <f t="shared" si="16"/>
        <v>4.083333333333333</v>
      </c>
      <c r="O22" s="10" t="str">
        <f t="shared" si="16"/>
        <v>NA</v>
      </c>
      <c r="P22" s="10">
        <f t="shared" si="16"/>
        <v>9.213483146067416</v>
      </c>
      <c r="Q22" s="10">
        <f t="shared" si="16"/>
        <v>4.0796460176991154</v>
      </c>
      <c r="R22" s="10" t="str">
        <f t="shared" si="16"/>
        <v>NA</v>
      </c>
      <c r="S22" s="10" t="str">
        <f t="shared" si="16"/>
        <v>NA</v>
      </c>
      <c r="T22" s="10" t="str">
        <f t="shared" si="16"/>
        <v>NA</v>
      </c>
      <c r="U22" s="10" t="str">
        <f t="shared" si="16"/>
        <v>NA</v>
      </c>
      <c r="V22" s="10" t="str">
        <f t="shared" si="16"/>
        <v>NA</v>
      </c>
      <c r="W22" s="10" t="str">
        <f t="shared" si="16"/>
        <v>NA</v>
      </c>
      <c r="X22" s="10" t="str">
        <f t="shared" si="16"/>
        <v>NA</v>
      </c>
      <c r="Y22" s="10" t="str">
        <f t="shared" si="16"/>
        <v>NA</v>
      </c>
      <c r="Z22" s="10" t="str">
        <f t="shared" si="16"/>
        <v>NA</v>
      </c>
      <c r="AA22" s="10" t="str">
        <f t="shared" si="16"/>
        <v>NA</v>
      </c>
      <c r="AB22" s="10" t="str">
        <f t="shared" si="16"/>
        <v>NA</v>
      </c>
      <c r="AC22" s="10" t="str">
        <f t="shared" si="16"/>
        <v>NA</v>
      </c>
      <c r="AD22" s="10" t="str">
        <f t="shared" si="16"/>
        <v>NA</v>
      </c>
      <c r="AE22" s="27" t="str">
        <f t="shared" si="16"/>
        <v>NA</v>
      </c>
      <c r="AF22" s="35">
        <f>IFERROR(AF20/AF19,"NA")</f>
        <v>6.0346020761245676</v>
      </c>
    </row>
    <row r="23" spans="1:32" ht="13.5" thickBot="1">
      <c r="A23" s="16" t="s">
        <v>20</v>
      </c>
      <c r="B23" s="17" t="str">
        <f t="shared" ref="B23:D23" si="17">IFERROR(B21/B19,"NA")</f>
        <v>NA</v>
      </c>
      <c r="C23" s="17">
        <f t="shared" si="17"/>
        <v>55.861111111111114</v>
      </c>
      <c r="D23" s="17">
        <f t="shared" si="17"/>
        <v>17.261363636363637</v>
      </c>
      <c r="E23" s="17">
        <f t="shared" ref="E23" si="18">IFERROR(E21/E19,"NA")</f>
        <v>17.162500000000001</v>
      </c>
      <c r="F23" s="17">
        <f t="shared" ref="F23:AE23" si="19">IFERROR(F21/F19,"NA")</f>
        <v>19.317073170731707</v>
      </c>
      <c r="G23" s="17">
        <f t="shared" si="19"/>
        <v>34.25</v>
      </c>
      <c r="H23" s="17" t="str">
        <f t="shared" si="19"/>
        <v>NA</v>
      </c>
      <c r="I23" s="17">
        <f>IFERROR(I21/I19,"NA")</f>
        <v>13.406698564593301</v>
      </c>
      <c r="J23" s="17">
        <f t="shared" si="19"/>
        <v>26.207792207792206</v>
      </c>
      <c r="K23" s="17">
        <f t="shared" si="19"/>
        <v>17.412371134020617</v>
      </c>
      <c r="L23" s="17">
        <f t="shared" si="19"/>
        <v>17.28846153846154</v>
      </c>
      <c r="M23" s="17">
        <f t="shared" si="19"/>
        <v>18.071794871794872</v>
      </c>
      <c r="N23" s="17">
        <f t="shared" si="19"/>
        <v>11.583333333333334</v>
      </c>
      <c r="O23" s="17" t="str">
        <f t="shared" si="19"/>
        <v>NA</v>
      </c>
      <c r="P23" s="17">
        <f t="shared" si="19"/>
        <v>35.348314606741575</v>
      </c>
      <c r="Q23" s="17">
        <f t="shared" si="19"/>
        <v>12.460176991150442</v>
      </c>
      <c r="R23" s="17" t="str">
        <f t="shared" si="19"/>
        <v>NA</v>
      </c>
      <c r="S23" s="17" t="str">
        <f t="shared" si="19"/>
        <v>NA</v>
      </c>
      <c r="T23" s="17" t="str">
        <f t="shared" si="19"/>
        <v>NA</v>
      </c>
      <c r="U23" s="17" t="str">
        <f t="shared" si="19"/>
        <v>NA</v>
      </c>
      <c r="V23" s="17" t="str">
        <f t="shared" si="19"/>
        <v>NA</v>
      </c>
      <c r="W23" s="17" t="str">
        <f t="shared" si="19"/>
        <v>NA</v>
      </c>
      <c r="X23" s="17" t="str">
        <f t="shared" si="19"/>
        <v>NA</v>
      </c>
      <c r="Y23" s="17" t="str">
        <f t="shared" si="19"/>
        <v>NA</v>
      </c>
      <c r="Z23" s="17" t="str">
        <f t="shared" si="19"/>
        <v>NA</v>
      </c>
      <c r="AA23" s="17" t="str">
        <f t="shared" si="19"/>
        <v>NA</v>
      </c>
      <c r="AB23" s="17" t="str">
        <f t="shared" si="19"/>
        <v>NA</v>
      </c>
      <c r="AC23" s="17" t="str">
        <f t="shared" si="19"/>
        <v>NA</v>
      </c>
      <c r="AD23" s="17" t="str">
        <f t="shared" si="19"/>
        <v>NA</v>
      </c>
      <c r="AE23" s="28" t="str">
        <f t="shared" si="19"/>
        <v>NA</v>
      </c>
      <c r="AF23" s="36">
        <f>IFERROR(AF21/AF19,"NA")</f>
        <v>21.42128027681661</v>
      </c>
    </row>
    <row r="24" spans="1:32" ht="14.25" customHeight="1">
      <c r="A24" s="46" t="s">
        <v>35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31"/>
    </row>
    <row r="25" spans="1:32" ht="23.25" thickBot="1">
      <c r="A25" s="46"/>
      <c r="B25" s="11" t="s">
        <v>36</v>
      </c>
      <c r="C25" s="11" t="s">
        <v>36</v>
      </c>
      <c r="D25" s="11" t="s">
        <v>36</v>
      </c>
      <c r="E25" s="11"/>
      <c r="F25" s="11"/>
      <c r="G25" s="18" t="s">
        <v>37</v>
      </c>
      <c r="H25" s="11"/>
      <c r="I25" s="11"/>
      <c r="J25" s="11"/>
      <c r="K25" s="18" t="s">
        <v>37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31"/>
    </row>
    <row r="26" spans="1:32">
      <c r="A26" s="12" t="s">
        <v>26</v>
      </c>
      <c r="B26" s="13">
        <v>0</v>
      </c>
      <c r="C26" s="13">
        <v>0</v>
      </c>
      <c r="D26" s="13">
        <v>0</v>
      </c>
      <c r="E26" s="13">
        <v>2</v>
      </c>
      <c r="F26" s="13">
        <v>2</v>
      </c>
      <c r="G26" s="13">
        <v>0</v>
      </c>
      <c r="H26" s="13">
        <v>0</v>
      </c>
      <c r="I26" s="13">
        <v>2</v>
      </c>
      <c r="J26" s="13">
        <v>2</v>
      </c>
      <c r="K26" s="13">
        <v>0</v>
      </c>
      <c r="L26" s="13">
        <v>2</v>
      </c>
      <c r="M26" s="13">
        <v>2</v>
      </c>
      <c r="N26" s="13">
        <v>2</v>
      </c>
      <c r="O26" s="13">
        <v>0</v>
      </c>
      <c r="P26" s="13">
        <v>2</v>
      </c>
      <c r="Q26" s="13">
        <v>2</v>
      </c>
      <c r="R26" s="13">
        <v>2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24"/>
      <c r="AF26" s="32">
        <f>SUM(B26:AE26)</f>
        <v>20</v>
      </c>
    </row>
    <row r="27" spans="1:32">
      <c r="A27" s="14" t="s">
        <v>27</v>
      </c>
      <c r="B27" s="6">
        <v>0</v>
      </c>
      <c r="C27" s="6">
        <v>0</v>
      </c>
      <c r="D27" s="6">
        <v>0</v>
      </c>
      <c r="E27" s="6">
        <v>2</v>
      </c>
      <c r="F27" s="6">
        <v>2</v>
      </c>
      <c r="G27" s="6">
        <v>0</v>
      </c>
      <c r="H27" s="6">
        <v>0</v>
      </c>
      <c r="I27" s="6">
        <v>1</v>
      </c>
      <c r="J27" s="6">
        <v>1</v>
      </c>
      <c r="K27" s="6">
        <v>0</v>
      </c>
      <c r="L27" s="6">
        <v>2</v>
      </c>
      <c r="M27" s="6">
        <v>2</v>
      </c>
      <c r="N27" s="6">
        <v>2</v>
      </c>
      <c r="O27" s="6">
        <v>0</v>
      </c>
      <c r="P27" s="6">
        <v>1</v>
      </c>
      <c r="Q27" s="6">
        <v>2</v>
      </c>
      <c r="R27" s="6">
        <v>1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25"/>
      <c r="AF27" s="33">
        <f>SUM(B27:AE27)</f>
        <v>16</v>
      </c>
    </row>
    <row r="28" spans="1:32">
      <c r="A28" s="15" t="s">
        <v>29</v>
      </c>
      <c r="B28" s="10">
        <f t="shared" ref="B28" si="20">SUM(B26:B27)*8</f>
        <v>0</v>
      </c>
      <c r="C28" s="10">
        <f>SUM(C26:C27)*8</f>
        <v>0</v>
      </c>
      <c r="D28" s="10">
        <f t="shared" ref="D28:AE28" si="21">SUM(D26:D27)*8</f>
        <v>0</v>
      </c>
      <c r="E28" s="10">
        <f t="shared" si="21"/>
        <v>32</v>
      </c>
      <c r="F28" s="10">
        <f>SUM(F26:F27)*8</f>
        <v>32</v>
      </c>
      <c r="G28" s="10">
        <f t="shared" si="21"/>
        <v>0</v>
      </c>
      <c r="H28" s="10">
        <f t="shared" si="21"/>
        <v>0</v>
      </c>
      <c r="I28" s="10">
        <f t="shared" si="21"/>
        <v>24</v>
      </c>
      <c r="J28" s="10">
        <f t="shared" si="21"/>
        <v>24</v>
      </c>
      <c r="K28" s="10">
        <f t="shared" si="21"/>
        <v>0</v>
      </c>
      <c r="L28" s="10">
        <f t="shared" si="21"/>
        <v>32</v>
      </c>
      <c r="M28" s="10">
        <f t="shared" si="21"/>
        <v>32</v>
      </c>
      <c r="N28" s="10">
        <f t="shared" si="21"/>
        <v>32</v>
      </c>
      <c r="O28" s="10">
        <f t="shared" si="21"/>
        <v>0</v>
      </c>
      <c r="P28" s="10">
        <f t="shared" si="21"/>
        <v>24</v>
      </c>
      <c r="Q28" s="10">
        <f t="shared" si="21"/>
        <v>32</v>
      </c>
      <c r="R28" s="10">
        <f t="shared" si="21"/>
        <v>24</v>
      </c>
      <c r="S28" s="10">
        <f t="shared" si="21"/>
        <v>0</v>
      </c>
      <c r="T28" s="10">
        <f t="shared" si="21"/>
        <v>0</v>
      </c>
      <c r="U28" s="10">
        <f t="shared" si="21"/>
        <v>0</v>
      </c>
      <c r="V28" s="10">
        <f t="shared" si="21"/>
        <v>0</v>
      </c>
      <c r="W28" s="10">
        <f t="shared" si="21"/>
        <v>0</v>
      </c>
      <c r="X28" s="10">
        <f t="shared" si="21"/>
        <v>0</v>
      </c>
      <c r="Y28" s="10">
        <f t="shared" si="21"/>
        <v>0</v>
      </c>
      <c r="Z28" s="10">
        <f t="shared" si="21"/>
        <v>0</v>
      </c>
      <c r="AA28" s="10">
        <f t="shared" si="21"/>
        <v>0</v>
      </c>
      <c r="AB28" s="10">
        <f t="shared" si="21"/>
        <v>0</v>
      </c>
      <c r="AC28" s="10">
        <f t="shared" si="21"/>
        <v>0</v>
      </c>
      <c r="AD28" s="10">
        <f t="shared" si="21"/>
        <v>0</v>
      </c>
      <c r="AE28" s="27">
        <f t="shared" si="21"/>
        <v>0</v>
      </c>
      <c r="AF28" s="34">
        <f>SUM(B28:AE28)</f>
        <v>288</v>
      </c>
    </row>
    <row r="29" spans="1:32">
      <c r="A29" s="14" t="s">
        <v>38</v>
      </c>
      <c r="B29" s="6">
        <v>0</v>
      </c>
      <c r="C29" s="6">
        <v>0</v>
      </c>
      <c r="D29" s="6">
        <v>0</v>
      </c>
      <c r="E29" s="6">
        <v>777</v>
      </c>
      <c r="F29" s="6">
        <v>960</v>
      </c>
      <c r="G29" s="6">
        <v>0</v>
      </c>
      <c r="H29" s="6">
        <v>0</v>
      </c>
      <c r="I29" s="6">
        <v>1170</v>
      </c>
      <c r="J29" s="6">
        <v>612</v>
      </c>
      <c r="K29" s="6">
        <v>0</v>
      </c>
      <c r="L29" s="6">
        <v>922</v>
      </c>
      <c r="M29" s="6">
        <v>589</v>
      </c>
      <c r="N29" s="6">
        <v>648</v>
      </c>
      <c r="O29" s="6">
        <v>0</v>
      </c>
      <c r="P29" s="6">
        <v>701</v>
      </c>
      <c r="Q29" s="6">
        <v>719</v>
      </c>
      <c r="R29" s="6">
        <v>1015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25"/>
      <c r="AF29" s="33">
        <f>SUM(B29:AE29)</f>
        <v>8113</v>
      </c>
    </row>
    <row r="30" spans="1:32" ht="13.5" thickBot="1">
      <c r="A30" s="16" t="s">
        <v>18</v>
      </c>
      <c r="B30" s="17" t="e">
        <f t="shared" ref="B30:AE30" si="22">B29/B28</f>
        <v>#DIV/0!</v>
      </c>
      <c r="C30" s="17" t="e">
        <f t="shared" si="22"/>
        <v>#DIV/0!</v>
      </c>
      <c r="D30" s="17" t="e">
        <f t="shared" si="22"/>
        <v>#DIV/0!</v>
      </c>
      <c r="E30" s="17">
        <f t="shared" si="22"/>
        <v>24.28125</v>
      </c>
      <c r="F30" s="17">
        <f t="shared" si="22"/>
        <v>30</v>
      </c>
      <c r="G30" s="17" t="e">
        <f t="shared" si="22"/>
        <v>#DIV/0!</v>
      </c>
      <c r="H30" s="17" t="e">
        <f t="shared" si="22"/>
        <v>#DIV/0!</v>
      </c>
      <c r="I30" s="17">
        <f t="shared" si="22"/>
        <v>48.75</v>
      </c>
      <c r="J30" s="17">
        <f t="shared" si="22"/>
        <v>25.5</v>
      </c>
      <c r="K30" s="17" t="e">
        <f t="shared" si="22"/>
        <v>#DIV/0!</v>
      </c>
      <c r="L30" s="17">
        <f t="shared" si="22"/>
        <v>28.8125</v>
      </c>
      <c r="M30" s="17">
        <f t="shared" si="22"/>
        <v>18.40625</v>
      </c>
      <c r="N30" s="17">
        <f t="shared" si="22"/>
        <v>20.25</v>
      </c>
      <c r="O30" s="17" t="e">
        <f t="shared" si="22"/>
        <v>#DIV/0!</v>
      </c>
      <c r="P30" s="17">
        <f t="shared" si="22"/>
        <v>29.208333333333332</v>
      </c>
      <c r="Q30" s="17">
        <f t="shared" si="22"/>
        <v>22.46875</v>
      </c>
      <c r="R30" s="17">
        <f t="shared" si="22"/>
        <v>42.291666666666664</v>
      </c>
      <c r="S30" s="17" t="e">
        <f t="shared" si="22"/>
        <v>#DIV/0!</v>
      </c>
      <c r="T30" s="17" t="e">
        <f t="shared" si="22"/>
        <v>#DIV/0!</v>
      </c>
      <c r="U30" s="17" t="e">
        <f t="shared" si="22"/>
        <v>#DIV/0!</v>
      </c>
      <c r="V30" s="17" t="e">
        <f t="shared" si="22"/>
        <v>#DIV/0!</v>
      </c>
      <c r="W30" s="17" t="e">
        <f t="shared" si="22"/>
        <v>#DIV/0!</v>
      </c>
      <c r="X30" s="17" t="e">
        <f t="shared" si="22"/>
        <v>#DIV/0!</v>
      </c>
      <c r="Y30" s="17" t="e">
        <f t="shared" si="22"/>
        <v>#DIV/0!</v>
      </c>
      <c r="Z30" s="17" t="e">
        <f t="shared" si="22"/>
        <v>#DIV/0!</v>
      </c>
      <c r="AA30" s="17" t="e">
        <f t="shared" si="22"/>
        <v>#DIV/0!</v>
      </c>
      <c r="AB30" s="17" t="e">
        <f t="shared" si="22"/>
        <v>#DIV/0!</v>
      </c>
      <c r="AC30" s="17" t="e">
        <f t="shared" si="22"/>
        <v>#DIV/0!</v>
      </c>
      <c r="AD30" s="17" t="e">
        <f t="shared" si="22"/>
        <v>#DIV/0!</v>
      </c>
      <c r="AE30" s="28" t="e">
        <f t="shared" si="22"/>
        <v>#DIV/0!</v>
      </c>
      <c r="AF30" s="36">
        <f>IFERROR(AF29/AF28,"NA")</f>
        <v>28.170138888888889</v>
      </c>
    </row>
    <row r="31" spans="1:32" ht="12" customHeight="1">
      <c r="A31" s="46" t="s">
        <v>39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31"/>
    </row>
    <row r="32" spans="1:32" ht="13.5" thickBot="1">
      <c r="A32" s="4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31"/>
    </row>
    <row r="33" spans="1:32">
      <c r="A33" s="12" t="s">
        <v>40</v>
      </c>
      <c r="B33" s="13">
        <v>0</v>
      </c>
      <c r="C33" s="13">
        <v>1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1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1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24"/>
      <c r="AF33" s="32">
        <f t="shared" ref="AF33:AF37" si="23">SUM(B33:AE33)</f>
        <v>3</v>
      </c>
    </row>
    <row r="34" spans="1:32">
      <c r="A34" s="14" t="s">
        <v>41</v>
      </c>
      <c r="B34" s="6">
        <v>1</v>
      </c>
      <c r="C34" s="6">
        <v>2</v>
      </c>
      <c r="D34" s="6">
        <v>2</v>
      </c>
      <c r="E34" s="6">
        <v>1</v>
      </c>
      <c r="F34" s="6">
        <v>1</v>
      </c>
      <c r="G34" s="6">
        <v>0</v>
      </c>
      <c r="H34" s="6">
        <v>0</v>
      </c>
      <c r="I34" s="6">
        <v>0</v>
      </c>
      <c r="J34" s="6">
        <v>1</v>
      </c>
      <c r="K34" s="6">
        <v>1</v>
      </c>
      <c r="L34" s="6">
        <v>2</v>
      </c>
      <c r="M34" s="6">
        <v>1</v>
      </c>
      <c r="N34" s="6">
        <v>1</v>
      </c>
      <c r="O34" s="6">
        <v>0</v>
      </c>
      <c r="P34" s="6">
        <v>1</v>
      </c>
      <c r="Q34" s="6">
        <v>1</v>
      </c>
      <c r="R34" s="6">
        <v>1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25"/>
      <c r="AF34" s="33">
        <f t="shared" si="23"/>
        <v>16</v>
      </c>
    </row>
    <row r="35" spans="1:32">
      <c r="A35" s="14" t="s">
        <v>42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25"/>
      <c r="AF35" s="33">
        <f t="shared" si="23"/>
        <v>1</v>
      </c>
    </row>
    <row r="36" spans="1:32">
      <c r="A36" s="14" t="s">
        <v>43</v>
      </c>
      <c r="B36" s="6">
        <v>1</v>
      </c>
      <c r="C36" s="6">
        <v>1</v>
      </c>
      <c r="D36" s="6">
        <v>0</v>
      </c>
      <c r="E36" s="6">
        <v>1</v>
      </c>
      <c r="F36" s="6">
        <v>1</v>
      </c>
      <c r="G36" s="6">
        <v>1</v>
      </c>
      <c r="H36" s="6">
        <v>0</v>
      </c>
      <c r="I36" s="6">
        <v>0</v>
      </c>
      <c r="J36" s="6">
        <v>1</v>
      </c>
      <c r="K36" s="6">
        <v>0</v>
      </c>
      <c r="L36" s="6">
        <v>0</v>
      </c>
      <c r="M36" s="6">
        <v>1</v>
      </c>
      <c r="N36" s="6">
        <v>0</v>
      </c>
      <c r="O36" s="6">
        <v>0</v>
      </c>
      <c r="P36" s="6">
        <v>0</v>
      </c>
      <c r="Q36" s="6">
        <v>1</v>
      </c>
      <c r="R36" s="6">
        <v>1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25"/>
      <c r="AF36" s="33">
        <f t="shared" si="23"/>
        <v>9</v>
      </c>
    </row>
    <row r="37" spans="1:32">
      <c r="A37" s="14" t="s">
        <v>44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7.75</v>
      </c>
      <c r="H37" s="6">
        <v>0</v>
      </c>
      <c r="I37" s="6">
        <v>0</v>
      </c>
      <c r="J37" s="6">
        <v>0</v>
      </c>
      <c r="K37" s="38">
        <v>9</v>
      </c>
      <c r="L37" s="6">
        <v>0</v>
      </c>
      <c r="M37" s="6">
        <v>0</v>
      </c>
      <c r="N37" s="6">
        <v>8.75</v>
      </c>
      <c r="O37" s="6">
        <v>0</v>
      </c>
      <c r="P37" s="6">
        <v>0</v>
      </c>
      <c r="Q37" s="6">
        <v>0</v>
      </c>
      <c r="R37" s="6">
        <v>0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25"/>
      <c r="AF37" s="33">
        <f t="shared" si="23"/>
        <v>25.5</v>
      </c>
    </row>
    <row r="38" spans="1:32" ht="13.5" thickBot="1">
      <c r="A38" s="19" t="s">
        <v>45</v>
      </c>
      <c r="B38" s="20" t="s">
        <v>46</v>
      </c>
      <c r="C38" s="20" t="s">
        <v>46</v>
      </c>
      <c r="D38" s="20" t="s">
        <v>46</v>
      </c>
      <c r="E38" s="20" t="s">
        <v>46</v>
      </c>
      <c r="F38" s="20" t="s">
        <v>46</v>
      </c>
      <c r="G38" s="20" t="s">
        <v>46</v>
      </c>
      <c r="H38" s="20" t="s">
        <v>46</v>
      </c>
      <c r="I38" s="20" t="s">
        <v>46</v>
      </c>
      <c r="J38" s="20" t="s">
        <v>46</v>
      </c>
      <c r="K38" s="20" t="s">
        <v>46</v>
      </c>
      <c r="L38" s="20" t="s">
        <v>46</v>
      </c>
      <c r="M38" s="20" t="s">
        <v>46</v>
      </c>
      <c r="N38" s="20" t="s">
        <v>46</v>
      </c>
      <c r="O38" s="20" t="s">
        <v>46</v>
      </c>
      <c r="P38" s="20" t="s">
        <v>46</v>
      </c>
      <c r="Q38" s="20" t="s">
        <v>47</v>
      </c>
      <c r="R38" s="20" t="s">
        <v>46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9"/>
      <c r="AF38" s="37">
        <v>1</v>
      </c>
    </row>
  </sheetData>
  <mergeCells count="6">
    <mergeCell ref="A31:A32"/>
    <mergeCell ref="A4:A5"/>
    <mergeCell ref="A1:A3"/>
    <mergeCell ref="AF1:AF3"/>
    <mergeCell ref="A24:A25"/>
    <mergeCell ref="A14:A15"/>
  </mergeCells>
  <conditionalFormatting sqref="B3:AE3">
    <cfRule type="cellIs" dxfId="1" priority="1" operator="equal">
      <formula>"Sun"</formula>
    </cfRule>
  </conditionalFormatting>
  <conditionalFormatting sqref="AG3:XFD3">
    <cfRule type="cellIs" dxfId="0" priority="47" operator="equal">
      <formula>"Sun"</formula>
    </cfRule>
  </conditionalFormatting>
  <pageMargins left="0.17" right="0.25" top="0.75" bottom="0.75" header="0.3" footer="0.3"/>
  <pageSetup orientation="portrait" r:id="rId1"/>
  <headerFooter>
    <oddHeader>&amp;C&amp;"Aptos"&amp;10&amp;K000000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Nitin Chorghe</cp:lastModifiedBy>
  <cp:revision/>
  <dcterms:created xsi:type="dcterms:W3CDTF">2018-05-18T06:11:28Z</dcterms:created>
  <dcterms:modified xsi:type="dcterms:W3CDTF">2026-06-17T10:00:22Z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e56841-897a-4359-87a7-ac954c2e1f5c_Enabled">
    <vt:lpwstr>true</vt:lpwstr>
  </property>
  <property fmtid="{D5CDD505-2E9C-101B-9397-08002B2CF9AE}" pid="3" name="MSIP_Label_16e56841-897a-4359-87a7-ac954c2e1f5c_SetDate">
    <vt:lpwstr>2026-06-05T05:23:47Z</vt:lpwstr>
  </property>
  <property fmtid="{D5CDD505-2E9C-101B-9397-08002B2CF9AE}" pid="4" name="MSIP_Label_16e56841-897a-4359-87a7-ac954c2e1f5c_Method">
    <vt:lpwstr>Privileged</vt:lpwstr>
  </property>
  <property fmtid="{D5CDD505-2E9C-101B-9397-08002B2CF9AE}" pid="5" name="MSIP_Label_16e56841-897a-4359-87a7-ac954c2e1f5c_Name">
    <vt:lpwstr>Public-O365</vt:lpwstr>
  </property>
  <property fmtid="{D5CDD505-2E9C-101B-9397-08002B2CF9AE}" pid="6" name="MSIP_Label_16e56841-897a-4359-87a7-ac954c2e1f5c_SiteId">
    <vt:lpwstr>d44ff723-4fa7-405e-afc0-43c21e573043</vt:lpwstr>
  </property>
  <property fmtid="{D5CDD505-2E9C-101B-9397-08002B2CF9AE}" pid="7" name="MSIP_Label_16e56841-897a-4359-87a7-ac954c2e1f5c_ActionId">
    <vt:lpwstr>995f15f6-541e-429f-95f3-0900911ed7f2</vt:lpwstr>
  </property>
  <property fmtid="{D5CDD505-2E9C-101B-9397-08002B2CF9AE}" pid="8" name="MSIP_Label_16e56841-897a-4359-87a7-ac954c2e1f5c_ContentBits">
    <vt:lpwstr>1</vt:lpwstr>
  </property>
  <property fmtid="{D5CDD505-2E9C-101B-9397-08002B2CF9AE}" pid="9" name="MSIP_Label_16e56841-897a-4359-87a7-ac954c2e1f5c_Tag">
    <vt:lpwstr>10, 0, 1, 1</vt:lpwstr>
  </property>
</Properties>
</file>