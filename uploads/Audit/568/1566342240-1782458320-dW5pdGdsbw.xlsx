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nal Deore\Desktop\Godrej OE 3.0\GODREJ SPARES\"/>
    </mc:Choice>
  </mc:AlternateContent>
  <bookViews>
    <workbookView showHorizontalScroll="0" showVerticalScroll="0" showSheetTabs="0" xWindow="-120" yWindow="-120" windowWidth="24240" windowHeight="13020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K38" i="1" l="1"/>
  <c r="DK39" i="1" s="1"/>
  <c r="DK34" i="1"/>
  <c r="DK35" i="1" s="1"/>
  <c r="DK29" i="1"/>
  <c r="DK30" i="1" s="1"/>
  <c r="DK23" i="1"/>
  <c r="DK25" i="1" s="1"/>
  <c r="DK20" i="1"/>
  <c r="DK22" i="1" s="1"/>
  <c r="DK17" i="1"/>
  <c r="DK14" i="1"/>
  <c r="DK11" i="1"/>
  <c r="DK8" i="1"/>
  <c r="DJ38" i="1"/>
  <c r="DJ39" i="1" s="1"/>
  <c r="DJ34" i="1"/>
  <c r="DJ35" i="1" s="1"/>
  <c r="DJ29" i="1"/>
  <c r="DJ30" i="1" s="1"/>
  <c r="DJ23" i="1"/>
  <c r="DJ25" i="1" s="1"/>
  <c r="DJ20" i="1"/>
  <c r="DJ22" i="1" s="1"/>
  <c r="DJ17" i="1"/>
  <c r="DJ14" i="1"/>
  <c r="DJ11" i="1"/>
  <c r="DJ8" i="1"/>
  <c r="DI38" i="1"/>
  <c r="DI39" i="1" s="1"/>
  <c r="DI34" i="1"/>
  <c r="DI35" i="1" s="1"/>
  <c r="DI29" i="1"/>
  <c r="DI30" i="1" s="1"/>
  <c r="DI23" i="1"/>
  <c r="DI25" i="1" s="1"/>
  <c r="DI20" i="1"/>
  <c r="DI22" i="1" s="1"/>
  <c r="DI17" i="1"/>
  <c r="DI14" i="1"/>
  <c r="DI11" i="1"/>
  <c r="DI8" i="1"/>
  <c r="DH23" i="1"/>
  <c r="DH25" i="1" s="1"/>
  <c r="DH38" i="1"/>
  <c r="DH39" i="1" s="1"/>
  <c r="DH34" i="1"/>
  <c r="DH35" i="1" s="1"/>
  <c r="DH29" i="1"/>
  <c r="DH30" i="1" s="1"/>
  <c r="DH20" i="1"/>
  <c r="DH22" i="1" s="1"/>
  <c r="DH17" i="1"/>
  <c r="DH14" i="1"/>
  <c r="DH11" i="1"/>
  <c r="DH8" i="1"/>
  <c r="DG38" i="1"/>
  <c r="DG39" i="1" s="1"/>
  <c r="DG34" i="1"/>
  <c r="DG35" i="1" s="1"/>
  <c r="DG29" i="1"/>
  <c r="DG30" i="1" s="1"/>
  <c r="DG23" i="1"/>
  <c r="DG25" i="1" s="1"/>
  <c r="DG20" i="1"/>
  <c r="DG22" i="1" s="1"/>
  <c r="DG17" i="1"/>
  <c r="DG14" i="1"/>
  <c r="DG11" i="1"/>
  <c r="DG8" i="1"/>
  <c r="DF38" i="1"/>
  <c r="DF39" i="1" s="1"/>
  <c r="DF34" i="1"/>
  <c r="DF35" i="1" s="1"/>
  <c r="DF29" i="1"/>
  <c r="DF30" i="1" s="1"/>
  <c r="DF23" i="1"/>
  <c r="DF25" i="1" s="1"/>
  <c r="DF20" i="1"/>
  <c r="DF22" i="1" s="1"/>
  <c r="DF17" i="1"/>
  <c r="DF14" i="1"/>
  <c r="DF11" i="1"/>
  <c r="DF8" i="1"/>
  <c r="DE38" i="1"/>
  <c r="DE39" i="1" s="1"/>
  <c r="DE34" i="1"/>
  <c r="DE35" i="1" s="1"/>
  <c r="DE29" i="1"/>
  <c r="DE30" i="1" s="1"/>
  <c r="DE23" i="1"/>
  <c r="DE25" i="1" s="1"/>
  <c r="DE20" i="1"/>
  <c r="DE22" i="1" s="1"/>
  <c r="DE17" i="1"/>
  <c r="DE14" i="1"/>
  <c r="DE11" i="1"/>
  <c r="DE8" i="1"/>
  <c r="DD38" i="1"/>
  <c r="DD39" i="1" s="1"/>
  <c r="DD34" i="1"/>
  <c r="DD35" i="1" s="1"/>
  <c r="DD29" i="1"/>
  <c r="DD30" i="1" s="1"/>
  <c r="DD23" i="1"/>
  <c r="DD25" i="1" s="1"/>
  <c r="DD20" i="1"/>
  <c r="DD22" i="1" s="1"/>
  <c r="DD17" i="1"/>
  <c r="DD14" i="1"/>
  <c r="DD11" i="1"/>
  <c r="DD8" i="1"/>
  <c r="DC38" i="1"/>
  <c r="DC39" i="1" s="1"/>
  <c r="DC34" i="1"/>
  <c r="DC35" i="1" s="1"/>
  <c r="DC29" i="1"/>
  <c r="DC30" i="1" s="1"/>
  <c r="DC23" i="1"/>
  <c r="DC25" i="1" s="1"/>
  <c r="DC20" i="1"/>
  <c r="DC22" i="1" s="1"/>
  <c r="DC17" i="1"/>
  <c r="DC14" i="1"/>
  <c r="DC11" i="1"/>
  <c r="DC8" i="1"/>
  <c r="CV23" i="1"/>
  <c r="CV25" i="1" s="1"/>
  <c r="CS23" i="1"/>
  <c r="CS25" i="1" s="1"/>
  <c r="CR23" i="1"/>
  <c r="CR25" i="1" s="1"/>
  <c r="DB38" i="1"/>
  <c r="DB39" i="1" s="1"/>
  <c r="DB34" i="1"/>
  <c r="DB35" i="1" s="1"/>
  <c r="DB29" i="1"/>
  <c r="DB30" i="1" s="1"/>
  <c r="DB23" i="1"/>
  <c r="DB25" i="1" s="1"/>
  <c r="DB20" i="1"/>
  <c r="DB22" i="1" s="1"/>
  <c r="DB17" i="1"/>
  <c r="DB14" i="1"/>
  <c r="DB11" i="1"/>
  <c r="DB8" i="1"/>
  <c r="DA38" i="1"/>
  <c r="DA39" i="1" s="1"/>
  <c r="DA34" i="1"/>
  <c r="DA35" i="1" s="1"/>
  <c r="DA29" i="1"/>
  <c r="DA30" i="1" s="1"/>
  <c r="DA23" i="1"/>
  <c r="DA25" i="1" s="1"/>
  <c r="DA20" i="1"/>
  <c r="DA22" i="1" s="1"/>
  <c r="DA17" i="1"/>
  <c r="DA14" i="1"/>
  <c r="DA11" i="1"/>
  <c r="DA8" i="1"/>
  <c r="CZ38" i="1"/>
  <c r="CZ39" i="1" s="1"/>
  <c r="CZ34" i="1"/>
  <c r="CZ35" i="1" s="1"/>
  <c r="CZ29" i="1"/>
  <c r="CZ30" i="1" s="1"/>
  <c r="CZ23" i="1"/>
  <c r="CZ25" i="1" s="1"/>
  <c r="CZ20" i="1"/>
  <c r="CZ22" i="1" s="1"/>
  <c r="CZ17" i="1"/>
  <c r="CZ14" i="1"/>
  <c r="CZ11" i="1"/>
  <c r="CZ8" i="1"/>
  <c r="CY38" i="1"/>
  <c r="CY39" i="1" s="1"/>
  <c r="CY34" i="1"/>
  <c r="CY35" i="1" s="1"/>
  <c r="CY29" i="1"/>
  <c r="CY30" i="1" s="1"/>
  <c r="CY23" i="1"/>
  <c r="CY25" i="1" s="1"/>
  <c r="CY20" i="1"/>
  <c r="CY22" i="1" s="1"/>
  <c r="CY17" i="1"/>
  <c r="CY14" i="1"/>
  <c r="CY11" i="1"/>
  <c r="CY8" i="1"/>
  <c r="CX38" i="1"/>
  <c r="CX39" i="1" s="1"/>
  <c r="CX34" i="1"/>
  <c r="CX35" i="1" s="1"/>
  <c r="CX29" i="1"/>
  <c r="CX30" i="1" s="1"/>
  <c r="CX23" i="1"/>
  <c r="CX25" i="1" s="1"/>
  <c r="CX20" i="1"/>
  <c r="CX22" i="1" s="1"/>
  <c r="CX17" i="1"/>
  <c r="CX14" i="1"/>
  <c r="CX11" i="1"/>
  <c r="CX8" i="1"/>
  <c r="CW38" i="1"/>
  <c r="CW39" i="1" s="1"/>
  <c r="CW34" i="1"/>
  <c r="CW35" i="1" s="1"/>
  <c r="CW29" i="1"/>
  <c r="CW30" i="1" s="1"/>
  <c r="CW23" i="1"/>
  <c r="CW25" i="1" s="1"/>
  <c r="CW20" i="1"/>
  <c r="CW22" i="1" s="1"/>
  <c r="CW17" i="1"/>
  <c r="CW14" i="1"/>
  <c r="CW11" i="1"/>
  <c r="CW8" i="1"/>
  <c r="CV38" i="1"/>
  <c r="CV39" i="1" s="1"/>
  <c r="CV34" i="1"/>
  <c r="CV35" i="1" s="1"/>
  <c r="CV29" i="1"/>
  <c r="CV30" i="1" s="1"/>
  <c r="CV20" i="1"/>
  <c r="CV17" i="1"/>
  <c r="CV14" i="1"/>
  <c r="CV11" i="1"/>
  <c r="CV8" i="1"/>
  <c r="CU38" i="1"/>
  <c r="CU39" i="1" s="1"/>
  <c r="CU34" i="1"/>
  <c r="CU35" i="1" s="1"/>
  <c r="CU29" i="1"/>
  <c r="CU30" i="1" s="1"/>
  <c r="CU23" i="1"/>
  <c r="CU25" i="1" s="1"/>
  <c r="CU20" i="1"/>
  <c r="CU17" i="1"/>
  <c r="CU14" i="1"/>
  <c r="CU11" i="1"/>
  <c r="CU8" i="1"/>
  <c r="CT38" i="1"/>
  <c r="CT39" i="1" s="1"/>
  <c r="CT34" i="1"/>
  <c r="CT35" i="1" s="1"/>
  <c r="CT29" i="1"/>
  <c r="CT30" i="1" s="1"/>
  <c r="CT23" i="1"/>
  <c r="CT25" i="1" s="1"/>
  <c r="CT20" i="1"/>
  <c r="CT22" i="1" s="1"/>
  <c r="CT17" i="1"/>
  <c r="CT14" i="1"/>
  <c r="CT11" i="1"/>
  <c r="CT8" i="1"/>
  <c r="CS38" i="1"/>
  <c r="CS39" i="1" s="1"/>
  <c r="CS34" i="1"/>
  <c r="CS35" i="1" s="1"/>
  <c r="CS29" i="1"/>
  <c r="CS30" i="1" s="1"/>
  <c r="CS20" i="1"/>
  <c r="CS17" i="1"/>
  <c r="CS14" i="1"/>
  <c r="CS11" i="1"/>
  <c r="CS8" i="1"/>
  <c r="CR38" i="1"/>
  <c r="CR39" i="1" s="1"/>
  <c r="CR34" i="1"/>
  <c r="CR35" i="1" s="1"/>
  <c r="CR29" i="1"/>
  <c r="CR30" i="1" s="1"/>
  <c r="CR20" i="1"/>
  <c r="CR17" i="1"/>
  <c r="CR14" i="1"/>
  <c r="CR11" i="1"/>
  <c r="CR8" i="1"/>
  <c r="CP38" i="1"/>
  <c r="CP39" i="1" s="1"/>
  <c r="CP34" i="1"/>
  <c r="CP35" i="1" s="1"/>
  <c r="CP29" i="1"/>
  <c r="CP30" i="1" s="1"/>
  <c r="CP23" i="1"/>
  <c r="CP25" i="1" s="1"/>
  <c r="CP20" i="1"/>
  <c r="CP22" i="1" s="1"/>
  <c r="CP17" i="1"/>
  <c r="CP14" i="1"/>
  <c r="CP11" i="1"/>
  <c r="CP8" i="1"/>
  <c r="DK3" i="1" l="1"/>
  <c r="DF3" i="1"/>
  <c r="DJ3" i="1"/>
  <c r="DI3" i="1"/>
  <c r="DH3" i="1"/>
  <c r="DG3" i="1"/>
  <c r="DE3" i="1"/>
  <c r="DD3" i="1"/>
  <c r="DC3" i="1"/>
  <c r="DB3" i="1"/>
  <c r="CS22" i="1"/>
  <c r="CV22" i="1"/>
  <c r="CR22" i="1"/>
  <c r="CU22" i="1"/>
  <c r="DA3" i="1"/>
  <c r="CZ3" i="1"/>
  <c r="CY3" i="1"/>
  <c r="CX3" i="1"/>
  <c r="CV3" i="1"/>
  <c r="CW3" i="1"/>
  <c r="CU3" i="1"/>
  <c r="CT3" i="1"/>
  <c r="CS3" i="1"/>
  <c r="CR3" i="1"/>
  <c r="CQ38" i="1"/>
  <c r="CQ39" i="1" s="1"/>
  <c r="CQ34" i="1"/>
  <c r="CQ35" i="1" s="1"/>
  <c r="CQ29" i="1"/>
  <c r="CQ30" i="1" s="1"/>
  <c r="CQ23" i="1"/>
  <c r="CQ25" i="1" s="1"/>
  <c r="CQ20" i="1"/>
  <c r="CQ22" i="1" s="1"/>
  <c r="CQ17" i="1"/>
  <c r="CQ14" i="1"/>
  <c r="CQ11" i="1"/>
  <c r="CQ8" i="1"/>
  <c r="CP3" i="1"/>
  <c r="CO38" i="1"/>
  <c r="CO39" i="1" s="1"/>
  <c r="CO34" i="1"/>
  <c r="CO35" i="1" s="1"/>
  <c r="CO29" i="1"/>
  <c r="CO30" i="1" s="1"/>
  <c r="CO23" i="1"/>
  <c r="CO25" i="1" s="1"/>
  <c r="CO20" i="1"/>
  <c r="CO22" i="1" s="1"/>
  <c r="CO17" i="1"/>
  <c r="CO14" i="1"/>
  <c r="CO11" i="1"/>
  <c r="CO8" i="1"/>
  <c r="CN38" i="1"/>
  <c r="CN39" i="1" s="1"/>
  <c r="CN34" i="1"/>
  <c r="CN35" i="1" s="1"/>
  <c r="CN29" i="1"/>
  <c r="CN30" i="1" s="1"/>
  <c r="CN23" i="1"/>
  <c r="CN25" i="1" s="1"/>
  <c r="CN20" i="1"/>
  <c r="CN22" i="1" s="1"/>
  <c r="CN17" i="1"/>
  <c r="CN14" i="1"/>
  <c r="CN11" i="1"/>
  <c r="CN8" i="1"/>
  <c r="CM38" i="1"/>
  <c r="CM39" i="1" s="1"/>
  <c r="CM34" i="1"/>
  <c r="CM35" i="1" s="1"/>
  <c r="CM29" i="1"/>
  <c r="CM30" i="1" s="1"/>
  <c r="CM23" i="1"/>
  <c r="CM25" i="1" s="1"/>
  <c r="CM20" i="1"/>
  <c r="CM22" i="1" s="1"/>
  <c r="CM17" i="1"/>
  <c r="CM14" i="1"/>
  <c r="CM11" i="1"/>
  <c r="CM8" i="1"/>
  <c r="CL38" i="1"/>
  <c r="CL39" i="1" s="1"/>
  <c r="CL34" i="1"/>
  <c r="CL35" i="1" s="1"/>
  <c r="CL29" i="1"/>
  <c r="CL30" i="1" s="1"/>
  <c r="CL23" i="1"/>
  <c r="CL25" i="1" s="1"/>
  <c r="CL20" i="1"/>
  <c r="CL22" i="1" s="1"/>
  <c r="CL17" i="1"/>
  <c r="CL14" i="1"/>
  <c r="CL11" i="1"/>
  <c r="CL8" i="1"/>
  <c r="CK38" i="1"/>
  <c r="CK39" i="1" s="1"/>
  <c r="CK34" i="1"/>
  <c r="CK35" i="1" s="1"/>
  <c r="CK29" i="1"/>
  <c r="CK30" i="1" s="1"/>
  <c r="CK23" i="1"/>
  <c r="CK25" i="1" s="1"/>
  <c r="CK20" i="1"/>
  <c r="CK22" i="1" s="1"/>
  <c r="CK17" i="1"/>
  <c r="CK14" i="1"/>
  <c r="CK11" i="1"/>
  <c r="CK8" i="1"/>
  <c r="CJ38" i="1"/>
  <c r="CJ39" i="1" s="1"/>
  <c r="CJ34" i="1"/>
  <c r="CJ35" i="1" s="1"/>
  <c r="CJ29" i="1"/>
  <c r="CJ30" i="1" s="1"/>
  <c r="CJ23" i="1"/>
  <c r="CJ25" i="1" s="1"/>
  <c r="CJ20" i="1"/>
  <c r="CJ22" i="1" s="1"/>
  <c r="CJ17" i="1"/>
  <c r="CJ14" i="1"/>
  <c r="CJ11" i="1"/>
  <c r="CJ8" i="1"/>
  <c r="CI38" i="1"/>
  <c r="CI39" i="1" s="1"/>
  <c r="CI34" i="1"/>
  <c r="CI35" i="1" s="1"/>
  <c r="CI29" i="1"/>
  <c r="CI30" i="1" s="1"/>
  <c r="CI23" i="1"/>
  <c r="CI25" i="1" s="1"/>
  <c r="CI20" i="1"/>
  <c r="CI22" i="1" s="1"/>
  <c r="CI17" i="1"/>
  <c r="CI14" i="1"/>
  <c r="CI11" i="1"/>
  <c r="CI8" i="1"/>
  <c r="CH38" i="1"/>
  <c r="CH39" i="1" s="1"/>
  <c r="CH34" i="1"/>
  <c r="CH35" i="1" s="1"/>
  <c r="CH29" i="1"/>
  <c r="CH30" i="1" s="1"/>
  <c r="CH23" i="1"/>
  <c r="CH25" i="1" s="1"/>
  <c r="CH20" i="1"/>
  <c r="CH22" i="1" s="1"/>
  <c r="CH17" i="1"/>
  <c r="CH14" i="1"/>
  <c r="CH11" i="1"/>
  <c r="CH8" i="1"/>
  <c r="CG38" i="1"/>
  <c r="CG39" i="1" s="1"/>
  <c r="CG34" i="1"/>
  <c r="CG35" i="1" s="1"/>
  <c r="CG29" i="1"/>
  <c r="CG30" i="1" s="1"/>
  <c r="CG23" i="1"/>
  <c r="CG25" i="1" s="1"/>
  <c r="CG20" i="1"/>
  <c r="CG22" i="1" s="1"/>
  <c r="CG17" i="1"/>
  <c r="CG14" i="1"/>
  <c r="CG11" i="1"/>
  <c r="CG8" i="1"/>
  <c r="CF38" i="1"/>
  <c r="CF39" i="1" s="1"/>
  <c r="CF34" i="1"/>
  <c r="CF35" i="1" s="1"/>
  <c r="CF29" i="1"/>
  <c r="CF30" i="1" s="1"/>
  <c r="CF23" i="1"/>
  <c r="CF25" i="1" s="1"/>
  <c r="CF20" i="1"/>
  <c r="CF22" i="1" s="1"/>
  <c r="CF17" i="1"/>
  <c r="CF14" i="1"/>
  <c r="CF11" i="1"/>
  <c r="CF8" i="1"/>
  <c r="CE38" i="1"/>
  <c r="CE39" i="1" s="1"/>
  <c r="CE34" i="1"/>
  <c r="CE35" i="1" s="1"/>
  <c r="CE29" i="1"/>
  <c r="CE30" i="1" s="1"/>
  <c r="CE23" i="1"/>
  <c r="CE25" i="1" s="1"/>
  <c r="CE20" i="1"/>
  <c r="CE22" i="1" s="1"/>
  <c r="CE17" i="1"/>
  <c r="CE14" i="1"/>
  <c r="CE11" i="1"/>
  <c r="CE8" i="1"/>
  <c r="CD38" i="1"/>
  <c r="CD39" i="1" s="1"/>
  <c r="CD34" i="1"/>
  <c r="CD35" i="1" s="1"/>
  <c r="CD29" i="1"/>
  <c r="CD30" i="1" s="1"/>
  <c r="CD23" i="1"/>
  <c r="CD25" i="1" s="1"/>
  <c r="CD20" i="1"/>
  <c r="CD22" i="1" s="1"/>
  <c r="CD17" i="1"/>
  <c r="CD14" i="1"/>
  <c r="CD11" i="1"/>
  <c r="CD8" i="1"/>
  <c r="CC38" i="1"/>
  <c r="CC39" i="1" s="1"/>
  <c r="CC34" i="1"/>
  <c r="CC35" i="1" s="1"/>
  <c r="CC29" i="1"/>
  <c r="CC30" i="1" s="1"/>
  <c r="CC23" i="1"/>
  <c r="CC25" i="1" s="1"/>
  <c r="CC20" i="1"/>
  <c r="CC22" i="1" s="1"/>
  <c r="CC17" i="1"/>
  <c r="CC14" i="1"/>
  <c r="CC11" i="1"/>
  <c r="CC8" i="1"/>
  <c r="C3" i="1"/>
  <c r="E3" i="1"/>
  <c r="G3" i="1"/>
  <c r="I3" i="1"/>
  <c r="K3" i="1"/>
  <c r="M3" i="1"/>
  <c r="O3" i="1"/>
  <c r="Q3" i="1"/>
  <c r="S3" i="1"/>
  <c r="U3" i="1"/>
  <c r="W3" i="1"/>
  <c r="Y3" i="1"/>
  <c r="AA3" i="1"/>
  <c r="AC3" i="1"/>
  <c r="AE3" i="1"/>
  <c r="AL3" i="1"/>
  <c r="AM3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G8" i="1"/>
  <c r="AH8" i="1"/>
  <c r="AI8" i="1"/>
  <c r="AJ8" i="1"/>
  <c r="AK8" i="1"/>
  <c r="AN8" i="1"/>
  <c r="AO8" i="1"/>
  <c r="AP8" i="1"/>
  <c r="AQ8" i="1"/>
  <c r="AR8" i="1"/>
  <c r="AS8" i="1"/>
  <c r="AT8" i="1"/>
  <c r="AU8" i="1"/>
  <c r="AV8" i="1"/>
  <c r="AW8" i="1"/>
  <c r="AX8" i="1"/>
  <c r="AY8" i="1"/>
  <c r="AZ8" i="1"/>
  <c r="BA8" i="1"/>
  <c r="BB8" i="1"/>
  <c r="BC8" i="1"/>
  <c r="BD8" i="1"/>
  <c r="BE8" i="1"/>
  <c r="BF8" i="1"/>
  <c r="BG8" i="1"/>
  <c r="BH8" i="1"/>
  <c r="BI8" i="1"/>
  <c r="BJ8" i="1"/>
  <c r="BK8" i="1"/>
  <c r="BL8" i="1"/>
  <c r="BM8" i="1"/>
  <c r="BN8" i="1"/>
  <c r="BO8" i="1"/>
  <c r="BP8" i="1"/>
  <c r="BQ8" i="1"/>
  <c r="BR8" i="1"/>
  <c r="BS8" i="1"/>
  <c r="BT8" i="1"/>
  <c r="BU8" i="1"/>
  <c r="BV8" i="1"/>
  <c r="BW8" i="1"/>
  <c r="BX8" i="1"/>
  <c r="BY8" i="1"/>
  <c r="BZ8" i="1"/>
  <c r="CA8" i="1"/>
  <c r="CB8" i="1"/>
  <c r="AG11" i="1"/>
  <c r="AH11" i="1"/>
  <c r="AI11" i="1"/>
  <c r="AJ11" i="1"/>
  <c r="AK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BA11" i="1"/>
  <c r="BB11" i="1"/>
  <c r="BC11" i="1"/>
  <c r="BD11" i="1"/>
  <c r="BE11" i="1"/>
  <c r="BF11" i="1"/>
  <c r="BG11" i="1"/>
  <c r="BH11" i="1"/>
  <c r="BI11" i="1"/>
  <c r="BJ11" i="1"/>
  <c r="BK11" i="1"/>
  <c r="BL11" i="1"/>
  <c r="BM11" i="1"/>
  <c r="BN11" i="1"/>
  <c r="BO11" i="1"/>
  <c r="BP11" i="1"/>
  <c r="BQ11" i="1"/>
  <c r="BR11" i="1"/>
  <c r="BS11" i="1"/>
  <c r="BT11" i="1"/>
  <c r="BU11" i="1"/>
  <c r="BV11" i="1"/>
  <c r="BW11" i="1"/>
  <c r="BX11" i="1"/>
  <c r="BY11" i="1"/>
  <c r="BZ11" i="1"/>
  <c r="CA11" i="1"/>
  <c r="CB11" i="1"/>
  <c r="C14" i="1"/>
  <c r="E14" i="1"/>
  <c r="G14" i="1"/>
  <c r="I14" i="1"/>
  <c r="K14" i="1"/>
  <c r="M14" i="1"/>
  <c r="O14" i="1"/>
  <c r="Q14" i="1"/>
  <c r="S14" i="1"/>
  <c r="U14" i="1"/>
  <c r="AG14" i="1"/>
  <c r="AH14" i="1"/>
  <c r="AI14" i="1"/>
  <c r="AJ14" i="1"/>
  <c r="AK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BB14" i="1"/>
  <c r="BC14" i="1"/>
  <c r="BD14" i="1"/>
  <c r="BE14" i="1"/>
  <c r="BF14" i="1"/>
  <c r="BG14" i="1"/>
  <c r="BH14" i="1"/>
  <c r="BI14" i="1"/>
  <c r="BJ14" i="1"/>
  <c r="BK14" i="1"/>
  <c r="BL14" i="1"/>
  <c r="BM14" i="1"/>
  <c r="BN14" i="1"/>
  <c r="BO14" i="1"/>
  <c r="BP14" i="1"/>
  <c r="BQ14" i="1"/>
  <c r="BR14" i="1"/>
  <c r="BS14" i="1"/>
  <c r="BT14" i="1"/>
  <c r="BU14" i="1"/>
  <c r="BV14" i="1"/>
  <c r="BW14" i="1"/>
  <c r="BX14" i="1"/>
  <c r="BY14" i="1"/>
  <c r="BZ14" i="1"/>
  <c r="CA14" i="1"/>
  <c r="CB14" i="1"/>
  <c r="AG17" i="1"/>
  <c r="AH17" i="1"/>
  <c r="AI17" i="1"/>
  <c r="AJ17" i="1"/>
  <c r="AK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BA17" i="1"/>
  <c r="BB17" i="1"/>
  <c r="BC17" i="1"/>
  <c r="BD17" i="1"/>
  <c r="BE17" i="1"/>
  <c r="BF17" i="1"/>
  <c r="BG17" i="1"/>
  <c r="BH17" i="1"/>
  <c r="BI17" i="1"/>
  <c r="BJ17" i="1"/>
  <c r="BK17" i="1"/>
  <c r="BL17" i="1"/>
  <c r="BM17" i="1"/>
  <c r="BN17" i="1"/>
  <c r="BO17" i="1"/>
  <c r="BP17" i="1"/>
  <c r="BQ17" i="1"/>
  <c r="BR17" i="1"/>
  <c r="BS17" i="1"/>
  <c r="BT17" i="1"/>
  <c r="BU17" i="1"/>
  <c r="BV17" i="1"/>
  <c r="BW17" i="1"/>
  <c r="BX17" i="1"/>
  <c r="BY17" i="1"/>
  <c r="BZ17" i="1"/>
  <c r="CA17" i="1"/>
  <c r="CB17" i="1"/>
  <c r="Q18" i="1"/>
  <c r="Q19" i="1"/>
  <c r="C20" i="1"/>
  <c r="E20" i="1"/>
  <c r="G20" i="1"/>
  <c r="I20" i="1"/>
  <c r="K20" i="1"/>
  <c r="M20" i="1"/>
  <c r="O20" i="1"/>
  <c r="S20" i="1"/>
  <c r="U20" i="1"/>
  <c r="AG20" i="1"/>
  <c r="AH20" i="1"/>
  <c r="AI20" i="1"/>
  <c r="AJ20" i="1"/>
  <c r="AK20" i="1"/>
  <c r="AN20" i="1"/>
  <c r="AO20" i="1"/>
  <c r="AP20" i="1"/>
  <c r="AP22" i="1" s="1"/>
  <c r="AQ20" i="1"/>
  <c r="AQ22" i="1" s="1"/>
  <c r="AR20" i="1"/>
  <c r="AR22" i="1" s="1"/>
  <c r="AS20" i="1"/>
  <c r="AS22" i="1" s="1"/>
  <c r="AT20" i="1"/>
  <c r="AT22" i="1" s="1"/>
  <c r="AU20" i="1"/>
  <c r="AU22" i="1" s="1"/>
  <c r="AV20" i="1"/>
  <c r="AV22" i="1" s="1"/>
  <c r="AW20" i="1"/>
  <c r="AW22" i="1" s="1"/>
  <c r="AX20" i="1"/>
  <c r="AX22" i="1" s="1"/>
  <c r="AY20" i="1"/>
  <c r="AY22" i="1" s="1"/>
  <c r="AZ20" i="1"/>
  <c r="AZ22" i="1" s="1"/>
  <c r="BA20" i="1"/>
  <c r="BA22" i="1" s="1"/>
  <c r="BB20" i="1"/>
  <c r="BB22" i="1" s="1"/>
  <c r="BC20" i="1"/>
  <c r="BC22" i="1" s="1"/>
  <c r="BD20" i="1"/>
  <c r="BD22" i="1" s="1"/>
  <c r="BE20" i="1"/>
  <c r="BE22" i="1" s="1"/>
  <c r="BF20" i="1"/>
  <c r="BF22" i="1" s="1"/>
  <c r="BG20" i="1"/>
  <c r="BG22" i="1" s="1"/>
  <c r="BH20" i="1"/>
  <c r="BH22" i="1" s="1"/>
  <c r="BI20" i="1"/>
  <c r="BI22" i="1" s="1"/>
  <c r="BJ20" i="1"/>
  <c r="BJ22" i="1" s="1"/>
  <c r="BK20" i="1"/>
  <c r="BK22" i="1" s="1"/>
  <c r="BL20" i="1"/>
  <c r="BL22" i="1" s="1"/>
  <c r="BM20" i="1"/>
  <c r="BM22" i="1" s="1"/>
  <c r="BN20" i="1"/>
  <c r="BN22" i="1" s="1"/>
  <c r="BO20" i="1"/>
  <c r="BO22" i="1" s="1"/>
  <c r="BP20" i="1"/>
  <c r="BP22" i="1" s="1"/>
  <c r="BQ20" i="1"/>
  <c r="BQ22" i="1" s="1"/>
  <c r="BR20" i="1"/>
  <c r="BR22" i="1" s="1"/>
  <c r="BS20" i="1"/>
  <c r="BS22" i="1" s="1"/>
  <c r="BT20" i="1"/>
  <c r="BT22" i="1" s="1"/>
  <c r="BU20" i="1"/>
  <c r="BU22" i="1" s="1"/>
  <c r="BV20" i="1"/>
  <c r="BV22" i="1" s="1"/>
  <c r="BW20" i="1"/>
  <c r="BW22" i="1" s="1"/>
  <c r="BX20" i="1"/>
  <c r="BX22" i="1" s="1"/>
  <c r="BY20" i="1"/>
  <c r="BY22" i="1" s="1"/>
  <c r="BZ20" i="1"/>
  <c r="BZ22" i="1" s="1"/>
  <c r="CA20" i="1"/>
  <c r="CA22" i="1" s="1"/>
  <c r="CB20" i="1"/>
  <c r="CB22" i="1" s="1"/>
  <c r="C21" i="1"/>
  <c r="C22" i="1" s="1"/>
  <c r="E21" i="1"/>
  <c r="E22" i="1" s="1"/>
  <c r="G21" i="1"/>
  <c r="G22" i="1" s="1"/>
  <c r="I21" i="1"/>
  <c r="I23" i="1" s="1"/>
  <c r="K21" i="1"/>
  <c r="K23" i="1" s="1"/>
  <c r="M21" i="1"/>
  <c r="M23" i="1" s="1"/>
  <c r="O21" i="1"/>
  <c r="O23" i="1" s="1"/>
  <c r="Q21" i="1"/>
  <c r="Q22" i="1" s="1"/>
  <c r="S21" i="1"/>
  <c r="S23" i="1" s="1"/>
  <c r="U21" i="1"/>
  <c r="U22" i="1" s="1"/>
  <c r="AG21" i="1"/>
  <c r="AH21" i="1"/>
  <c r="AI21" i="1"/>
  <c r="AJ21" i="1"/>
  <c r="AK21" i="1"/>
  <c r="AN21" i="1"/>
  <c r="AN23" i="1" s="1"/>
  <c r="AN25" i="1" s="1"/>
  <c r="AO21" i="1"/>
  <c r="AP23" i="1"/>
  <c r="AP25" i="1" s="1"/>
  <c r="AQ23" i="1"/>
  <c r="AQ25" i="1" s="1"/>
  <c r="AR23" i="1"/>
  <c r="AR25" i="1" s="1"/>
  <c r="AS23" i="1"/>
  <c r="AS25" i="1" s="1"/>
  <c r="AT23" i="1"/>
  <c r="AT25" i="1" s="1"/>
  <c r="AU23" i="1"/>
  <c r="AU25" i="1" s="1"/>
  <c r="AV23" i="1"/>
  <c r="AV25" i="1" s="1"/>
  <c r="AW23" i="1"/>
  <c r="AW25" i="1" s="1"/>
  <c r="AX23" i="1"/>
  <c r="AX25" i="1" s="1"/>
  <c r="AY23" i="1"/>
  <c r="AY25" i="1" s="1"/>
  <c r="AZ23" i="1"/>
  <c r="AZ25" i="1" s="1"/>
  <c r="BA23" i="1"/>
  <c r="BA25" i="1" s="1"/>
  <c r="BB23" i="1"/>
  <c r="BB25" i="1" s="1"/>
  <c r="BC23" i="1"/>
  <c r="BC25" i="1" s="1"/>
  <c r="BD23" i="1"/>
  <c r="BD25" i="1" s="1"/>
  <c r="BE23" i="1"/>
  <c r="BE25" i="1" s="1"/>
  <c r="BF23" i="1"/>
  <c r="BF25" i="1" s="1"/>
  <c r="BG23" i="1"/>
  <c r="BG25" i="1" s="1"/>
  <c r="BH23" i="1"/>
  <c r="BH25" i="1" s="1"/>
  <c r="BI23" i="1"/>
  <c r="BI25" i="1" s="1"/>
  <c r="BJ23" i="1"/>
  <c r="BJ25" i="1" s="1"/>
  <c r="BK23" i="1"/>
  <c r="BK25" i="1" s="1"/>
  <c r="BL23" i="1"/>
  <c r="BL25" i="1" s="1"/>
  <c r="BM23" i="1"/>
  <c r="BM25" i="1" s="1"/>
  <c r="BN23" i="1"/>
  <c r="BN25" i="1" s="1"/>
  <c r="BO23" i="1"/>
  <c r="BO25" i="1" s="1"/>
  <c r="BP23" i="1"/>
  <c r="BP25" i="1" s="1"/>
  <c r="BQ23" i="1"/>
  <c r="BQ25" i="1" s="1"/>
  <c r="BR23" i="1"/>
  <c r="BR25" i="1" s="1"/>
  <c r="BS23" i="1"/>
  <c r="BS25" i="1" s="1"/>
  <c r="BT23" i="1"/>
  <c r="BT25" i="1" s="1"/>
  <c r="BU23" i="1"/>
  <c r="BU25" i="1" s="1"/>
  <c r="BV23" i="1"/>
  <c r="BV25" i="1" s="1"/>
  <c r="BW23" i="1"/>
  <c r="BW25" i="1" s="1"/>
  <c r="BX23" i="1"/>
  <c r="BX25" i="1" s="1"/>
  <c r="BY23" i="1"/>
  <c r="BY25" i="1" s="1"/>
  <c r="BZ23" i="1"/>
  <c r="BZ25" i="1" s="1"/>
  <c r="CA23" i="1"/>
  <c r="CA25" i="1" s="1"/>
  <c r="CB23" i="1"/>
  <c r="CB25" i="1" s="1"/>
  <c r="AG29" i="1"/>
  <c r="AH29" i="1"/>
  <c r="AI29" i="1"/>
  <c r="AJ29" i="1"/>
  <c r="AK29" i="1"/>
  <c r="AN29" i="1"/>
  <c r="AN30" i="1" s="1"/>
  <c r="AO29" i="1"/>
  <c r="AO30" i="1" s="1"/>
  <c r="AP29" i="1"/>
  <c r="AP30" i="1" s="1"/>
  <c r="AQ29" i="1"/>
  <c r="AQ30" i="1" s="1"/>
  <c r="AR29" i="1"/>
  <c r="AR30" i="1" s="1"/>
  <c r="AS29" i="1"/>
  <c r="AS30" i="1" s="1"/>
  <c r="AT29" i="1"/>
  <c r="AT30" i="1" s="1"/>
  <c r="AU29" i="1"/>
  <c r="AU30" i="1" s="1"/>
  <c r="AV29" i="1"/>
  <c r="AV30" i="1" s="1"/>
  <c r="AW29" i="1"/>
  <c r="AW30" i="1" s="1"/>
  <c r="AX29" i="1"/>
  <c r="AX30" i="1" s="1"/>
  <c r="AY29" i="1"/>
  <c r="AY30" i="1" s="1"/>
  <c r="AZ29" i="1"/>
  <c r="AZ30" i="1" s="1"/>
  <c r="BA29" i="1"/>
  <c r="BA30" i="1" s="1"/>
  <c r="BB29" i="1"/>
  <c r="BB30" i="1" s="1"/>
  <c r="BC29" i="1"/>
  <c r="BC30" i="1" s="1"/>
  <c r="BD29" i="1"/>
  <c r="BD30" i="1" s="1"/>
  <c r="BE29" i="1"/>
  <c r="BE30" i="1" s="1"/>
  <c r="BF29" i="1"/>
  <c r="BF30" i="1" s="1"/>
  <c r="BG29" i="1"/>
  <c r="BG30" i="1" s="1"/>
  <c r="BH29" i="1"/>
  <c r="BH30" i="1" s="1"/>
  <c r="BI29" i="1"/>
  <c r="BI30" i="1" s="1"/>
  <c r="BJ29" i="1"/>
  <c r="BJ30" i="1" s="1"/>
  <c r="BK29" i="1"/>
  <c r="BK30" i="1" s="1"/>
  <c r="BL29" i="1"/>
  <c r="BL30" i="1" s="1"/>
  <c r="BM29" i="1"/>
  <c r="BM30" i="1" s="1"/>
  <c r="BN29" i="1"/>
  <c r="BN30" i="1" s="1"/>
  <c r="BO29" i="1"/>
  <c r="BO30" i="1" s="1"/>
  <c r="BP29" i="1"/>
  <c r="BP30" i="1" s="1"/>
  <c r="BQ29" i="1"/>
  <c r="BQ30" i="1" s="1"/>
  <c r="BR29" i="1"/>
  <c r="BR30" i="1" s="1"/>
  <c r="BS29" i="1"/>
  <c r="BS30" i="1" s="1"/>
  <c r="BT29" i="1"/>
  <c r="BT30" i="1" s="1"/>
  <c r="BU29" i="1"/>
  <c r="BU30" i="1" s="1"/>
  <c r="BV29" i="1"/>
  <c r="BV30" i="1" s="1"/>
  <c r="BW29" i="1"/>
  <c r="BW30" i="1" s="1"/>
  <c r="BX29" i="1"/>
  <c r="BX30" i="1" s="1"/>
  <c r="BY29" i="1"/>
  <c r="BY30" i="1" s="1"/>
  <c r="BZ29" i="1"/>
  <c r="BZ30" i="1" s="1"/>
  <c r="CA29" i="1"/>
  <c r="CA30" i="1" s="1"/>
  <c r="CB29" i="1"/>
  <c r="CB30" i="1" s="1"/>
  <c r="AN34" i="1"/>
  <c r="AN35" i="1" s="1"/>
  <c r="AO34" i="1"/>
  <c r="AO35" i="1" s="1"/>
  <c r="AP34" i="1"/>
  <c r="AP35" i="1" s="1"/>
  <c r="AQ34" i="1"/>
  <c r="AQ35" i="1" s="1"/>
  <c r="AR34" i="1"/>
  <c r="AS34" i="1"/>
  <c r="AT34" i="1"/>
  <c r="AU34" i="1"/>
  <c r="AU35" i="1" s="1"/>
  <c r="AV34" i="1"/>
  <c r="AV35" i="1" s="1"/>
  <c r="AW34" i="1"/>
  <c r="AW35" i="1" s="1"/>
  <c r="AX34" i="1"/>
  <c r="AX35" i="1" s="1"/>
  <c r="AY34" i="1"/>
  <c r="AY35" i="1" s="1"/>
  <c r="AZ34" i="1"/>
  <c r="AZ35" i="1" s="1"/>
  <c r="BA34" i="1"/>
  <c r="BA35" i="1" s="1"/>
  <c r="BB34" i="1"/>
  <c r="BB35" i="1" s="1"/>
  <c r="BC34" i="1"/>
  <c r="BC35" i="1" s="1"/>
  <c r="BD34" i="1"/>
  <c r="BD35" i="1" s="1"/>
  <c r="BE34" i="1"/>
  <c r="BE35" i="1" s="1"/>
  <c r="BF34" i="1"/>
  <c r="BF35" i="1" s="1"/>
  <c r="BG34" i="1"/>
  <c r="BG35" i="1" s="1"/>
  <c r="BH34" i="1"/>
  <c r="BH35" i="1" s="1"/>
  <c r="BI34" i="1"/>
  <c r="BI35" i="1" s="1"/>
  <c r="BJ34" i="1"/>
  <c r="BJ35" i="1" s="1"/>
  <c r="BK34" i="1"/>
  <c r="BK35" i="1" s="1"/>
  <c r="BL34" i="1"/>
  <c r="BL35" i="1" s="1"/>
  <c r="BM34" i="1"/>
  <c r="BM35" i="1" s="1"/>
  <c r="BN34" i="1"/>
  <c r="BN35" i="1" s="1"/>
  <c r="BO34" i="1"/>
  <c r="BO35" i="1" s="1"/>
  <c r="BP34" i="1"/>
  <c r="BP35" i="1" s="1"/>
  <c r="BQ34" i="1"/>
  <c r="BQ35" i="1" s="1"/>
  <c r="BR34" i="1"/>
  <c r="BR35" i="1" s="1"/>
  <c r="BS34" i="1"/>
  <c r="BS35" i="1" s="1"/>
  <c r="BT34" i="1"/>
  <c r="BT35" i="1" s="1"/>
  <c r="BU34" i="1"/>
  <c r="BU35" i="1" s="1"/>
  <c r="BV34" i="1"/>
  <c r="BV35" i="1" s="1"/>
  <c r="BW34" i="1"/>
  <c r="BW35" i="1" s="1"/>
  <c r="BX34" i="1"/>
  <c r="BX35" i="1" s="1"/>
  <c r="BY34" i="1"/>
  <c r="BY35" i="1" s="1"/>
  <c r="BZ34" i="1"/>
  <c r="BZ35" i="1" s="1"/>
  <c r="CA34" i="1"/>
  <c r="CA35" i="1" s="1"/>
  <c r="CB34" i="1"/>
  <c r="CB35" i="1" s="1"/>
  <c r="AG35" i="1"/>
  <c r="AH35" i="1"/>
  <c r="AI35" i="1"/>
  <c r="AJ35" i="1"/>
  <c r="AK35" i="1"/>
  <c r="AN38" i="1"/>
  <c r="AN39" i="1" s="1"/>
  <c r="AO38" i="1"/>
  <c r="AO39" i="1" s="1"/>
  <c r="AP38" i="1"/>
  <c r="AP39" i="1" s="1"/>
  <c r="AQ38" i="1"/>
  <c r="AQ39" i="1" s="1"/>
  <c r="AR38" i="1"/>
  <c r="AS38" i="1"/>
  <c r="AT38" i="1"/>
  <c r="AU38" i="1"/>
  <c r="AU39" i="1" s="1"/>
  <c r="AV38" i="1"/>
  <c r="AV39" i="1" s="1"/>
  <c r="AW38" i="1"/>
  <c r="AW39" i="1" s="1"/>
  <c r="AX38" i="1"/>
  <c r="AX39" i="1" s="1"/>
  <c r="AY38" i="1"/>
  <c r="AY39" i="1" s="1"/>
  <c r="AZ38" i="1"/>
  <c r="AZ39" i="1" s="1"/>
  <c r="BA38" i="1"/>
  <c r="BA39" i="1" s="1"/>
  <c r="BB38" i="1"/>
  <c r="BB39" i="1" s="1"/>
  <c r="BC38" i="1"/>
  <c r="BC39" i="1" s="1"/>
  <c r="BD38" i="1"/>
  <c r="BD39" i="1" s="1"/>
  <c r="BE38" i="1"/>
  <c r="BE39" i="1" s="1"/>
  <c r="BF38" i="1"/>
  <c r="BF39" i="1" s="1"/>
  <c r="BG38" i="1"/>
  <c r="BG39" i="1" s="1"/>
  <c r="BH38" i="1"/>
  <c r="BH39" i="1" s="1"/>
  <c r="BI38" i="1"/>
  <c r="BI39" i="1" s="1"/>
  <c r="BJ38" i="1"/>
  <c r="BJ39" i="1" s="1"/>
  <c r="BK38" i="1"/>
  <c r="BK39" i="1" s="1"/>
  <c r="BL38" i="1"/>
  <c r="BL39" i="1" s="1"/>
  <c r="BM38" i="1"/>
  <c r="BM39" i="1" s="1"/>
  <c r="BN38" i="1"/>
  <c r="BN39" i="1" s="1"/>
  <c r="BO38" i="1"/>
  <c r="BO39" i="1" s="1"/>
  <c r="BP38" i="1"/>
  <c r="BP39" i="1" s="1"/>
  <c r="BQ38" i="1"/>
  <c r="BQ39" i="1" s="1"/>
  <c r="BR38" i="1"/>
  <c r="BR39" i="1" s="1"/>
  <c r="BS38" i="1"/>
  <c r="BS39" i="1" s="1"/>
  <c r="BT38" i="1"/>
  <c r="BT39" i="1" s="1"/>
  <c r="BU38" i="1"/>
  <c r="BU39" i="1" s="1"/>
  <c r="BV38" i="1"/>
  <c r="BV39" i="1" s="1"/>
  <c r="BW38" i="1"/>
  <c r="BW39" i="1" s="1"/>
  <c r="BX38" i="1"/>
  <c r="BX39" i="1" s="1"/>
  <c r="BY38" i="1"/>
  <c r="BY39" i="1" s="1"/>
  <c r="BZ38" i="1"/>
  <c r="BZ39" i="1" s="1"/>
  <c r="CA38" i="1"/>
  <c r="CA39" i="1" s="1"/>
  <c r="CB38" i="1"/>
  <c r="CB39" i="1" s="1"/>
  <c r="AG39" i="1"/>
  <c r="AH39" i="1"/>
  <c r="AI39" i="1"/>
  <c r="AJ39" i="1"/>
  <c r="AK39" i="1"/>
  <c r="CO3" i="1" l="1"/>
  <c r="CQ3" i="1"/>
  <c r="CN3" i="1"/>
  <c r="CM3" i="1"/>
  <c r="CL3" i="1"/>
  <c r="CK3" i="1"/>
  <c r="AG22" i="1"/>
  <c r="CJ3" i="1"/>
  <c r="S22" i="1"/>
  <c r="CI3" i="1"/>
  <c r="CH3" i="1"/>
  <c r="CG3" i="1"/>
  <c r="CC3" i="1"/>
  <c r="O22" i="1"/>
  <c r="AO22" i="1"/>
  <c r="AH22" i="1"/>
  <c r="CE3" i="1"/>
  <c r="CD3" i="1"/>
  <c r="CF3" i="1"/>
  <c r="U23" i="1"/>
  <c r="K22" i="1"/>
  <c r="AK22" i="1"/>
  <c r="AI22" i="1"/>
  <c r="AH23" i="1"/>
  <c r="AH25" i="1" s="1"/>
  <c r="AH3" i="1" s="1"/>
  <c r="AG23" i="1"/>
  <c r="AG25" i="1" s="1"/>
  <c r="AG3" i="1" s="1"/>
  <c r="C23" i="1"/>
  <c r="M22" i="1"/>
  <c r="AO23" i="1"/>
  <c r="AO25" i="1" s="1"/>
  <c r="AO3" i="1" s="1"/>
  <c r="Q20" i="1"/>
  <c r="AI23" i="1"/>
  <c r="AI25" i="1" s="1"/>
  <c r="AI3" i="1" s="1"/>
  <c r="AJ22" i="1"/>
  <c r="CB3" i="1"/>
  <c r="Q23" i="1"/>
  <c r="AK23" i="1"/>
  <c r="AK25" i="1" s="1"/>
  <c r="AK3" i="1" s="1"/>
  <c r="G23" i="1"/>
  <c r="AJ23" i="1"/>
  <c r="AJ25" i="1" s="1"/>
  <c r="AJ3" i="1" s="1"/>
  <c r="E23" i="1"/>
  <c r="AN22" i="1"/>
  <c r="I22" i="1"/>
  <c r="CA3" i="1"/>
  <c r="BZ3" i="1"/>
  <c r="BY3" i="1"/>
  <c r="BX3" i="1"/>
  <c r="BW3" i="1"/>
  <c r="BV3" i="1"/>
  <c r="BU3" i="1"/>
  <c r="BT3" i="1"/>
  <c r="BS3" i="1"/>
  <c r="BR3" i="1"/>
  <c r="BQ3" i="1"/>
  <c r="BP3" i="1"/>
  <c r="BO3" i="1"/>
  <c r="BN3" i="1"/>
  <c r="BM3" i="1"/>
  <c r="BL3" i="1"/>
  <c r="BK3" i="1"/>
  <c r="BJ3" i="1"/>
  <c r="BI3" i="1"/>
  <c r="BH3" i="1"/>
  <c r="BG3" i="1"/>
  <c r="BF3" i="1"/>
  <c r="BE3" i="1"/>
  <c r="BD3" i="1"/>
  <c r="BC3" i="1"/>
  <c r="BB3" i="1"/>
  <c r="BA3" i="1"/>
  <c r="AZ3" i="1"/>
  <c r="AY3" i="1"/>
  <c r="AX3" i="1"/>
  <c r="AW3" i="1"/>
  <c r="AV3" i="1"/>
  <c r="AU3" i="1"/>
  <c r="AT3" i="1"/>
  <c r="AS3" i="1"/>
  <c r="AR3" i="1"/>
  <c r="AQ3" i="1"/>
  <c r="AP3" i="1"/>
  <c r="AN3" i="1"/>
</calcChain>
</file>

<file path=xl/sharedStrings.xml><?xml version="1.0" encoding="utf-8"?>
<sst xmlns="http://schemas.openxmlformats.org/spreadsheetml/2006/main" count="152" uniqueCount="39">
  <si>
    <t>ACCOUNT - Godrej Appliance Spares (AB) Bhiwadi</t>
  </si>
  <si>
    <t>Sl No.</t>
  </si>
  <si>
    <t>KPI PERFORMANCE ( % )</t>
  </si>
  <si>
    <t>KEY PERFORMANCE INDICATOR</t>
  </si>
  <si>
    <t> Achieved %</t>
  </si>
  <si>
    <t>Remarks</t>
  </si>
  <si>
    <t>GRN Lines recd</t>
  </si>
  <si>
    <t>GRN Lines Completed ( 24 Hours)</t>
  </si>
  <si>
    <t>SLA ( 24 Hours) in %</t>
  </si>
  <si>
    <t>Total Reported Vehicle fo Unloading</t>
  </si>
  <si>
    <t>Unlaoded Vehicle (Same Day)</t>
  </si>
  <si>
    <t>SLA (Same Day) in %</t>
  </si>
  <si>
    <t>Despatch-Total Received lines</t>
  </si>
  <si>
    <t>Despatch-Executed Order lines (24 Hrs)</t>
  </si>
  <si>
    <t>Despatch-Perf in %</t>
  </si>
  <si>
    <t>Total Reported Vehicle for Outbond</t>
  </si>
  <si>
    <t>Loaded On same day</t>
  </si>
  <si>
    <t>SLA (Sameday) in %</t>
  </si>
  <si>
    <t>Direct Man hours ( Workers)</t>
  </si>
  <si>
    <t>Indirect Man hours ( Staff)</t>
  </si>
  <si>
    <t>Total Man hours</t>
  </si>
  <si>
    <t>Lines Executed</t>
  </si>
  <si>
    <t>LPH ( Over all)</t>
  </si>
  <si>
    <t>Indirect LPH ( Workers)</t>
  </si>
  <si>
    <t>SLA - LPH ( Over all)</t>
  </si>
  <si>
    <t xml:space="preserve">Short Dispatch </t>
  </si>
  <si>
    <t>Excess Dispatch</t>
  </si>
  <si>
    <t>Mismatch Dispatch</t>
  </si>
  <si>
    <t>Total accepted Claim</t>
  </si>
  <si>
    <t>Claim %</t>
  </si>
  <si>
    <t>SLA</t>
  </si>
  <si>
    <t>Total Item counted (A+B)</t>
  </si>
  <si>
    <t>Discrepency In Item</t>
  </si>
  <si>
    <t>Accuracy In Items</t>
  </si>
  <si>
    <t>IRA</t>
  </si>
  <si>
    <t>Total Counte Value (In Lack)</t>
  </si>
  <si>
    <t>Discrepency In Value (In Lack)</t>
  </si>
  <si>
    <t>Accuaracy in Value (In Lack)</t>
  </si>
  <si>
    <t>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</si>
</sst>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%"/>
  </numFmts>
  <fonts count="1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Calibri"/>
      <family val="2"/>
    </font>
    <font>
      <b/>
      <sz val="11"/>
      <color indexed="8"/>
      <name val="Calibri"/>
      <family val="2"/>
    </font>
    <font>
      <b/>
      <sz val="8"/>
      <color indexed="8"/>
      <name val="Calibri"/>
      <family val="2"/>
    </font>
    <font>
      <sz val="11"/>
      <color indexed="8"/>
      <name val="Calibri"/>
      <family val="2"/>
    </font>
    <font>
      <sz val="8"/>
      <color indexed="8"/>
      <name val="Calibri"/>
      <family val="2"/>
    </font>
    <font>
      <b/>
      <sz val="8"/>
      <color indexed="8"/>
      <name val="Arial"/>
      <family val="2"/>
    </font>
    <font>
      <sz val="12"/>
      <color indexed="8"/>
      <name val="Arial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theme="0"/>
      <name val="Calibri"/>
      <family val="2"/>
    </font>
    <font>
      <b/>
      <sz val="8"/>
      <color theme="0"/>
      <name val="Arial"/>
      <family val="2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164" fontId="10" fillId="0" borderId="0" applyFont="0" applyFill="0" applyBorder="0" applyAlignment="0" applyProtection="0"/>
    <xf numFmtId="0" fontId="11" fillId="0" borderId="0" applyNumberFormat="0" applyFill="0" applyBorder="0" applyAlignment="0" applyProtection="0"/>
    <xf numFmtId="9" fontId="10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49">
    <xf numFmtId="0" fontId="0" fillId="0" borderId="0" xfId="0"/>
    <xf numFmtId="0" fontId="11" fillId="0" borderId="0" xfId="2" quotePrefix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165" fontId="6" fillId="2" borderId="2" xfId="3" applyNumberFormat="1" applyFont="1" applyFill="1" applyBorder="1" applyAlignment="1">
      <alignment horizontal="center"/>
    </xf>
    <xf numFmtId="9" fontId="6" fillId="2" borderId="2" xfId="3" applyFont="1" applyFill="1" applyBorder="1" applyAlignment="1">
      <alignment horizontal="center"/>
    </xf>
    <xf numFmtId="17" fontId="4" fillId="3" borderId="2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8" fillId="4" borderId="2" xfId="0" applyFont="1" applyFill="1" applyBorder="1"/>
    <xf numFmtId="0" fontId="9" fillId="0" borderId="2" xfId="0" applyFont="1" applyBorder="1" applyAlignment="1">
      <alignment horizontal="center" vertical="center"/>
    </xf>
    <xf numFmtId="10" fontId="2" fillId="5" borderId="2" xfId="0" applyNumberFormat="1" applyFont="1" applyFill="1" applyBorder="1" applyAlignment="1">
      <alignment horizontal="center" vertical="center" wrapText="1"/>
    </xf>
    <xf numFmtId="1" fontId="10" fillId="0" borderId="6" xfId="3" applyNumberFormat="1" applyFont="1" applyBorder="1" applyAlignment="1">
      <alignment horizontal="center" vertical="center"/>
    </xf>
    <xf numFmtId="9" fontId="10" fillId="0" borderId="6" xfId="3" applyFont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1" fontId="10" fillId="0" borderId="2" xfId="3" applyNumberFormat="1" applyFont="1" applyBorder="1" applyAlignment="1">
      <alignment horizontal="center" vertical="center"/>
    </xf>
    <xf numFmtId="1" fontId="2" fillId="5" borderId="2" xfId="0" applyNumberFormat="1" applyFont="1" applyFill="1" applyBorder="1" applyAlignment="1">
      <alignment horizontal="center" vertical="center" wrapText="1"/>
    </xf>
    <xf numFmtId="2" fontId="2" fillId="5" borderId="2" xfId="0" applyNumberFormat="1" applyFont="1" applyFill="1" applyBorder="1" applyAlignment="1">
      <alignment horizontal="center" vertical="center" wrapText="1"/>
    </xf>
    <xf numFmtId="9" fontId="10" fillId="0" borderId="2" xfId="3" applyFont="1" applyBorder="1" applyAlignment="1">
      <alignment horizontal="center" vertical="center"/>
    </xf>
    <xf numFmtId="0" fontId="8" fillId="6" borderId="2" xfId="0" applyFont="1" applyFill="1" applyBorder="1"/>
    <xf numFmtId="9" fontId="9" fillId="2" borderId="2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10" fontId="9" fillId="2" borderId="2" xfId="0" applyNumberFormat="1" applyFont="1" applyFill="1" applyBorder="1" applyAlignment="1">
      <alignment horizontal="center" vertical="center"/>
    </xf>
    <xf numFmtId="9" fontId="2" fillId="5" borderId="2" xfId="3" applyFont="1" applyFill="1" applyBorder="1" applyAlignment="1">
      <alignment horizontal="center" vertical="center" wrapText="1"/>
    </xf>
    <xf numFmtId="2" fontId="8" fillId="0" borderId="2" xfId="0" applyNumberFormat="1" applyFont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164" fontId="8" fillId="7" borderId="2" xfId="1" applyFont="1" applyFill="1" applyBorder="1" applyAlignment="1">
      <alignment horizontal="center" vertical="center"/>
    </xf>
    <xf numFmtId="164" fontId="8" fillId="7" borderId="2" xfId="1" applyFont="1" applyFill="1" applyBorder="1" applyAlignment="1"/>
    <xf numFmtId="164" fontId="8" fillId="0" borderId="2" xfId="1" applyFont="1" applyFill="1" applyBorder="1" applyAlignment="1"/>
    <xf numFmtId="164" fontId="8" fillId="0" borderId="2" xfId="1" applyFont="1" applyFill="1" applyBorder="1" applyAlignment="1">
      <alignment horizontal="center"/>
    </xf>
    <xf numFmtId="17" fontId="12" fillId="3" borderId="2" xfId="0" applyNumberFormat="1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9" fontId="1" fillId="0" borderId="2" xfId="4" applyFont="1" applyBorder="1" applyAlignment="1">
      <alignment horizontal="left" vertical="center"/>
    </xf>
    <xf numFmtId="0" fontId="1" fillId="0" borderId="2" xfId="4" applyNumberFormat="1" applyFont="1" applyBorder="1" applyAlignment="1">
      <alignment horizontal="center" vertical="center"/>
    </xf>
    <xf numFmtId="9" fontId="1" fillId="0" borderId="2" xfId="4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 readingOrder="1"/>
    </xf>
    <xf numFmtId="0" fontId="14" fillId="0" borderId="2" xfId="0" applyFont="1" applyBorder="1" applyAlignment="1">
      <alignment horizontal="center" vertical="center" wrapText="1" readingOrder="1"/>
    </xf>
    <xf numFmtId="0" fontId="15" fillId="0" borderId="0" xfId="0" applyFont="1"/>
    <xf numFmtId="0" fontId="4" fillId="8" borderId="4" xfId="0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 wrapText="1"/>
    </xf>
    <xf numFmtId="0" fontId="3" fillId="0" borderId="4" xfId="4" applyNumberFormat="1" applyFont="1" applyBorder="1" applyAlignment="1">
      <alignment horizontal="center" vertical="center" wrapText="1"/>
    </xf>
    <xf numFmtId="0" fontId="3" fillId="0" borderId="8" xfId="4" applyNumberFormat="1" applyFont="1" applyBorder="1" applyAlignment="1">
      <alignment horizontal="center" vertical="center" wrapText="1"/>
    </xf>
    <xf numFmtId="0" fontId="3" fillId="0" borderId="7" xfId="4" applyNumberFormat="1" applyFont="1" applyBorder="1" applyAlignment="1">
      <alignment horizontal="center" vertical="center" wrapText="1"/>
    </xf>
  </cellXfs>
  <cellStyles count="5">
    <cellStyle name="Comma" xfId="1" builtinId="3"/>
    <cellStyle name="Hyperlink" xfId="2" builtinId="8"/>
    <cellStyle name="Normal" xfId="0" builtinId="0"/>
    <cellStyle name="Percent" xfId="3" builtinId="5"/>
    <cellStyle name="Percent 13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L39"/>
  <sheetViews>
    <sheetView tabSelected="1" workbookViewId="0">
      <pane xSplit="2" ySplit="5" topLeftCell="CZ6" activePane="bottomRight" state="frozen"/>
      <selection pane="topRight" activeCell="C1" sqref="C1"/>
      <selection pane="bottomLeft" activeCell="A6" sqref="A6"/>
      <selection pane="bottomRight" activeCell="C2" sqref="C2"/>
    </sheetView>
  </sheetViews>
  <sheetFormatPr defaultRowHeight="15" x14ac:dyDescent="0.25"/>
  <cols>
    <col min="1" max="1" width="4.7109375" bestFit="1" customWidth="1"/>
    <col min="2" max="2" width="46.28515625" bestFit="1" customWidth="1"/>
    <col min="3" max="3" width="11.5703125" hidden="1" customWidth="1"/>
    <col min="4" max="4" width="8.140625" hidden="1" customWidth="1"/>
    <col min="5" max="5" width="17.140625" hidden="1" customWidth="1"/>
    <col min="6" max="6" width="8.140625" hidden="1" customWidth="1"/>
    <col min="7" max="7" width="17.140625" hidden="1" customWidth="1"/>
    <col min="8" max="8" width="8.140625" hidden="1" customWidth="1"/>
    <col min="9" max="9" width="17.140625" hidden="1" customWidth="1"/>
    <col min="10" max="10" width="8.140625" hidden="1" customWidth="1"/>
    <col min="11" max="11" width="17.140625" hidden="1" customWidth="1"/>
    <col min="12" max="12" width="8.140625" hidden="1" customWidth="1"/>
    <col min="13" max="13" width="17.140625" hidden="1" customWidth="1"/>
    <col min="14" max="14" width="8.140625" hidden="1" customWidth="1"/>
    <col min="15" max="15" width="17.140625" hidden="1" customWidth="1"/>
    <col min="16" max="16" width="8.140625" hidden="1" customWidth="1"/>
    <col min="17" max="17" width="17.140625" hidden="1" customWidth="1"/>
    <col min="18" max="18" width="8.140625" hidden="1" customWidth="1"/>
    <col min="19" max="19" width="17.140625" hidden="1" customWidth="1"/>
    <col min="20" max="20" width="8.140625" hidden="1" customWidth="1"/>
    <col min="21" max="21" width="17.140625" hidden="1" customWidth="1"/>
    <col min="22" max="22" width="8.140625" hidden="1" customWidth="1"/>
    <col min="23" max="23" width="8.7109375" hidden="1" customWidth="1"/>
    <col min="24" max="24" width="8.140625" hidden="1" customWidth="1"/>
    <col min="25" max="25" width="8.7109375" hidden="1" customWidth="1"/>
    <col min="26" max="26" width="8.140625" hidden="1" customWidth="1"/>
    <col min="27" max="27" width="8.7109375" hidden="1" customWidth="1"/>
    <col min="28" max="28" width="8.140625" hidden="1" customWidth="1"/>
    <col min="29" max="29" width="8.7109375" hidden="1" customWidth="1"/>
    <col min="30" max="30" width="8.140625" hidden="1" customWidth="1"/>
    <col min="31" max="31" width="8.7109375" hidden="1" customWidth="1"/>
    <col min="32" max="32" width="8.140625" hidden="1" customWidth="1"/>
    <col min="33" max="75" width="8.7109375" hidden="1" customWidth="1"/>
    <col min="76" max="76" width="8.42578125" hidden="1" customWidth="1"/>
    <col min="77" max="77" width="7.7109375" hidden="1" customWidth="1"/>
    <col min="78" max="80" width="8.42578125" hidden="1" customWidth="1"/>
    <col min="81" max="81" width="7.7109375" hidden="1" customWidth="1"/>
    <col min="82" max="82" width="8.42578125" hidden="1" customWidth="1"/>
    <col min="83" max="84" width="7.7109375" hidden="1" customWidth="1"/>
    <col min="85" max="85" width="8.42578125" hidden="1" customWidth="1"/>
    <col min="86" max="112" width="7.7109375" hidden="1" customWidth="1"/>
    <col min="113" max="115" width="7.7109375" bestFit="1" customWidth="1"/>
    <col min="116" max="116" width="43.140625" bestFit="1" customWidth="1"/>
    <col min="118" max="118" width="9.85546875" bestFit="1" customWidth="1"/>
  </cols>
  <sheetData>
    <row r="1" spans="1:116" x14ac:dyDescent="0.25">
      <c r="A1" s="1">
        <v>74</v>
      </c>
      <c r="B1" s="2"/>
    </row>
    <row r="2" spans="1:116" x14ac:dyDescent="0.25">
      <c r="A2" s="3"/>
      <c r="B2" s="4" t="s">
        <v>0</v>
      </c>
    </row>
    <row r="3" spans="1:116" x14ac:dyDescent="0.25">
      <c r="A3" s="43" t="s">
        <v>1</v>
      </c>
      <c r="B3" s="5" t="s">
        <v>2</v>
      </c>
      <c r="C3" s="6">
        <f>IFERROR(AVERAGE(C8:C8,#REF!,#REF!,C14,#REF!),0)</f>
        <v>0</v>
      </c>
      <c r="D3" s="7"/>
      <c r="E3" s="6">
        <f>IFERROR(AVERAGE(E8:E8,#REF!,#REF!,E14,#REF!),0)</f>
        <v>0</v>
      </c>
      <c r="F3" s="7"/>
      <c r="G3" s="6">
        <f>IFERROR(AVERAGE(G8:G8,#REF!,#REF!,G14,#REF!),0)</f>
        <v>0</v>
      </c>
      <c r="H3" s="7"/>
      <c r="I3" s="6">
        <f>IFERROR(AVERAGE(I8:I8,#REF!,#REF!,I14,#REF!),0)</f>
        <v>0</v>
      </c>
      <c r="J3" s="7"/>
      <c r="K3" s="6">
        <f>IFERROR(AVERAGE(K8:K8,#REF!,#REF!,K14,#REF!),0)</f>
        <v>0</v>
      </c>
      <c r="L3" s="7"/>
      <c r="M3" s="6">
        <f>IFERROR(AVERAGE(M8:M8,#REF!,#REF!,M14,#REF!),0)</f>
        <v>0</v>
      </c>
      <c r="N3" s="7"/>
      <c r="O3" s="6">
        <f>IFERROR(AVERAGE(O8:O8,#REF!,#REF!,O14,#REF!),0)</f>
        <v>0</v>
      </c>
      <c r="P3" s="6"/>
      <c r="Q3" s="6">
        <f>IFERROR(AVERAGE(Q8:Q8,#REF!,#REF!,Q14,#REF!),0)</f>
        <v>0</v>
      </c>
      <c r="R3" s="6"/>
      <c r="S3" s="6">
        <f>IFERROR(AVERAGE(S8:S8,#REF!,#REF!,S14,#REF!),0)</f>
        <v>0</v>
      </c>
      <c r="T3" s="6"/>
      <c r="U3" s="6">
        <f>IFERROR(AVERAGE(U8:U8,#REF!,#REF!,U14,#REF!),0)</f>
        <v>0</v>
      </c>
      <c r="V3" s="7"/>
      <c r="W3" s="7">
        <f>IFERROR(AVERAGE(W6:W7,#REF!,#REF!,#REF!,W12,W13,W14),0)</f>
        <v>0</v>
      </c>
      <c r="X3" s="7"/>
      <c r="Y3" s="7">
        <f>IFERROR(AVERAGE(Y6:Y7,#REF!,#REF!,#REF!,Y12,Y13,Y14),0)</f>
        <v>0</v>
      </c>
      <c r="Z3" s="7"/>
      <c r="AA3" s="7">
        <f>IFERROR(AVERAGE(AA6:AA7,#REF!,#REF!,#REF!,AA12,AA13,AA14),0)</f>
        <v>0</v>
      </c>
      <c r="AB3" s="7"/>
      <c r="AC3" s="7">
        <f>IFERROR(AVERAGE(AC6:AC7,#REF!,#REF!,#REF!,AC12,AC13,AC14),0)</f>
        <v>0</v>
      </c>
      <c r="AD3" s="7"/>
      <c r="AE3" s="7">
        <f>IFERROR(AVERAGE(AE6:AE7,#REF!,#REF!,#REF!,AE12,AE13,AE14),0)</f>
        <v>0</v>
      </c>
      <c r="AF3" s="7"/>
      <c r="AG3" s="7">
        <f t="shared" ref="AG3:AO3" si="0">AVERAGE(AG8,AG11,AG14,AG17,AG25,AG35,AG39)</f>
        <v>1.0069682556680248</v>
      </c>
      <c r="AH3" s="7">
        <f t="shared" si="0"/>
        <v>1.0523083269096047</v>
      </c>
      <c r="AI3" s="7">
        <f t="shared" si="0"/>
        <v>1.019223994237674</v>
      </c>
      <c r="AJ3" s="7">
        <f t="shared" si="0"/>
        <v>0.97217519385273987</v>
      </c>
      <c r="AK3" s="7">
        <f t="shared" si="0"/>
        <v>0.99296396338322146</v>
      </c>
      <c r="AL3" s="7">
        <f t="shared" si="0"/>
        <v>1.0426428571428572</v>
      </c>
      <c r="AM3" s="7">
        <f t="shared" si="0"/>
        <v>1.0301320454223366</v>
      </c>
      <c r="AN3" s="7">
        <f t="shared" si="0"/>
        <v>1.035928114056851</v>
      </c>
      <c r="AO3" s="7">
        <f t="shared" si="0"/>
        <v>1.0114137879474134</v>
      </c>
      <c r="AP3" s="7">
        <f t="shared" ref="AP3:AU3" si="1">AVERAGE(AP8,AP11,AP14,AP17,AP25,AP35,AP39)</f>
        <v>1.0046722279247664</v>
      </c>
      <c r="AQ3" s="7">
        <f t="shared" si="1"/>
        <v>0.97264027084815485</v>
      </c>
      <c r="AR3" s="7">
        <f t="shared" si="1"/>
        <v>0.50463637551620422</v>
      </c>
      <c r="AS3" s="7">
        <f t="shared" si="1"/>
        <v>0.7406853764971647</v>
      </c>
      <c r="AT3" s="7">
        <f t="shared" si="1"/>
        <v>0.62085521678759981</v>
      </c>
      <c r="AU3" s="7">
        <f t="shared" si="1"/>
        <v>0.88912100164585617</v>
      </c>
      <c r="AV3" s="7">
        <f t="shared" ref="AV3:BA3" si="2">AVERAGE(AV8,AV11,AV14,AV17,AV25,AV35,AV39)</f>
        <v>0.86072030541473388</v>
      </c>
      <c r="AW3" s="7">
        <f t="shared" si="2"/>
        <v>0.89439586307425534</v>
      </c>
      <c r="AX3" s="7">
        <f t="shared" si="2"/>
        <v>0.92891191882102253</v>
      </c>
      <c r="AY3" s="7">
        <f t="shared" si="2"/>
        <v>0.92274576943231323</v>
      </c>
      <c r="AZ3" s="7">
        <f t="shared" si="2"/>
        <v>0.92616019892126111</v>
      </c>
      <c r="BA3" s="7">
        <f t="shared" si="2"/>
        <v>0.93271961667778758</v>
      </c>
      <c r="BB3" s="7">
        <f t="shared" ref="BB3:BG3" si="3">AVERAGE(BB8,BB11,BB14,BB17,BB25,BB35,BB39)</f>
        <v>0.96497946640988075</v>
      </c>
      <c r="BC3" s="7">
        <f t="shared" si="3"/>
        <v>0.90106145021319051</v>
      </c>
      <c r="BD3" s="7">
        <f t="shared" si="3"/>
        <v>0.92596809423376558</v>
      </c>
      <c r="BE3" s="7">
        <f t="shared" si="3"/>
        <v>0.94924535641348462</v>
      </c>
      <c r="BF3" s="7">
        <f t="shared" si="3"/>
        <v>0.94408269824266655</v>
      </c>
      <c r="BG3" s="7">
        <f t="shared" si="3"/>
        <v>0.95991050652262477</v>
      </c>
      <c r="BH3" s="7">
        <f t="shared" ref="BH3:BM3" si="4">AVERAGE(BH8,BH11,BH14,BH17,BH25,BH35,BH39)</f>
        <v>0.95290709719063815</v>
      </c>
      <c r="BI3" s="7">
        <f t="shared" si="4"/>
        <v>0.94834314266425757</v>
      </c>
      <c r="BJ3" s="7">
        <f t="shared" si="4"/>
        <v>0.95005182449527126</v>
      </c>
      <c r="BK3" s="7">
        <f t="shared" si="4"/>
        <v>0.94225537079411004</v>
      </c>
      <c r="BL3" s="7">
        <f t="shared" si="4"/>
        <v>0.94773688818410728</v>
      </c>
      <c r="BM3" s="7">
        <f t="shared" si="4"/>
        <v>0.94979978511165786</v>
      </c>
      <c r="BN3" s="7">
        <f t="shared" ref="BN3:BS3" si="5">AVERAGE(BN8,BN11,BN14,BN17,BN25,BN35,BN39)</f>
        <v>0.96215703168668931</v>
      </c>
      <c r="BO3" s="7">
        <f t="shared" si="5"/>
        <v>0.98303974025297036</v>
      </c>
      <c r="BP3" s="7">
        <f t="shared" si="5"/>
        <v>0.96730560654790376</v>
      </c>
      <c r="BQ3" s="7">
        <f t="shared" si="5"/>
        <v>0.96889784044831495</v>
      </c>
      <c r="BR3" s="7">
        <f t="shared" si="5"/>
        <v>0.96570497562570967</v>
      </c>
      <c r="BS3" s="7">
        <f t="shared" si="5"/>
        <v>0.9590136523952888</v>
      </c>
      <c r="BT3" s="7">
        <f t="shared" ref="BT3:BY3" si="6">AVERAGE(BT8,BT11,BT14,BT17,BT25,BT35,BT39)</f>
        <v>0.97082970704703886</v>
      </c>
      <c r="BU3" s="7">
        <f t="shared" si="6"/>
        <v>0.94307123303392515</v>
      </c>
      <c r="BV3" s="7">
        <f t="shared" si="6"/>
        <v>0.94481284429194567</v>
      </c>
      <c r="BW3" s="7">
        <f t="shared" si="6"/>
        <v>0.95207731312983512</v>
      </c>
      <c r="BX3" s="7">
        <f t="shared" si="6"/>
        <v>0.95786342879807929</v>
      </c>
      <c r="BY3" s="7">
        <f t="shared" si="6"/>
        <v>0.94410159487894807</v>
      </c>
      <c r="BZ3" s="7">
        <f t="shared" ref="BZ3:CF3" si="7">AVERAGE(BZ8,BZ11,BZ14,BZ17,BZ25,BZ35,BZ39)</f>
        <v>0.95885353853589961</v>
      </c>
      <c r="CA3" s="7">
        <f t="shared" si="7"/>
        <v>0.9750606909381988</v>
      </c>
      <c r="CB3" s="7">
        <f t="shared" si="7"/>
        <v>0.98231789703494987</v>
      </c>
      <c r="CC3" s="7">
        <f t="shared" si="7"/>
        <v>0.96116478250661841</v>
      </c>
      <c r="CD3" s="7">
        <f t="shared" si="7"/>
        <v>1.0010277304966988</v>
      </c>
      <c r="CE3" s="7">
        <f t="shared" si="7"/>
        <v>0.97642863999920648</v>
      </c>
      <c r="CF3" s="7">
        <f t="shared" si="7"/>
        <v>0.97588901222345859</v>
      </c>
      <c r="CG3" s="7">
        <f t="shared" ref="CG3:CH3" si="8">AVERAGE(CG8,CG11,CG14,CG17,CG25,CG35,CG39)</f>
        <v>1.0095967873093716</v>
      </c>
      <c r="CH3" s="7">
        <f t="shared" si="8"/>
        <v>0.96584964167076404</v>
      </c>
      <c r="CI3" s="7">
        <f t="shared" ref="CI3:CJ3" si="9">AVERAGE(CI8,CI11,CI14,CI17,CI25,CI35,CI39)</f>
        <v>0.97353731702471191</v>
      </c>
      <c r="CJ3" s="7">
        <f t="shared" si="9"/>
        <v>0.96824307082806915</v>
      </c>
      <c r="CK3" s="7">
        <f t="shared" ref="CK3:CL3" si="10">AVERAGE(CK8,CK11,CK14,CK17,CK25,CK35,CK39)</f>
        <v>0.94223635021214525</v>
      </c>
      <c r="CL3" s="7">
        <f t="shared" si="10"/>
        <v>0.96527478426854418</v>
      </c>
      <c r="CM3" s="7">
        <f t="shared" ref="CM3:CO3" si="11">AVERAGE(CM8,CM11,CM14,CM17,CM25,CM35,CM39)</f>
        <v>0.98862521373120615</v>
      </c>
      <c r="CN3" s="7">
        <f t="shared" si="11"/>
        <v>0.98566216685743802</v>
      </c>
      <c r="CO3" s="7">
        <f t="shared" si="11"/>
        <v>1.0294360028479692</v>
      </c>
      <c r="CP3" s="7">
        <f t="shared" ref="CP3:CQ3" si="12">AVERAGE(CP8,CP11,CP14,CP17,CP25,CP35,CP39)</f>
        <v>1.0055221273291925</v>
      </c>
      <c r="CQ3" s="7">
        <f t="shared" si="12"/>
        <v>1.0557537052234358</v>
      </c>
      <c r="CR3" s="7">
        <f t="shared" ref="CR3:CS3" si="13">AVERAGE(CR8,CR11,CR14,CR17,CR25,CR35,CR39)</f>
        <v>1.0453453913754343</v>
      </c>
      <c r="CS3" s="7">
        <f t="shared" si="13"/>
        <v>1.0463604596067282</v>
      </c>
      <c r="CT3" s="7">
        <f t="shared" ref="CT3:CU3" si="14">AVERAGE(CT8,CT11,CT14,CT17,CT25,CT35,CT39)</f>
        <v>1.0234407538525614</v>
      </c>
      <c r="CU3" s="7">
        <f t="shared" si="14"/>
        <v>1.0303736772486773</v>
      </c>
      <c r="CV3" s="7">
        <f t="shared" ref="CV3:CW3" si="15">AVERAGE(CV8,CV11,CV14,CV17,CV25,CV35,CV39)</f>
        <v>1.0079879359770665</v>
      </c>
      <c r="CW3" s="7">
        <f t="shared" si="15"/>
        <v>1.05682930083615</v>
      </c>
      <c r="CX3" s="7">
        <f t="shared" ref="CX3:CZ3" si="16">AVERAGE(CX8,CX11,CX14,CX17,CX25,CX35,CX39)</f>
        <v>1.0480196886446886</v>
      </c>
      <c r="CY3" s="7">
        <f t="shared" si="16"/>
        <v>1.0830745341614907</v>
      </c>
      <c r="CZ3" s="7">
        <f t="shared" si="16"/>
        <v>1.0621419022154317</v>
      </c>
      <c r="DA3" s="7">
        <f t="shared" ref="DA3:DB3" si="17">AVERAGE(DA8,DA11,DA14,DA17,DA25,DA35,DA39)</f>
        <v>1.0540357142857142</v>
      </c>
      <c r="DB3" s="7">
        <f t="shared" si="17"/>
        <v>1.0228825136612021</v>
      </c>
      <c r="DC3" s="7">
        <f t="shared" ref="DC3:DD3" si="18">AVERAGE(DC8,DC11,DC14,DC17,DC25,DC35,DC39)</f>
        <v>1.0216585320067579</v>
      </c>
      <c r="DD3" s="7">
        <f t="shared" si="18"/>
        <v>1.0280318602261047</v>
      </c>
      <c r="DE3" s="7">
        <f t="shared" ref="DE3" si="19">AVERAGE(DE8,DE11,DE14,DE17,DE25,DE35,DE39)</f>
        <v>1.0229441997063142</v>
      </c>
      <c r="DF3" s="7">
        <f>AVERAGE(DF8,DF11,DF14,DF17,DF25,DF35,DF39)</f>
        <v>0.99928293856402661</v>
      </c>
      <c r="DG3" s="7">
        <f t="shared" ref="DG3:DH3" si="20">AVERAGE(DG8,DG11,DG14,DG17,DG25,DG35,DG39)</f>
        <v>1.0055739058629232</v>
      </c>
      <c r="DH3" s="7">
        <f t="shared" si="20"/>
        <v>1.0183313286454478</v>
      </c>
      <c r="DI3" s="7">
        <f t="shared" ref="DI3:DJ3" si="21">AVERAGE(DI8,DI11,DI14,DI17,DI25,DI35,DI39)</f>
        <v>1.0299728158980128</v>
      </c>
      <c r="DJ3" s="7">
        <f t="shared" si="21"/>
        <v>1.0968812486114197</v>
      </c>
      <c r="DK3" s="7">
        <f t="shared" ref="DK3" si="22">AVERAGE(DK8,DK11,DK14,DK17,DK25,DK35,DK39)</f>
        <v>1.1637065987653246</v>
      </c>
      <c r="DL3" s="7"/>
    </row>
    <row r="4" spans="1:116" x14ac:dyDescent="0.25">
      <c r="A4" s="44"/>
      <c r="B4" s="43" t="s">
        <v>3</v>
      </c>
      <c r="C4" s="8">
        <v>43101</v>
      </c>
      <c r="D4" s="8"/>
      <c r="E4" s="8">
        <v>43132</v>
      </c>
      <c r="F4" s="8"/>
      <c r="G4" s="8">
        <v>43160</v>
      </c>
      <c r="H4" s="8"/>
      <c r="I4" s="8">
        <v>43191</v>
      </c>
      <c r="J4" s="8"/>
      <c r="K4" s="8">
        <v>43221</v>
      </c>
      <c r="L4" s="8"/>
      <c r="M4" s="8">
        <v>43252</v>
      </c>
      <c r="N4" s="8"/>
      <c r="O4" s="8">
        <v>43282</v>
      </c>
      <c r="P4" s="8"/>
      <c r="Q4" s="8">
        <v>43313</v>
      </c>
      <c r="R4" s="8"/>
      <c r="S4" s="8">
        <v>43344</v>
      </c>
      <c r="T4" s="8"/>
      <c r="U4" s="8">
        <v>43374</v>
      </c>
      <c r="V4" s="8"/>
      <c r="W4" s="8">
        <v>43405</v>
      </c>
      <c r="X4" s="8"/>
      <c r="Y4" s="8">
        <v>43435</v>
      </c>
      <c r="Z4" s="8"/>
      <c r="AA4" s="8">
        <v>43466</v>
      </c>
      <c r="AB4" s="8"/>
      <c r="AC4" s="8">
        <v>43497</v>
      </c>
      <c r="AD4" s="8"/>
      <c r="AE4" s="8">
        <v>43525</v>
      </c>
      <c r="AF4" s="8"/>
      <c r="AG4" s="8">
        <v>43556</v>
      </c>
      <c r="AH4" s="8">
        <v>43586</v>
      </c>
      <c r="AI4" s="8">
        <v>43617</v>
      </c>
      <c r="AJ4" s="8">
        <v>43647</v>
      </c>
      <c r="AK4" s="8">
        <v>43678</v>
      </c>
      <c r="AL4" s="8">
        <v>43709</v>
      </c>
      <c r="AM4" s="8">
        <v>43739</v>
      </c>
      <c r="AN4" s="8">
        <v>43770</v>
      </c>
      <c r="AO4" s="8">
        <v>43800</v>
      </c>
      <c r="AP4" s="35">
        <v>43831</v>
      </c>
      <c r="AQ4" s="35">
        <v>43862</v>
      </c>
      <c r="AR4" s="35">
        <v>43952</v>
      </c>
      <c r="AS4" s="35">
        <v>44013</v>
      </c>
      <c r="AT4" s="35">
        <v>44044</v>
      </c>
      <c r="AU4" s="35">
        <v>44075</v>
      </c>
      <c r="AV4" s="35">
        <v>44105</v>
      </c>
      <c r="AW4" s="35">
        <v>44136</v>
      </c>
      <c r="AX4" s="35">
        <v>44166</v>
      </c>
      <c r="AY4" s="35">
        <v>44197</v>
      </c>
      <c r="AZ4" s="35">
        <v>44228</v>
      </c>
      <c r="BA4" s="35">
        <v>44256</v>
      </c>
      <c r="BB4" s="35">
        <v>44287</v>
      </c>
      <c r="BC4" s="35">
        <v>44317</v>
      </c>
      <c r="BD4" s="35">
        <v>44348</v>
      </c>
      <c r="BE4" s="35">
        <v>44378</v>
      </c>
      <c r="BF4" s="35">
        <v>44409</v>
      </c>
      <c r="BG4" s="35">
        <v>44440</v>
      </c>
      <c r="BH4" s="35">
        <v>44470</v>
      </c>
      <c r="BI4" s="35">
        <v>44501</v>
      </c>
      <c r="BJ4" s="35">
        <v>44531</v>
      </c>
      <c r="BK4" s="35">
        <v>44562</v>
      </c>
      <c r="BL4" s="35">
        <v>44593</v>
      </c>
      <c r="BM4" s="35">
        <v>44621</v>
      </c>
      <c r="BN4" s="35">
        <v>44652</v>
      </c>
      <c r="BO4" s="35">
        <v>44682</v>
      </c>
      <c r="BP4" s="35">
        <v>44713</v>
      </c>
      <c r="BQ4" s="35">
        <v>44743</v>
      </c>
      <c r="BR4" s="35">
        <v>44774</v>
      </c>
      <c r="BS4" s="35">
        <v>44805</v>
      </c>
      <c r="BT4" s="35">
        <v>44835</v>
      </c>
      <c r="BU4" s="35">
        <v>44866</v>
      </c>
      <c r="BV4" s="35">
        <v>44896</v>
      </c>
      <c r="BW4" s="35">
        <v>44927</v>
      </c>
      <c r="BX4" s="35">
        <v>44958</v>
      </c>
      <c r="BY4" s="35">
        <v>44986</v>
      </c>
      <c r="BZ4" s="35">
        <v>45017</v>
      </c>
      <c r="CA4" s="35">
        <v>45047</v>
      </c>
      <c r="CB4" s="35">
        <v>45078</v>
      </c>
      <c r="CC4" s="35">
        <v>45108</v>
      </c>
      <c r="CD4" s="35">
        <v>45139</v>
      </c>
      <c r="CE4" s="35">
        <v>45170</v>
      </c>
      <c r="CF4" s="35">
        <v>45200</v>
      </c>
      <c r="CG4" s="35">
        <v>45231</v>
      </c>
      <c r="CH4" s="35">
        <v>45261</v>
      </c>
      <c r="CI4" s="35">
        <v>45292</v>
      </c>
      <c r="CJ4" s="35">
        <v>45323</v>
      </c>
      <c r="CK4" s="35">
        <v>45352</v>
      </c>
      <c r="CL4" s="35">
        <v>45383</v>
      </c>
      <c r="CM4" s="35">
        <v>45413</v>
      </c>
      <c r="CN4" s="35">
        <v>45444</v>
      </c>
      <c r="CO4" s="35">
        <v>45474</v>
      </c>
      <c r="CP4" s="35">
        <v>45505</v>
      </c>
      <c r="CQ4" s="35">
        <v>45536</v>
      </c>
      <c r="CR4" s="35">
        <v>45566</v>
      </c>
      <c r="CS4" s="35">
        <v>45597</v>
      </c>
      <c r="CT4" s="35">
        <v>45627</v>
      </c>
      <c r="CU4" s="35">
        <v>45658</v>
      </c>
      <c r="CV4" s="35">
        <v>45689</v>
      </c>
      <c r="CW4" s="35">
        <v>45717</v>
      </c>
      <c r="CX4" s="35">
        <v>45748</v>
      </c>
      <c r="CY4" s="35">
        <v>45778</v>
      </c>
      <c r="CZ4" s="35">
        <v>45809</v>
      </c>
      <c r="DA4" s="35">
        <v>45839</v>
      </c>
      <c r="DB4" s="35">
        <v>45870</v>
      </c>
      <c r="DC4" s="35">
        <v>45901</v>
      </c>
      <c r="DD4" s="35">
        <v>45931</v>
      </c>
      <c r="DE4" s="35">
        <v>45962</v>
      </c>
      <c r="DF4" s="35">
        <v>45992</v>
      </c>
      <c r="DG4" s="35">
        <v>46023</v>
      </c>
      <c r="DH4" s="35">
        <v>46054</v>
      </c>
      <c r="DI4" s="35">
        <v>46082</v>
      </c>
      <c r="DJ4" s="35">
        <v>46113</v>
      </c>
      <c r="DK4" s="35">
        <v>46143</v>
      </c>
      <c r="DL4" s="35"/>
    </row>
    <row r="5" spans="1:116" ht="22.5" x14ac:dyDescent="0.25">
      <c r="A5" s="9"/>
      <c r="B5" s="45"/>
      <c r="C5" s="10" t="s">
        <v>4</v>
      </c>
      <c r="D5" s="11" t="s">
        <v>5</v>
      </c>
      <c r="E5" s="11" t="s">
        <v>4</v>
      </c>
      <c r="F5" s="11" t="s">
        <v>5</v>
      </c>
      <c r="G5" s="11" t="s">
        <v>4</v>
      </c>
      <c r="H5" s="11" t="s">
        <v>5</v>
      </c>
      <c r="I5" s="11" t="s">
        <v>4</v>
      </c>
      <c r="J5" s="11" t="s">
        <v>5</v>
      </c>
      <c r="K5" s="11" t="s">
        <v>4</v>
      </c>
      <c r="L5" s="11" t="s">
        <v>5</v>
      </c>
      <c r="M5" s="11" t="s">
        <v>4</v>
      </c>
      <c r="N5" s="11" t="s">
        <v>5</v>
      </c>
      <c r="O5" s="11" t="s">
        <v>4</v>
      </c>
      <c r="P5" s="11" t="s">
        <v>5</v>
      </c>
      <c r="Q5" s="11" t="s">
        <v>4</v>
      </c>
      <c r="R5" s="11" t="s">
        <v>5</v>
      </c>
      <c r="S5" s="11" t="s">
        <v>4</v>
      </c>
      <c r="T5" s="11" t="s">
        <v>5</v>
      </c>
      <c r="U5" s="11" t="s">
        <v>4</v>
      </c>
      <c r="V5" s="11" t="s">
        <v>5</v>
      </c>
      <c r="W5" s="11" t="s">
        <v>4</v>
      </c>
      <c r="X5" s="11" t="s">
        <v>5</v>
      </c>
      <c r="Y5" s="11" t="s">
        <v>4</v>
      </c>
      <c r="Z5" s="11" t="s">
        <v>5</v>
      </c>
      <c r="AA5" s="11" t="s">
        <v>4</v>
      </c>
      <c r="AB5" s="11" t="s">
        <v>5</v>
      </c>
      <c r="AC5" s="11" t="s">
        <v>4</v>
      </c>
      <c r="AD5" s="11" t="s">
        <v>5</v>
      </c>
      <c r="AE5" s="11" t="s">
        <v>4</v>
      </c>
      <c r="AF5" s="11" t="s">
        <v>5</v>
      </c>
      <c r="AG5" s="11" t="s">
        <v>4</v>
      </c>
      <c r="AH5" s="11" t="s">
        <v>4</v>
      </c>
      <c r="AI5" s="11" t="s">
        <v>4</v>
      </c>
      <c r="AJ5" s="11" t="s">
        <v>4</v>
      </c>
      <c r="AK5" s="11" t="s">
        <v>4</v>
      </c>
      <c r="AL5" s="11" t="s">
        <v>4</v>
      </c>
      <c r="AM5" s="11" t="s">
        <v>4</v>
      </c>
      <c r="AN5" s="11" t="s">
        <v>4</v>
      </c>
      <c r="AO5" s="11" t="s">
        <v>4</v>
      </c>
      <c r="AP5" s="36" t="s">
        <v>4</v>
      </c>
      <c r="AQ5" s="36" t="s">
        <v>4</v>
      </c>
      <c r="AR5" s="36" t="s">
        <v>4</v>
      </c>
      <c r="AS5" s="36" t="s">
        <v>4</v>
      </c>
      <c r="AT5" s="36" t="s">
        <v>4</v>
      </c>
      <c r="AU5" s="36" t="s">
        <v>4</v>
      </c>
      <c r="AV5" s="36" t="s">
        <v>4</v>
      </c>
      <c r="AW5" s="36" t="s">
        <v>4</v>
      </c>
      <c r="AX5" s="36" t="s">
        <v>4</v>
      </c>
      <c r="AY5" s="36" t="s">
        <v>4</v>
      </c>
      <c r="AZ5" s="36" t="s">
        <v>4</v>
      </c>
      <c r="BA5" s="36" t="s">
        <v>4</v>
      </c>
      <c r="BB5" s="36" t="s">
        <v>4</v>
      </c>
      <c r="BC5" s="36" t="s">
        <v>4</v>
      </c>
      <c r="BD5" s="36" t="s">
        <v>4</v>
      </c>
      <c r="BE5" s="36" t="s">
        <v>4</v>
      </c>
      <c r="BF5" s="36" t="s">
        <v>4</v>
      </c>
      <c r="BG5" s="36" t="s">
        <v>4</v>
      </c>
      <c r="BH5" s="36" t="s">
        <v>4</v>
      </c>
      <c r="BI5" s="36" t="s">
        <v>4</v>
      </c>
      <c r="BJ5" s="36" t="s">
        <v>4</v>
      </c>
      <c r="BK5" s="36" t="s">
        <v>4</v>
      </c>
      <c r="BL5" s="36" t="s">
        <v>4</v>
      </c>
      <c r="BM5" s="36" t="s">
        <v>4</v>
      </c>
      <c r="BN5" s="36" t="s">
        <v>4</v>
      </c>
      <c r="BO5" s="36" t="s">
        <v>4</v>
      </c>
      <c r="BP5" s="36" t="s">
        <v>4</v>
      </c>
      <c r="BQ5" s="36" t="s">
        <v>4</v>
      </c>
      <c r="BR5" s="36" t="s">
        <v>4</v>
      </c>
      <c r="BS5" s="36" t="s">
        <v>4</v>
      </c>
      <c r="BT5" s="36" t="s">
        <v>4</v>
      </c>
      <c r="BU5" s="36" t="s">
        <v>4</v>
      </c>
      <c r="BV5" s="36" t="s">
        <v>4</v>
      </c>
      <c r="BW5" s="36" t="s">
        <v>4</v>
      </c>
      <c r="BX5" s="36" t="s">
        <v>4</v>
      </c>
      <c r="BY5" s="36" t="s">
        <v>4</v>
      </c>
      <c r="BZ5" s="36" t="s">
        <v>4</v>
      </c>
      <c r="CA5" s="36" t="s">
        <v>4</v>
      </c>
      <c r="CB5" s="36" t="s">
        <v>4</v>
      </c>
      <c r="CC5" s="36" t="s">
        <v>4</v>
      </c>
      <c r="CD5" s="36" t="s">
        <v>4</v>
      </c>
      <c r="CE5" s="36" t="s">
        <v>4</v>
      </c>
      <c r="CF5" s="36" t="s">
        <v>4</v>
      </c>
      <c r="CG5" s="36" t="s">
        <v>4</v>
      </c>
      <c r="CH5" s="36" t="s">
        <v>4</v>
      </c>
      <c r="CI5" s="36" t="s">
        <v>4</v>
      </c>
      <c r="CJ5" s="36" t="s">
        <v>4</v>
      </c>
      <c r="CK5" s="36" t="s">
        <v>4</v>
      </c>
      <c r="CL5" s="36" t="s">
        <v>4</v>
      </c>
      <c r="CM5" s="36" t="s">
        <v>4</v>
      </c>
      <c r="CN5" s="36" t="s">
        <v>4</v>
      </c>
      <c r="CO5" s="36" t="s">
        <v>4</v>
      </c>
      <c r="CP5" s="36" t="s">
        <v>4</v>
      </c>
      <c r="CQ5" s="36" t="s">
        <v>4</v>
      </c>
      <c r="CR5" s="36" t="s">
        <v>4</v>
      </c>
      <c r="CS5" s="36" t="s">
        <v>4</v>
      </c>
      <c r="CT5" s="36" t="s">
        <v>4</v>
      </c>
      <c r="CU5" s="36" t="s">
        <v>4</v>
      </c>
      <c r="CV5" s="36" t="s">
        <v>4</v>
      </c>
      <c r="CW5" s="36" t="s">
        <v>4</v>
      </c>
      <c r="CX5" s="36" t="s">
        <v>4</v>
      </c>
      <c r="CY5" s="36" t="s">
        <v>4</v>
      </c>
      <c r="CZ5" s="36" t="s">
        <v>4</v>
      </c>
      <c r="DA5" s="36" t="s">
        <v>4</v>
      </c>
      <c r="DB5" s="36" t="s">
        <v>4</v>
      </c>
      <c r="DC5" s="36" t="s">
        <v>4</v>
      </c>
      <c r="DD5" s="36" t="s">
        <v>4</v>
      </c>
      <c r="DE5" s="36" t="s">
        <v>4</v>
      </c>
      <c r="DF5" s="36" t="s">
        <v>4</v>
      </c>
      <c r="DG5" s="36" t="s">
        <v>4</v>
      </c>
      <c r="DH5" s="36" t="s">
        <v>4</v>
      </c>
      <c r="DI5" s="36" t="s">
        <v>4</v>
      </c>
      <c r="DJ5" s="36" t="s">
        <v>4</v>
      </c>
      <c r="DK5" s="36" t="s">
        <v>4</v>
      </c>
      <c r="DL5" s="36" t="s">
        <v>5</v>
      </c>
    </row>
    <row r="6" spans="1:116" ht="15.75" x14ac:dyDescent="0.25">
      <c r="A6" s="12">
        <v>1</v>
      </c>
      <c r="B6" s="13" t="s">
        <v>6</v>
      </c>
      <c r="C6" s="14">
        <v>4843</v>
      </c>
      <c r="D6" s="15"/>
      <c r="E6" s="14">
        <v>3852</v>
      </c>
      <c r="F6" s="15"/>
      <c r="G6" s="14">
        <v>4431</v>
      </c>
      <c r="H6" s="15"/>
      <c r="I6" s="14">
        <v>9614</v>
      </c>
      <c r="J6" s="16"/>
      <c r="K6" s="14">
        <v>4160</v>
      </c>
      <c r="L6" s="16"/>
      <c r="M6" s="14">
        <v>4198</v>
      </c>
      <c r="N6" s="17"/>
      <c r="O6" s="14">
        <v>3887</v>
      </c>
      <c r="P6" s="17"/>
      <c r="Q6" s="14">
        <v>4387</v>
      </c>
      <c r="R6" s="17"/>
      <c r="S6" s="14">
        <v>3806</v>
      </c>
      <c r="T6" s="17"/>
      <c r="U6" s="14">
        <v>5126</v>
      </c>
      <c r="V6" s="17"/>
      <c r="W6" s="15"/>
      <c r="X6" s="17"/>
      <c r="Y6" s="15"/>
      <c r="Z6" s="17"/>
      <c r="AA6" s="15"/>
      <c r="AB6" s="17"/>
      <c r="AC6" s="15"/>
      <c r="AD6" s="17"/>
      <c r="AE6" s="15"/>
      <c r="AF6" s="17"/>
      <c r="AG6" s="18">
        <v>3125</v>
      </c>
      <c r="AH6" s="18">
        <v>3818</v>
      </c>
      <c r="AI6" s="18">
        <v>3672</v>
      </c>
      <c r="AJ6" s="18">
        <v>4507</v>
      </c>
      <c r="AK6" s="18">
        <v>4188</v>
      </c>
      <c r="AL6" s="18">
        <v>3752</v>
      </c>
      <c r="AM6" s="18">
        <v>3317</v>
      </c>
      <c r="AN6" s="18">
        <v>2436</v>
      </c>
      <c r="AO6" s="18">
        <v>2531</v>
      </c>
      <c r="AP6" s="18">
        <v>1733</v>
      </c>
      <c r="AQ6" s="18">
        <v>2763</v>
      </c>
      <c r="AR6" s="18">
        <v>380</v>
      </c>
      <c r="AS6" s="18">
        <v>1454</v>
      </c>
      <c r="AT6" s="18">
        <v>518</v>
      </c>
      <c r="AU6" s="18">
        <v>792</v>
      </c>
      <c r="AV6" s="18">
        <v>799</v>
      </c>
      <c r="AW6" s="18">
        <v>729</v>
      </c>
      <c r="AX6" s="18">
        <v>877</v>
      </c>
      <c r="AY6" s="18">
        <v>414</v>
      </c>
      <c r="AZ6" s="18">
        <v>803</v>
      </c>
      <c r="BA6" s="18">
        <v>818</v>
      </c>
      <c r="BB6" s="18">
        <v>889</v>
      </c>
      <c r="BC6" s="18">
        <v>799</v>
      </c>
      <c r="BD6" s="18">
        <v>591</v>
      </c>
      <c r="BE6" s="18">
        <v>653</v>
      </c>
      <c r="BF6" s="18">
        <v>502</v>
      </c>
      <c r="BG6" s="18">
        <v>604</v>
      </c>
      <c r="BH6" s="18">
        <v>915</v>
      </c>
      <c r="BI6" s="18">
        <v>1017</v>
      </c>
      <c r="BJ6" s="18">
        <v>771</v>
      </c>
      <c r="BK6" s="18">
        <v>1010</v>
      </c>
      <c r="BL6" s="18">
        <v>810</v>
      </c>
      <c r="BM6" s="18">
        <v>534</v>
      </c>
      <c r="BN6" s="18">
        <v>898</v>
      </c>
      <c r="BO6" s="18">
        <v>958</v>
      </c>
      <c r="BP6" s="18">
        <v>734</v>
      </c>
      <c r="BQ6" s="18">
        <v>603</v>
      </c>
      <c r="BR6" s="18">
        <v>587</v>
      </c>
      <c r="BS6" s="18">
        <v>523</v>
      </c>
      <c r="BT6" s="18">
        <v>588</v>
      </c>
      <c r="BU6" s="18">
        <v>535</v>
      </c>
      <c r="BV6" s="18">
        <v>741</v>
      </c>
      <c r="BW6" s="18">
        <v>368</v>
      </c>
      <c r="BX6" s="18">
        <v>613</v>
      </c>
      <c r="BY6" s="18">
        <v>559</v>
      </c>
      <c r="BZ6" s="18">
        <v>706</v>
      </c>
      <c r="CA6" s="18">
        <v>664</v>
      </c>
      <c r="CB6" s="18">
        <v>846</v>
      </c>
      <c r="CC6" s="18">
        <v>763</v>
      </c>
      <c r="CD6" s="18">
        <v>726</v>
      </c>
      <c r="CE6" s="18">
        <v>791</v>
      </c>
      <c r="CF6" s="18">
        <v>617</v>
      </c>
      <c r="CG6" s="18">
        <v>534</v>
      </c>
      <c r="CH6" s="18">
        <v>611</v>
      </c>
      <c r="CI6" s="18">
        <v>608</v>
      </c>
      <c r="CJ6" s="18">
        <v>490</v>
      </c>
      <c r="CK6" s="18">
        <v>614</v>
      </c>
      <c r="CL6" s="18">
        <v>759</v>
      </c>
      <c r="CM6" s="18">
        <v>805</v>
      </c>
      <c r="CN6" s="18">
        <v>701</v>
      </c>
      <c r="CO6" s="18">
        <v>979</v>
      </c>
      <c r="CP6" s="18">
        <v>939</v>
      </c>
      <c r="CQ6" s="18">
        <v>810</v>
      </c>
      <c r="CR6" s="18">
        <v>799</v>
      </c>
      <c r="CS6" s="18">
        <v>526</v>
      </c>
      <c r="CT6" s="18">
        <v>846</v>
      </c>
      <c r="CU6" s="18">
        <v>733</v>
      </c>
      <c r="CV6" s="18">
        <v>799</v>
      </c>
      <c r="CW6" s="18">
        <v>1041</v>
      </c>
      <c r="CX6" s="18">
        <v>1012</v>
      </c>
      <c r="CY6" s="18">
        <v>874</v>
      </c>
      <c r="CZ6" s="18">
        <v>739</v>
      </c>
      <c r="DA6" s="18">
        <v>778</v>
      </c>
      <c r="DB6" s="18">
        <v>384</v>
      </c>
      <c r="DC6" s="18">
        <v>670</v>
      </c>
      <c r="DD6" s="18">
        <v>552</v>
      </c>
      <c r="DE6" s="18">
        <v>585</v>
      </c>
      <c r="DF6" s="18">
        <v>919</v>
      </c>
      <c r="DG6" s="18">
        <v>717</v>
      </c>
      <c r="DH6" s="18">
        <v>763</v>
      </c>
      <c r="DI6" s="18">
        <v>930</v>
      </c>
      <c r="DJ6" s="18">
        <v>800</v>
      </c>
      <c r="DK6" s="18">
        <v>895</v>
      </c>
      <c r="DL6" s="18"/>
    </row>
    <row r="7" spans="1:116" ht="15.75" x14ac:dyDescent="0.25">
      <c r="A7" s="12">
        <f t="shared" ref="A7:A39" si="23">A6+1</f>
        <v>2</v>
      </c>
      <c r="B7" s="13" t="s">
        <v>7</v>
      </c>
      <c r="C7" s="14">
        <v>4384</v>
      </c>
      <c r="D7" s="15"/>
      <c r="E7" s="14">
        <v>3319</v>
      </c>
      <c r="F7" s="15"/>
      <c r="G7" s="14">
        <v>3818</v>
      </c>
      <c r="H7" s="15"/>
      <c r="I7" s="14">
        <v>7943</v>
      </c>
      <c r="J7" s="19"/>
      <c r="K7" s="14">
        <v>3915</v>
      </c>
      <c r="L7" s="20"/>
      <c r="M7" s="14">
        <v>3791</v>
      </c>
      <c r="N7" s="21"/>
      <c r="O7" s="14">
        <v>3134</v>
      </c>
      <c r="P7" s="21"/>
      <c r="Q7" s="14">
        <v>3923</v>
      </c>
      <c r="R7" s="22"/>
      <c r="S7" s="14">
        <v>3532</v>
      </c>
      <c r="T7" s="22"/>
      <c r="U7" s="14">
        <v>4197</v>
      </c>
      <c r="V7" s="22"/>
      <c r="W7" s="15"/>
      <c r="X7" s="22"/>
      <c r="Y7" s="15"/>
      <c r="Z7" s="22"/>
      <c r="AA7" s="15"/>
      <c r="AB7" s="22"/>
      <c r="AC7" s="15"/>
      <c r="AD7" s="22"/>
      <c r="AE7" s="15"/>
      <c r="AF7" s="22"/>
      <c r="AG7" s="18">
        <v>2955</v>
      </c>
      <c r="AH7" s="18">
        <v>3347</v>
      </c>
      <c r="AI7" s="18">
        <v>3393</v>
      </c>
      <c r="AJ7" s="18">
        <v>2841</v>
      </c>
      <c r="AK7" s="18">
        <v>3876</v>
      </c>
      <c r="AL7" s="18">
        <v>3434</v>
      </c>
      <c r="AM7" s="18">
        <v>3066</v>
      </c>
      <c r="AN7" s="18">
        <v>2427</v>
      </c>
      <c r="AO7" s="18">
        <v>2454</v>
      </c>
      <c r="AP7" s="18">
        <v>1729</v>
      </c>
      <c r="AQ7" s="18">
        <v>2631</v>
      </c>
      <c r="AR7" s="18">
        <v>348</v>
      </c>
      <c r="AS7" s="18">
        <v>1290</v>
      </c>
      <c r="AT7" s="18">
        <v>385</v>
      </c>
      <c r="AU7" s="18">
        <v>701</v>
      </c>
      <c r="AV7" s="18">
        <v>577</v>
      </c>
      <c r="AW7" s="18">
        <v>622</v>
      </c>
      <c r="AX7" s="18">
        <v>877</v>
      </c>
      <c r="AY7" s="18">
        <v>407</v>
      </c>
      <c r="AZ7" s="18">
        <v>787</v>
      </c>
      <c r="BA7" s="18">
        <v>814</v>
      </c>
      <c r="BB7" s="18">
        <v>868</v>
      </c>
      <c r="BC7" s="18">
        <v>795</v>
      </c>
      <c r="BD7" s="18">
        <v>513</v>
      </c>
      <c r="BE7" s="18">
        <v>653</v>
      </c>
      <c r="BF7" s="18">
        <v>500</v>
      </c>
      <c r="BG7" s="18">
        <v>604</v>
      </c>
      <c r="BH7" s="18">
        <v>915</v>
      </c>
      <c r="BI7" s="18">
        <v>1011</v>
      </c>
      <c r="BJ7" s="18">
        <v>771</v>
      </c>
      <c r="BK7" s="18">
        <v>1010</v>
      </c>
      <c r="BL7" s="18">
        <v>810</v>
      </c>
      <c r="BM7" s="18">
        <v>532</v>
      </c>
      <c r="BN7" s="18">
        <v>897</v>
      </c>
      <c r="BO7" s="18">
        <v>958</v>
      </c>
      <c r="BP7" s="18">
        <v>733</v>
      </c>
      <c r="BQ7" s="18">
        <v>581</v>
      </c>
      <c r="BR7" s="18">
        <v>586</v>
      </c>
      <c r="BS7" s="18">
        <v>517</v>
      </c>
      <c r="BT7" s="18">
        <v>580</v>
      </c>
      <c r="BU7" s="18">
        <v>487</v>
      </c>
      <c r="BV7" s="18">
        <v>741</v>
      </c>
      <c r="BW7" s="18">
        <v>368</v>
      </c>
      <c r="BX7" s="18">
        <v>613</v>
      </c>
      <c r="BY7" s="18">
        <v>558</v>
      </c>
      <c r="BZ7" s="18">
        <v>706</v>
      </c>
      <c r="CA7" s="18">
        <v>650</v>
      </c>
      <c r="CB7" s="18">
        <v>821</v>
      </c>
      <c r="CC7" s="18">
        <v>763</v>
      </c>
      <c r="CD7" s="18">
        <v>726</v>
      </c>
      <c r="CE7" s="18">
        <v>791</v>
      </c>
      <c r="CF7" s="18">
        <v>609</v>
      </c>
      <c r="CG7" s="18">
        <v>534</v>
      </c>
      <c r="CH7" s="18">
        <v>601</v>
      </c>
      <c r="CI7" s="18">
        <v>608</v>
      </c>
      <c r="CJ7" s="18">
        <v>490</v>
      </c>
      <c r="CK7" s="18">
        <v>614</v>
      </c>
      <c r="CL7" s="18">
        <v>756</v>
      </c>
      <c r="CM7" s="18">
        <v>800</v>
      </c>
      <c r="CN7" s="18">
        <v>699</v>
      </c>
      <c r="CO7" s="18">
        <v>979</v>
      </c>
      <c r="CP7" s="18">
        <v>939</v>
      </c>
      <c r="CQ7" s="18">
        <v>810</v>
      </c>
      <c r="CR7" s="18">
        <v>799</v>
      </c>
      <c r="CS7" s="18">
        <v>526</v>
      </c>
      <c r="CT7" s="18">
        <v>846</v>
      </c>
      <c r="CU7" s="18">
        <v>733</v>
      </c>
      <c r="CV7" s="18">
        <v>799</v>
      </c>
      <c r="CW7" s="18">
        <v>1041</v>
      </c>
      <c r="CX7" s="18">
        <v>1012</v>
      </c>
      <c r="CY7" s="18">
        <v>874</v>
      </c>
      <c r="CZ7" s="18">
        <v>739</v>
      </c>
      <c r="DA7" s="18">
        <v>778</v>
      </c>
      <c r="DB7" s="18">
        <v>384</v>
      </c>
      <c r="DC7" s="18">
        <v>670</v>
      </c>
      <c r="DD7" s="18">
        <v>552</v>
      </c>
      <c r="DE7" s="18">
        <v>585</v>
      </c>
      <c r="DF7" s="18">
        <v>919</v>
      </c>
      <c r="DG7" s="18">
        <v>717</v>
      </c>
      <c r="DH7" s="18">
        <v>763</v>
      </c>
      <c r="DI7" s="18">
        <v>930</v>
      </c>
      <c r="DJ7" s="18">
        <v>800</v>
      </c>
      <c r="DK7" s="18">
        <v>895</v>
      </c>
      <c r="DL7" s="18"/>
    </row>
    <row r="8" spans="1:116" ht="15.75" x14ac:dyDescent="0.25">
      <c r="A8" s="12">
        <f t="shared" si="23"/>
        <v>3</v>
      </c>
      <c r="B8" s="23" t="s">
        <v>8</v>
      </c>
      <c r="C8" s="24">
        <v>1</v>
      </c>
      <c r="D8" s="15"/>
      <c r="E8" s="24">
        <v>1</v>
      </c>
      <c r="F8" s="15"/>
      <c r="G8" s="24">
        <v>1</v>
      </c>
      <c r="H8" s="15"/>
      <c r="I8" s="24">
        <v>1</v>
      </c>
      <c r="J8" s="22"/>
      <c r="K8" s="24">
        <v>1</v>
      </c>
      <c r="L8" s="22"/>
      <c r="M8" s="24">
        <v>1</v>
      </c>
      <c r="N8" s="22"/>
      <c r="O8" s="24">
        <v>1</v>
      </c>
      <c r="P8" s="22"/>
      <c r="Q8" s="24">
        <v>1</v>
      </c>
      <c r="R8" s="22"/>
      <c r="S8" s="24">
        <v>1</v>
      </c>
      <c r="T8" s="22"/>
      <c r="U8" s="24">
        <v>1</v>
      </c>
      <c r="V8" s="22"/>
      <c r="W8" s="15"/>
      <c r="X8" s="22"/>
      <c r="Y8" s="15"/>
      <c r="Z8" s="22"/>
      <c r="AA8" s="15"/>
      <c r="AB8" s="22"/>
      <c r="AC8" s="15"/>
      <c r="AD8" s="22"/>
      <c r="AE8" s="15"/>
      <c r="AF8" s="22"/>
      <c r="AG8" s="15">
        <f>AG7/AG6</f>
        <v>0.9456</v>
      </c>
      <c r="AH8" s="15">
        <f>AH7/AH6</f>
        <v>0.87663698271346258</v>
      </c>
      <c r="AI8" s="15">
        <f>AI7/AI6</f>
        <v>0.9240196078431373</v>
      </c>
      <c r="AJ8" s="15">
        <f>AJ7/AJ6</f>
        <v>0.63035278455735522</v>
      </c>
      <c r="AK8" s="15">
        <f>AK7/AK6</f>
        <v>0.92550143266475648</v>
      </c>
      <c r="AL8" s="15">
        <v>0.91520000000000001</v>
      </c>
      <c r="AM8" s="15">
        <v>0.92432921314440764</v>
      </c>
      <c r="AN8" s="15">
        <f t="shared" ref="AN8:AS8" si="24">AN7/AN6</f>
        <v>0.99630541871921185</v>
      </c>
      <c r="AO8" s="15">
        <f t="shared" si="24"/>
        <v>0.96957724219676023</v>
      </c>
      <c r="AP8" s="15">
        <f t="shared" si="24"/>
        <v>0.99769186381996533</v>
      </c>
      <c r="AQ8" s="15">
        <f t="shared" si="24"/>
        <v>0.95222584147665579</v>
      </c>
      <c r="AR8" s="15">
        <f t="shared" si="24"/>
        <v>0.91578947368421049</v>
      </c>
      <c r="AS8" s="15">
        <f t="shared" si="24"/>
        <v>0.88720770288858319</v>
      </c>
      <c r="AT8" s="15">
        <f t="shared" ref="AT8:AZ8" si="25">AT7/AT6</f>
        <v>0.7432432432432432</v>
      </c>
      <c r="AU8" s="15">
        <f t="shared" si="25"/>
        <v>0.88510101010101006</v>
      </c>
      <c r="AV8" s="15">
        <f t="shared" si="25"/>
        <v>0.72215269086357947</v>
      </c>
      <c r="AW8" s="15">
        <f t="shared" si="25"/>
        <v>0.85322359396433467</v>
      </c>
      <c r="AX8" s="15">
        <f t="shared" si="25"/>
        <v>1</v>
      </c>
      <c r="AY8" s="15">
        <f t="shared" si="25"/>
        <v>0.98309178743961356</v>
      </c>
      <c r="AZ8" s="15">
        <f t="shared" si="25"/>
        <v>0.98007471980074723</v>
      </c>
      <c r="BA8" s="15">
        <f t="shared" ref="BA8:BH8" si="26">BA7/BA6</f>
        <v>0.99511002444987773</v>
      </c>
      <c r="BB8" s="15">
        <f t="shared" si="26"/>
        <v>0.97637795275590555</v>
      </c>
      <c r="BC8" s="15">
        <f t="shared" si="26"/>
        <v>0.99499374217772218</v>
      </c>
      <c r="BD8" s="15">
        <f t="shared" si="26"/>
        <v>0.86802030456852797</v>
      </c>
      <c r="BE8" s="15">
        <f t="shared" si="26"/>
        <v>1</v>
      </c>
      <c r="BF8" s="15">
        <f t="shared" si="26"/>
        <v>0.99601593625498008</v>
      </c>
      <c r="BG8" s="15">
        <f t="shared" si="26"/>
        <v>1</v>
      </c>
      <c r="BH8" s="15">
        <f t="shared" si="26"/>
        <v>1</v>
      </c>
      <c r="BI8" s="15">
        <f t="shared" ref="BI8:BO8" si="27">BI7/BI6</f>
        <v>0.99410029498525077</v>
      </c>
      <c r="BJ8" s="15">
        <f t="shared" si="27"/>
        <v>1</v>
      </c>
      <c r="BK8" s="15">
        <f t="shared" si="27"/>
        <v>1</v>
      </c>
      <c r="BL8" s="15">
        <f t="shared" si="27"/>
        <v>1</v>
      </c>
      <c r="BM8" s="15">
        <f t="shared" si="27"/>
        <v>0.99625468164794007</v>
      </c>
      <c r="BN8" s="15">
        <f t="shared" si="27"/>
        <v>0.99888641425389757</v>
      </c>
      <c r="BO8" s="15">
        <f t="shared" si="27"/>
        <v>1</v>
      </c>
      <c r="BP8" s="15">
        <f t="shared" ref="BP8:BV8" si="28">BP7/BP6</f>
        <v>0.99863760217983655</v>
      </c>
      <c r="BQ8" s="15">
        <f t="shared" si="28"/>
        <v>0.96351575456053073</v>
      </c>
      <c r="BR8" s="15">
        <f t="shared" si="28"/>
        <v>0.99829642248722317</v>
      </c>
      <c r="BS8" s="15">
        <f t="shared" si="28"/>
        <v>0.98852772466539196</v>
      </c>
      <c r="BT8" s="15">
        <f t="shared" si="28"/>
        <v>0.98639455782312924</v>
      </c>
      <c r="BU8" s="15">
        <f t="shared" si="28"/>
        <v>0.91028037383177574</v>
      </c>
      <c r="BV8" s="15">
        <f t="shared" si="28"/>
        <v>1</v>
      </c>
      <c r="BW8" s="15">
        <f t="shared" ref="BW8:CB8" si="29">BW7/BW6</f>
        <v>1</v>
      </c>
      <c r="BX8" s="15">
        <f t="shared" si="29"/>
        <v>1</v>
      </c>
      <c r="BY8" s="15">
        <f t="shared" si="29"/>
        <v>0.99821109123434704</v>
      </c>
      <c r="BZ8" s="15">
        <f t="shared" si="29"/>
        <v>1</v>
      </c>
      <c r="CA8" s="15">
        <f t="shared" si="29"/>
        <v>0.97891566265060237</v>
      </c>
      <c r="CB8" s="15">
        <f t="shared" si="29"/>
        <v>0.97044917257683216</v>
      </c>
      <c r="CC8" s="15">
        <f t="shared" ref="CC8:CD8" si="30">CC7/CC6</f>
        <v>1</v>
      </c>
      <c r="CD8" s="15">
        <f t="shared" si="30"/>
        <v>1</v>
      </c>
      <c r="CE8" s="15">
        <f t="shared" ref="CE8:CF8" si="31">CE7/CE6</f>
        <v>1</v>
      </c>
      <c r="CF8" s="15">
        <f t="shared" si="31"/>
        <v>0.98703403565640191</v>
      </c>
      <c r="CG8" s="15">
        <f t="shared" ref="CG8:CH8" si="32">CG7/CG6</f>
        <v>1</v>
      </c>
      <c r="CH8" s="15">
        <f t="shared" si="32"/>
        <v>0.98363338788870702</v>
      </c>
      <c r="CI8" s="15">
        <f t="shared" ref="CI8:CJ8" si="33">CI7/CI6</f>
        <v>1</v>
      </c>
      <c r="CJ8" s="15">
        <f t="shared" si="33"/>
        <v>1</v>
      </c>
      <c r="CK8" s="15">
        <f t="shared" ref="CK8" si="34">CK7/CK6</f>
        <v>1</v>
      </c>
      <c r="CL8" s="15">
        <f t="shared" ref="CL8:CM8" si="35">CL7/CL6</f>
        <v>0.99604743083003955</v>
      </c>
      <c r="CM8" s="15">
        <f t="shared" si="35"/>
        <v>0.99378881987577639</v>
      </c>
      <c r="CN8" s="15">
        <f t="shared" ref="CN8:CP8" si="36">CN7/CN6</f>
        <v>0.99714693295292445</v>
      </c>
      <c r="CO8" s="15">
        <f t="shared" si="36"/>
        <v>1</v>
      </c>
      <c r="CP8" s="15">
        <f t="shared" si="36"/>
        <v>1</v>
      </c>
      <c r="CQ8" s="15">
        <f t="shared" ref="CQ8:CR8" si="37">CQ7/CQ6</f>
        <v>1</v>
      </c>
      <c r="CR8" s="15">
        <f t="shared" si="37"/>
        <v>1</v>
      </c>
      <c r="CS8" s="15">
        <f t="shared" ref="CS8:CT8" si="38">CS7/CS6</f>
        <v>1</v>
      </c>
      <c r="CT8" s="15">
        <f t="shared" si="38"/>
        <v>1</v>
      </c>
      <c r="CU8" s="15">
        <f t="shared" ref="CU8:CV8" si="39">CU7/CU6</f>
        <v>1</v>
      </c>
      <c r="CV8" s="15">
        <f t="shared" si="39"/>
        <v>1</v>
      </c>
      <c r="CW8" s="15">
        <f t="shared" ref="CW8:CX8" si="40">CW7/CW6</f>
        <v>1</v>
      </c>
      <c r="CX8" s="15">
        <f t="shared" si="40"/>
        <v>1</v>
      </c>
      <c r="CY8" s="15">
        <f t="shared" ref="CY8:CZ8" si="41">CY7/CY6</f>
        <v>1</v>
      </c>
      <c r="CZ8" s="15">
        <f t="shared" si="41"/>
        <v>1</v>
      </c>
      <c r="DA8" s="15">
        <f t="shared" ref="DA8:DB8" si="42">DA7/DA6</f>
        <v>1</v>
      </c>
      <c r="DB8" s="15">
        <f t="shared" si="42"/>
        <v>1</v>
      </c>
      <c r="DC8" s="15">
        <f t="shared" ref="DC8:DD8" si="43">DC7/DC6</f>
        <v>1</v>
      </c>
      <c r="DD8" s="15">
        <f t="shared" si="43"/>
        <v>1</v>
      </c>
      <c r="DE8" s="15">
        <f t="shared" ref="DE8:DF8" si="44">DE7/DE6</f>
        <v>1</v>
      </c>
      <c r="DF8" s="15">
        <f t="shared" si="44"/>
        <v>1</v>
      </c>
      <c r="DG8" s="15">
        <f t="shared" ref="DG8:DH8" si="45">DG7/DG6</f>
        <v>1</v>
      </c>
      <c r="DH8" s="15">
        <f t="shared" si="45"/>
        <v>1</v>
      </c>
      <c r="DI8" s="15">
        <f t="shared" ref="DI8:DJ8" si="46">DI7/DI6</f>
        <v>1</v>
      </c>
      <c r="DJ8" s="15">
        <f t="shared" si="46"/>
        <v>1</v>
      </c>
      <c r="DK8" s="15">
        <f t="shared" ref="DK8" si="47">DK7/DK6</f>
        <v>1</v>
      </c>
      <c r="DL8" s="37"/>
    </row>
    <row r="9" spans="1:116" ht="15.75" x14ac:dyDescent="0.25">
      <c r="A9" s="12">
        <f t="shared" si="23"/>
        <v>4</v>
      </c>
      <c r="B9" s="13" t="s">
        <v>9</v>
      </c>
      <c r="C9" s="24"/>
      <c r="D9" s="15"/>
      <c r="E9" s="24"/>
      <c r="F9" s="15"/>
      <c r="G9" s="24"/>
      <c r="H9" s="15"/>
      <c r="I9" s="24"/>
      <c r="J9" s="22"/>
      <c r="K9" s="24"/>
      <c r="L9" s="22"/>
      <c r="M9" s="24"/>
      <c r="N9" s="22"/>
      <c r="O9" s="24"/>
      <c r="P9" s="22"/>
      <c r="Q9" s="24"/>
      <c r="R9" s="22"/>
      <c r="S9" s="24"/>
      <c r="T9" s="22"/>
      <c r="U9" s="24"/>
      <c r="V9" s="22"/>
      <c r="W9" s="15"/>
      <c r="X9" s="22"/>
      <c r="Y9" s="15"/>
      <c r="Z9" s="22"/>
      <c r="AA9" s="15"/>
      <c r="AB9" s="22"/>
      <c r="AC9" s="15"/>
      <c r="AD9" s="22"/>
      <c r="AE9" s="15"/>
      <c r="AF9" s="22"/>
      <c r="AG9" s="18">
        <v>220</v>
      </c>
      <c r="AH9" s="18">
        <v>276</v>
      </c>
      <c r="AI9" s="18">
        <v>201</v>
      </c>
      <c r="AJ9" s="18">
        <v>178</v>
      </c>
      <c r="AK9" s="18">
        <v>182</v>
      </c>
      <c r="AL9" s="18">
        <v>172</v>
      </c>
      <c r="AM9" s="18">
        <v>152</v>
      </c>
      <c r="AN9" s="18">
        <v>168</v>
      </c>
      <c r="AO9" s="18">
        <v>181</v>
      </c>
      <c r="AP9" s="18">
        <v>148</v>
      </c>
      <c r="AQ9" s="18">
        <v>185</v>
      </c>
      <c r="AR9" s="18">
        <v>24</v>
      </c>
      <c r="AS9" s="18">
        <v>118</v>
      </c>
      <c r="AT9" s="18">
        <v>82</v>
      </c>
      <c r="AU9" s="18">
        <v>110</v>
      </c>
      <c r="AV9" s="18">
        <v>127</v>
      </c>
      <c r="AW9" s="18">
        <v>114</v>
      </c>
      <c r="AX9" s="18">
        <v>127</v>
      </c>
      <c r="AY9" s="18">
        <v>97</v>
      </c>
      <c r="AZ9" s="18">
        <v>139</v>
      </c>
      <c r="BA9" s="18">
        <v>135</v>
      </c>
      <c r="BB9" s="18">
        <v>133</v>
      </c>
      <c r="BC9" s="18">
        <v>121</v>
      </c>
      <c r="BD9" s="18">
        <v>73</v>
      </c>
      <c r="BE9" s="18">
        <v>72</v>
      </c>
      <c r="BF9" s="18">
        <v>100</v>
      </c>
      <c r="BG9" s="18">
        <v>90</v>
      </c>
      <c r="BH9" s="18">
        <v>88</v>
      </c>
      <c r="BI9" s="18">
        <v>119</v>
      </c>
      <c r="BJ9" s="18">
        <v>114</v>
      </c>
      <c r="BK9" s="18">
        <v>110</v>
      </c>
      <c r="BL9" s="18">
        <v>93</v>
      </c>
      <c r="BM9" s="18">
        <v>120</v>
      </c>
      <c r="BN9" s="18">
        <v>175</v>
      </c>
      <c r="BO9" s="18">
        <v>196</v>
      </c>
      <c r="BP9" s="18">
        <v>144</v>
      </c>
      <c r="BQ9" s="18">
        <v>102</v>
      </c>
      <c r="BR9" s="18">
        <v>102</v>
      </c>
      <c r="BS9" s="18">
        <v>102</v>
      </c>
      <c r="BT9" s="18">
        <v>90</v>
      </c>
      <c r="BU9" s="18">
        <v>108</v>
      </c>
      <c r="BV9" s="18">
        <v>119</v>
      </c>
      <c r="BW9" s="18">
        <v>107</v>
      </c>
      <c r="BX9" s="18">
        <v>141</v>
      </c>
      <c r="BY9" s="18">
        <v>143</v>
      </c>
      <c r="BZ9" s="18">
        <v>124</v>
      </c>
      <c r="CA9" s="18">
        <v>152</v>
      </c>
      <c r="CB9" s="18">
        <v>125</v>
      </c>
      <c r="CC9" s="18">
        <v>121</v>
      </c>
      <c r="CD9" s="18">
        <v>115</v>
      </c>
      <c r="CE9" s="18">
        <v>114</v>
      </c>
      <c r="CF9" s="18">
        <v>94</v>
      </c>
      <c r="CG9" s="18">
        <v>120</v>
      </c>
      <c r="CH9" s="18">
        <v>149</v>
      </c>
      <c r="CI9" s="18">
        <v>119</v>
      </c>
      <c r="CJ9" s="18">
        <v>125</v>
      </c>
      <c r="CK9" s="18">
        <v>155</v>
      </c>
      <c r="CL9" s="18">
        <v>146</v>
      </c>
      <c r="CM9" s="18">
        <v>138</v>
      </c>
      <c r="CN9" s="18">
        <v>100</v>
      </c>
      <c r="CO9" s="18">
        <v>112</v>
      </c>
      <c r="CP9" s="18">
        <v>121</v>
      </c>
      <c r="CQ9" s="18">
        <v>93</v>
      </c>
      <c r="CR9" s="18">
        <v>122</v>
      </c>
      <c r="CS9" s="18">
        <v>99</v>
      </c>
      <c r="CT9" s="18">
        <v>129</v>
      </c>
      <c r="CU9" s="18">
        <v>128</v>
      </c>
      <c r="CV9" s="18">
        <v>132</v>
      </c>
      <c r="CW9" s="18">
        <v>175</v>
      </c>
      <c r="CX9" s="18">
        <v>189</v>
      </c>
      <c r="CY9" s="18">
        <v>157</v>
      </c>
      <c r="CZ9" s="18">
        <v>136</v>
      </c>
      <c r="DA9" s="18">
        <v>124</v>
      </c>
      <c r="DB9" s="18">
        <v>67</v>
      </c>
      <c r="DC9" s="18">
        <v>108</v>
      </c>
      <c r="DD9" s="18">
        <v>105</v>
      </c>
      <c r="DE9" s="18">
        <v>107</v>
      </c>
      <c r="DF9" s="18">
        <v>138</v>
      </c>
      <c r="DG9" s="18">
        <v>128</v>
      </c>
      <c r="DH9" s="18">
        <v>156</v>
      </c>
      <c r="DI9" s="18">
        <v>206</v>
      </c>
      <c r="DJ9" s="18">
        <v>201</v>
      </c>
      <c r="DK9" s="18">
        <v>248</v>
      </c>
      <c r="DL9" s="18"/>
    </row>
    <row r="10" spans="1:116" ht="15.75" x14ac:dyDescent="0.25">
      <c r="A10" s="12">
        <f t="shared" si="23"/>
        <v>5</v>
      </c>
      <c r="B10" s="13" t="s">
        <v>10</v>
      </c>
      <c r="C10" s="24"/>
      <c r="D10" s="15"/>
      <c r="E10" s="24"/>
      <c r="F10" s="15"/>
      <c r="G10" s="24"/>
      <c r="H10" s="15"/>
      <c r="I10" s="24"/>
      <c r="J10" s="22"/>
      <c r="K10" s="24"/>
      <c r="L10" s="22"/>
      <c r="M10" s="24"/>
      <c r="N10" s="22"/>
      <c r="O10" s="24"/>
      <c r="P10" s="22"/>
      <c r="Q10" s="24"/>
      <c r="R10" s="22"/>
      <c r="S10" s="24"/>
      <c r="T10" s="22"/>
      <c r="U10" s="24"/>
      <c r="V10" s="22"/>
      <c r="W10" s="15"/>
      <c r="X10" s="22"/>
      <c r="Y10" s="15"/>
      <c r="Z10" s="22"/>
      <c r="AA10" s="15"/>
      <c r="AB10" s="22"/>
      <c r="AC10" s="15"/>
      <c r="AD10" s="22"/>
      <c r="AE10" s="15"/>
      <c r="AF10" s="22"/>
      <c r="AG10" s="18">
        <v>202</v>
      </c>
      <c r="AH10" s="18">
        <v>257</v>
      </c>
      <c r="AI10" s="18">
        <v>195</v>
      </c>
      <c r="AJ10" s="18">
        <v>161</v>
      </c>
      <c r="AK10" s="18">
        <v>164</v>
      </c>
      <c r="AL10" s="18">
        <v>162</v>
      </c>
      <c r="AM10" s="18">
        <v>145</v>
      </c>
      <c r="AN10" s="18">
        <v>163</v>
      </c>
      <c r="AO10" s="18">
        <v>180</v>
      </c>
      <c r="AP10" s="18">
        <v>140</v>
      </c>
      <c r="AQ10" s="18">
        <v>174</v>
      </c>
      <c r="AR10" s="18">
        <v>20</v>
      </c>
      <c r="AS10" s="18">
        <v>111</v>
      </c>
      <c r="AT10" s="18">
        <v>74</v>
      </c>
      <c r="AU10" s="18">
        <v>105</v>
      </c>
      <c r="AV10" s="18">
        <v>120</v>
      </c>
      <c r="AW10" s="18">
        <v>106</v>
      </c>
      <c r="AX10" s="18">
        <v>126</v>
      </c>
      <c r="AY10" s="18">
        <v>96</v>
      </c>
      <c r="AZ10" s="18">
        <v>139</v>
      </c>
      <c r="BA10" s="18">
        <v>132</v>
      </c>
      <c r="BB10" s="18">
        <v>130</v>
      </c>
      <c r="BC10" s="18">
        <v>121</v>
      </c>
      <c r="BD10" s="18">
        <v>69</v>
      </c>
      <c r="BE10" s="18">
        <v>71</v>
      </c>
      <c r="BF10" s="18">
        <v>97</v>
      </c>
      <c r="BG10" s="18">
        <v>88</v>
      </c>
      <c r="BH10" s="18">
        <v>86</v>
      </c>
      <c r="BI10" s="18">
        <v>117</v>
      </c>
      <c r="BJ10" s="18">
        <v>107</v>
      </c>
      <c r="BK10" s="18">
        <v>108</v>
      </c>
      <c r="BL10" s="18">
        <v>91</v>
      </c>
      <c r="BM10" s="18">
        <v>119</v>
      </c>
      <c r="BN10" s="18">
        <v>172</v>
      </c>
      <c r="BO10" s="18">
        <v>188</v>
      </c>
      <c r="BP10" s="18">
        <v>139</v>
      </c>
      <c r="BQ10" s="18">
        <v>97</v>
      </c>
      <c r="BR10" s="18">
        <v>98</v>
      </c>
      <c r="BS10" s="18">
        <v>98</v>
      </c>
      <c r="BT10" s="18">
        <v>87</v>
      </c>
      <c r="BU10" s="18">
        <v>106</v>
      </c>
      <c r="BV10" s="18">
        <v>116</v>
      </c>
      <c r="BW10" s="18">
        <v>106</v>
      </c>
      <c r="BX10" s="18">
        <v>137</v>
      </c>
      <c r="BY10" s="18">
        <v>139</v>
      </c>
      <c r="BZ10" s="18">
        <v>123</v>
      </c>
      <c r="CA10" s="18">
        <v>144</v>
      </c>
      <c r="CB10" s="18">
        <v>120</v>
      </c>
      <c r="CC10" s="18">
        <v>112</v>
      </c>
      <c r="CD10" s="18">
        <v>113</v>
      </c>
      <c r="CE10" s="18">
        <v>107</v>
      </c>
      <c r="CF10" s="18">
        <v>91</v>
      </c>
      <c r="CG10" s="18">
        <v>118</v>
      </c>
      <c r="CH10" s="18">
        <v>149</v>
      </c>
      <c r="CI10" s="18">
        <v>119</v>
      </c>
      <c r="CJ10" s="18">
        <v>119</v>
      </c>
      <c r="CK10" s="18">
        <v>144</v>
      </c>
      <c r="CL10" s="18">
        <v>139</v>
      </c>
      <c r="CM10" s="18">
        <v>132</v>
      </c>
      <c r="CN10" s="18">
        <v>103</v>
      </c>
      <c r="CO10" s="18">
        <v>106</v>
      </c>
      <c r="CP10" s="18">
        <v>121</v>
      </c>
      <c r="CQ10" s="18">
        <v>80</v>
      </c>
      <c r="CR10" s="18">
        <v>122</v>
      </c>
      <c r="CS10" s="18">
        <v>99</v>
      </c>
      <c r="CT10" s="18">
        <v>129</v>
      </c>
      <c r="CU10" s="18">
        <v>128</v>
      </c>
      <c r="CV10" s="18">
        <v>132</v>
      </c>
      <c r="CW10" s="18">
        <v>175</v>
      </c>
      <c r="CX10" s="18">
        <v>189</v>
      </c>
      <c r="CY10" s="18">
        <v>157</v>
      </c>
      <c r="CZ10" s="18">
        <v>136</v>
      </c>
      <c r="DA10" s="18">
        <v>124</v>
      </c>
      <c r="DB10" s="18">
        <v>67</v>
      </c>
      <c r="DC10" s="18">
        <v>108</v>
      </c>
      <c r="DD10" s="18">
        <v>105</v>
      </c>
      <c r="DE10" s="18">
        <v>107</v>
      </c>
      <c r="DF10" s="18">
        <v>138</v>
      </c>
      <c r="DG10" s="18">
        <v>128</v>
      </c>
      <c r="DH10" s="18">
        <v>156</v>
      </c>
      <c r="DI10" s="18">
        <v>206</v>
      </c>
      <c r="DJ10" s="18">
        <v>201</v>
      </c>
      <c r="DK10" s="18">
        <v>248</v>
      </c>
      <c r="DL10" s="18"/>
    </row>
    <row r="11" spans="1:116" ht="15.75" x14ac:dyDescent="0.25">
      <c r="A11" s="12">
        <f t="shared" si="23"/>
        <v>6</v>
      </c>
      <c r="B11" s="23" t="s">
        <v>11</v>
      </c>
      <c r="C11" s="24"/>
      <c r="D11" s="15"/>
      <c r="E11" s="24"/>
      <c r="F11" s="15"/>
      <c r="G11" s="24"/>
      <c r="H11" s="15"/>
      <c r="I11" s="24"/>
      <c r="J11" s="22"/>
      <c r="K11" s="24"/>
      <c r="L11" s="22"/>
      <c r="M11" s="24"/>
      <c r="N11" s="22"/>
      <c r="O11" s="24"/>
      <c r="P11" s="22"/>
      <c r="Q11" s="24"/>
      <c r="R11" s="22"/>
      <c r="S11" s="24"/>
      <c r="T11" s="22"/>
      <c r="U11" s="24"/>
      <c r="V11" s="22"/>
      <c r="W11" s="15"/>
      <c r="X11" s="22"/>
      <c r="Y11" s="15"/>
      <c r="Z11" s="22"/>
      <c r="AA11" s="15"/>
      <c r="AB11" s="22"/>
      <c r="AC11" s="15"/>
      <c r="AD11" s="22"/>
      <c r="AE11" s="15"/>
      <c r="AF11" s="22"/>
      <c r="AG11" s="15">
        <f>AG10/AG9</f>
        <v>0.91818181818181821</v>
      </c>
      <c r="AH11" s="15">
        <f>AH10/AH9</f>
        <v>0.9311594202898551</v>
      </c>
      <c r="AI11" s="15">
        <f>AI10/AI9</f>
        <v>0.97014925373134331</v>
      </c>
      <c r="AJ11" s="15">
        <f>AJ10/AJ9</f>
        <v>0.9044943820224719</v>
      </c>
      <c r="AK11" s="15">
        <f>AK10/AK9</f>
        <v>0.90109890109890112</v>
      </c>
      <c r="AL11" s="15">
        <v>0.94189999999999996</v>
      </c>
      <c r="AM11" s="15">
        <v>0.95394736842105265</v>
      </c>
      <c r="AN11" s="15">
        <f t="shared" ref="AN11:AS11" si="48">AN10/AN9</f>
        <v>0.97023809523809523</v>
      </c>
      <c r="AO11" s="15">
        <f t="shared" si="48"/>
        <v>0.99447513812154698</v>
      </c>
      <c r="AP11" s="15">
        <f t="shared" si="48"/>
        <v>0.94594594594594594</v>
      </c>
      <c r="AQ11" s="15">
        <f t="shared" si="48"/>
        <v>0.94054054054054059</v>
      </c>
      <c r="AR11" s="15">
        <f t="shared" si="48"/>
        <v>0.83333333333333337</v>
      </c>
      <c r="AS11" s="15">
        <f t="shared" si="48"/>
        <v>0.94067796610169496</v>
      </c>
      <c r="AT11" s="15">
        <f t="shared" ref="AT11:AZ11" si="49">AT10/AT9</f>
        <v>0.90243902439024393</v>
      </c>
      <c r="AU11" s="15">
        <f t="shared" si="49"/>
        <v>0.95454545454545459</v>
      </c>
      <c r="AV11" s="15">
        <f t="shared" si="49"/>
        <v>0.94488188976377951</v>
      </c>
      <c r="AW11" s="15">
        <f t="shared" si="49"/>
        <v>0.92982456140350878</v>
      </c>
      <c r="AX11" s="15">
        <f t="shared" si="49"/>
        <v>0.99212598425196852</v>
      </c>
      <c r="AY11" s="15">
        <f t="shared" si="49"/>
        <v>0.98969072164948457</v>
      </c>
      <c r="AZ11" s="15">
        <f t="shared" si="49"/>
        <v>1</v>
      </c>
      <c r="BA11" s="15">
        <f t="shared" ref="BA11:BH11" si="50">BA10/BA9</f>
        <v>0.97777777777777775</v>
      </c>
      <c r="BB11" s="15">
        <f t="shared" si="50"/>
        <v>0.97744360902255634</v>
      </c>
      <c r="BC11" s="15">
        <f t="shared" si="50"/>
        <v>1</v>
      </c>
      <c r="BD11" s="15">
        <f t="shared" si="50"/>
        <v>0.9452054794520548</v>
      </c>
      <c r="BE11" s="15">
        <f t="shared" si="50"/>
        <v>0.98611111111111116</v>
      </c>
      <c r="BF11" s="15">
        <f t="shared" si="50"/>
        <v>0.97</v>
      </c>
      <c r="BG11" s="15">
        <f t="shared" si="50"/>
        <v>0.97777777777777775</v>
      </c>
      <c r="BH11" s="15">
        <f t="shared" si="50"/>
        <v>0.97727272727272729</v>
      </c>
      <c r="BI11" s="15">
        <f t="shared" ref="BI11:BO11" si="51">BI10/BI9</f>
        <v>0.98319327731092432</v>
      </c>
      <c r="BJ11" s="15">
        <f t="shared" si="51"/>
        <v>0.93859649122807021</v>
      </c>
      <c r="BK11" s="15">
        <f t="shared" si="51"/>
        <v>0.98181818181818181</v>
      </c>
      <c r="BL11" s="15">
        <f t="shared" si="51"/>
        <v>0.978494623655914</v>
      </c>
      <c r="BM11" s="15">
        <f t="shared" si="51"/>
        <v>0.9916666666666667</v>
      </c>
      <c r="BN11" s="15">
        <f t="shared" si="51"/>
        <v>0.98285714285714287</v>
      </c>
      <c r="BO11" s="15">
        <f t="shared" si="51"/>
        <v>0.95918367346938771</v>
      </c>
      <c r="BP11" s="15">
        <f t="shared" ref="BP11:BV11" si="52">BP10/BP9</f>
        <v>0.96527777777777779</v>
      </c>
      <c r="BQ11" s="15">
        <f t="shared" si="52"/>
        <v>0.9509803921568627</v>
      </c>
      <c r="BR11" s="15">
        <f t="shared" si="52"/>
        <v>0.96078431372549022</v>
      </c>
      <c r="BS11" s="15">
        <f t="shared" si="52"/>
        <v>0.96078431372549022</v>
      </c>
      <c r="BT11" s="15">
        <f t="shared" si="52"/>
        <v>0.96666666666666667</v>
      </c>
      <c r="BU11" s="15">
        <f t="shared" si="52"/>
        <v>0.98148148148148151</v>
      </c>
      <c r="BV11" s="15">
        <f t="shared" si="52"/>
        <v>0.97478991596638653</v>
      </c>
      <c r="BW11" s="15">
        <f t="shared" ref="BW11:CB11" si="53">BW10/BW9</f>
        <v>0.99065420560747663</v>
      </c>
      <c r="BX11" s="15">
        <f t="shared" si="53"/>
        <v>0.97163120567375882</v>
      </c>
      <c r="BY11" s="15">
        <f t="shared" si="53"/>
        <v>0.97202797202797198</v>
      </c>
      <c r="BZ11" s="15">
        <f t="shared" si="53"/>
        <v>0.99193548387096775</v>
      </c>
      <c r="CA11" s="15">
        <f t="shared" si="53"/>
        <v>0.94736842105263153</v>
      </c>
      <c r="CB11" s="15">
        <f t="shared" si="53"/>
        <v>0.96</v>
      </c>
      <c r="CC11" s="15">
        <f t="shared" ref="CC11:CD11" si="54">CC10/CC9</f>
        <v>0.92561983471074383</v>
      </c>
      <c r="CD11" s="15">
        <f t="shared" si="54"/>
        <v>0.9826086956521739</v>
      </c>
      <c r="CE11" s="15">
        <f t="shared" ref="CE11:CF11" si="55">CE10/CE9</f>
        <v>0.93859649122807021</v>
      </c>
      <c r="CF11" s="15">
        <f t="shared" si="55"/>
        <v>0.96808510638297873</v>
      </c>
      <c r="CG11" s="15">
        <f t="shared" ref="CG11:CH11" si="56">CG10/CG9</f>
        <v>0.98333333333333328</v>
      </c>
      <c r="CH11" s="15">
        <f t="shared" si="56"/>
        <v>1</v>
      </c>
      <c r="CI11" s="15">
        <f t="shared" ref="CI11:CJ11" si="57">CI10/CI9</f>
        <v>1</v>
      </c>
      <c r="CJ11" s="15">
        <f t="shared" si="57"/>
        <v>0.95199999999999996</v>
      </c>
      <c r="CK11" s="15">
        <f t="shared" ref="CK11" si="58">CK10/CK9</f>
        <v>0.92903225806451617</v>
      </c>
      <c r="CL11" s="15">
        <f t="shared" ref="CL11:CM11" si="59">CL10/CL9</f>
        <v>0.95205479452054798</v>
      </c>
      <c r="CM11" s="15">
        <f t="shared" si="59"/>
        <v>0.95652173913043481</v>
      </c>
      <c r="CN11" s="15">
        <f t="shared" ref="CN11:CP11" si="60">CN10/CN9</f>
        <v>1.03</v>
      </c>
      <c r="CO11" s="15">
        <f t="shared" si="60"/>
        <v>0.9464285714285714</v>
      </c>
      <c r="CP11" s="15">
        <f t="shared" si="60"/>
        <v>1</v>
      </c>
      <c r="CQ11" s="15">
        <f t="shared" ref="CQ11:CR11" si="61">CQ10/CQ9</f>
        <v>0.86021505376344087</v>
      </c>
      <c r="CR11" s="15">
        <f t="shared" si="61"/>
        <v>1</v>
      </c>
      <c r="CS11" s="15">
        <f t="shared" ref="CS11:CT11" si="62">CS10/CS9</f>
        <v>1</v>
      </c>
      <c r="CT11" s="15">
        <f t="shared" si="62"/>
        <v>1</v>
      </c>
      <c r="CU11" s="15">
        <f t="shared" ref="CU11:CV11" si="63">CU10/CU9</f>
        <v>1</v>
      </c>
      <c r="CV11" s="15">
        <f t="shared" si="63"/>
        <v>1</v>
      </c>
      <c r="CW11" s="15">
        <f t="shared" ref="CW11:CX11" si="64">CW10/CW9</f>
        <v>1</v>
      </c>
      <c r="CX11" s="15">
        <f t="shared" si="64"/>
        <v>1</v>
      </c>
      <c r="CY11" s="15">
        <f t="shared" ref="CY11:CZ11" si="65">CY10/CY9</f>
        <v>1</v>
      </c>
      <c r="CZ11" s="15">
        <f t="shared" si="65"/>
        <v>1</v>
      </c>
      <c r="DA11" s="15">
        <f t="shared" ref="DA11:DB11" si="66">DA10/DA9</f>
        <v>1</v>
      </c>
      <c r="DB11" s="15">
        <f t="shared" si="66"/>
        <v>1</v>
      </c>
      <c r="DC11" s="15">
        <f t="shared" ref="DC11:DD11" si="67">DC10/DC9</f>
        <v>1</v>
      </c>
      <c r="DD11" s="15">
        <f t="shared" si="67"/>
        <v>1</v>
      </c>
      <c r="DE11" s="15">
        <f t="shared" ref="DE11:DF11" si="68">DE10/DE9</f>
        <v>1</v>
      </c>
      <c r="DF11" s="15">
        <f t="shared" si="68"/>
        <v>1</v>
      </c>
      <c r="DG11" s="15">
        <f t="shared" ref="DG11:DH11" si="69">DG10/DG9</f>
        <v>1</v>
      </c>
      <c r="DH11" s="15">
        <f t="shared" si="69"/>
        <v>1</v>
      </c>
      <c r="DI11" s="15">
        <f t="shared" ref="DI11:DJ11" si="70">DI10/DI9</f>
        <v>1</v>
      </c>
      <c r="DJ11" s="15">
        <f t="shared" si="70"/>
        <v>1</v>
      </c>
      <c r="DK11" s="15">
        <f t="shared" ref="DK11" si="71">DK10/DK9</f>
        <v>1</v>
      </c>
      <c r="DL11" s="37"/>
    </row>
    <row r="12" spans="1:116" ht="15.75" x14ac:dyDescent="0.25">
      <c r="A12" s="12">
        <f>A11+1</f>
        <v>7</v>
      </c>
      <c r="B12" s="13" t="s">
        <v>12</v>
      </c>
      <c r="C12" s="25">
        <v>13793</v>
      </c>
      <c r="D12" s="15"/>
      <c r="E12" s="25">
        <v>14031</v>
      </c>
      <c r="F12" s="15"/>
      <c r="G12" s="25">
        <v>15365</v>
      </c>
      <c r="H12" s="15"/>
      <c r="I12" s="25">
        <v>12388</v>
      </c>
      <c r="J12" s="22"/>
      <c r="K12" s="25">
        <v>12729</v>
      </c>
      <c r="L12" s="22"/>
      <c r="M12" s="25">
        <v>14040</v>
      </c>
      <c r="N12" s="22"/>
      <c r="O12" s="25">
        <v>13416</v>
      </c>
      <c r="P12" s="22"/>
      <c r="Q12" s="26">
        <v>13843</v>
      </c>
      <c r="R12" s="22"/>
      <c r="S12" s="26">
        <v>14007</v>
      </c>
      <c r="T12" s="22"/>
      <c r="U12" s="26">
        <v>15601</v>
      </c>
      <c r="V12" s="22"/>
      <c r="W12" s="15"/>
      <c r="X12" s="22"/>
      <c r="Y12" s="15"/>
      <c r="Z12" s="22"/>
      <c r="AA12" s="15"/>
      <c r="AB12" s="22"/>
      <c r="AC12" s="15"/>
      <c r="AD12" s="22"/>
      <c r="AE12" s="15"/>
      <c r="AF12" s="22"/>
      <c r="AG12" s="18">
        <v>34731</v>
      </c>
      <c r="AH12" s="18">
        <v>37529</v>
      </c>
      <c r="AI12" s="18">
        <v>37675</v>
      </c>
      <c r="AJ12" s="18">
        <v>41051</v>
      </c>
      <c r="AK12" s="18">
        <v>36866</v>
      </c>
      <c r="AL12" s="18">
        <v>33048</v>
      </c>
      <c r="AM12" s="18">
        <v>31698</v>
      </c>
      <c r="AN12" s="18">
        <v>33243</v>
      </c>
      <c r="AO12" s="18">
        <v>28427</v>
      </c>
      <c r="AP12" s="18">
        <v>29882</v>
      </c>
      <c r="AQ12" s="18">
        <v>27388</v>
      </c>
      <c r="AR12" s="18">
        <v>1091</v>
      </c>
      <c r="AS12" s="18">
        <v>19401</v>
      </c>
      <c r="AT12" s="18">
        <v>16953</v>
      </c>
      <c r="AU12" s="18">
        <v>14932</v>
      </c>
      <c r="AV12" s="18">
        <v>14147</v>
      </c>
      <c r="AW12" s="18">
        <v>10991</v>
      </c>
      <c r="AX12" s="18">
        <v>12438</v>
      </c>
      <c r="AY12" s="18">
        <v>10861</v>
      </c>
      <c r="AZ12" s="18">
        <v>10114</v>
      </c>
      <c r="BA12" s="18">
        <v>12102</v>
      </c>
      <c r="BB12" s="18">
        <v>11839</v>
      </c>
      <c r="BC12" s="18">
        <v>6218</v>
      </c>
      <c r="BD12" s="18">
        <v>11828</v>
      </c>
      <c r="BE12" s="18">
        <v>13361</v>
      </c>
      <c r="BF12" s="18">
        <v>12180</v>
      </c>
      <c r="BG12" s="18">
        <v>13581</v>
      </c>
      <c r="BH12" s="18">
        <v>11033</v>
      </c>
      <c r="BI12" s="18">
        <v>10812</v>
      </c>
      <c r="BJ12" s="18">
        <v>11981</v>
      </c>
      <c r="BK12" s="18">
        <v>8390</v>
      </c>
      <c r="BL12" s="18">
        <v>8779</v>
      </c>
      <c r="BM12" s="18">
        <v>10231</v>
      </c>
      <c r="BN12" s="18">
        <v>11436</v>
      </c>
      <c r="BO12" s="18">
        <v>12383</v>
      </c>
      <c r="BP12" s="18">
        <v>12114</v>
      </c>
      <c r="BQ12" s="18">
        <v>11169</v>
      </c>
      <c r="BR12" s="18">
        <v>10600</v>
      </c>
      <c r="BS12" s="18">
        <v>11535</v>
      </c>
      <c r="BT12" s="18">
        <v>10221</v>
      </c>
      <c r="BU12" s="18">
        <v>9661</v>
      </c>
      <c r="BV12" s="18">
        <v>8334</v>
      </c>
      <c r="BW12" s="18">
        <v>7923</v>
      </c>
      <c r="BX12" s="18">
        <v>8104</v>
      </c>
      <c r="BY12" s="18">
        <v>8132</v>
      </c>
      <c r="BZ12" s="18">
        <v>9248</v>
      </c>
      <c r="CA12" s="18">
        <v>10955</v>
      </c>
      <c r="CB12" s="18">
        <v>10936</v>
      </c>
      <c r="CC12" s="18">
        <v>11136</v>
      </c>
      <c r="CD12" s="18">
        <v>12464</v>
      </c>
      <c r="CE12" s="18">
        <v>10404</v>
      </c>
      <c r="CF12" s="18">
        <v>9416</v>
      </c>
      <c r="CG12" s="18">
        <v>10310</v>
      </c>
      <c r="CH12" s="18">
        <v>9203</v>
      </c>
      <c r="CI12" s="18">
        <v>8586</v>
      </c>
      <c r="CJ12" s="18">
        <v>9248</v>
      </c>
      <c r="CK12" s="18">
        <v>8252</v>
      </c>
      <c r="CL12" s="18">
        <v>9714</v>
      </c>
      <c r="CM12" s="18">
        <v>12011</v>
      </c>
      <c r="CN12" s="18">
        <v>12137</v>
      </c>
      <c r="CO12" s="18">
        <v>16095</v>
      </c>
      <c r="CP12" s="18">
        <v>14299</v>
      </c>
      <c r="CQ12" s="18">
        <v>15269</v>
      </c>
      <c r="CR12" s="18">
        <v>13974</v>
      </c>
      <c r="CS12" s="18">
        <v>12253</v>
      </c>
      <c r="CT12" s="18">
        <v>11931</v>
      </c>
      <c r="CU12" s="18">
        <v>9744</v>
      </c>
      <c r="CV12" s="18">
        <v>9304</v>
      </c>
      <c r="CW12" s="18">
        <v>16918</v>
      </c>
      <c r="CX12" s="18">
        <v>15663</v>
      </c>
      <c r="CY12" s="18">
        <v>17750</v>
      </c>
      <c r="CZ12" s="18">
        <v>16435</v>
      </c>
      <c r="DA12" s="18">
        <v>15761</v>
      </c>
      <c r="DB12" s="18">
        <v>13204</v>
      </c>
      <c r="DC12" s="18">
        <v>13352</v>
      </c>
      <c r="DD12" s="18">
        <v>12750</v>
      </c>
      <c r="DE12" s="18">
        <v>12061</v>
      </c>
      <c r="DF12" s="18">
        <v>10998</v>
      </c>
      <c r="DG12" s="18">
        <v>10787</v>
      </c>
      <c r="DH12" s="18">
        <v>13174</v>
      </c>
      <c r="DI12" s="18">
        <v>13820</v>
      </c>
      <c r="DJ12" s="18">
        <v>16465</v>
      </c>
      <c r="DK12" s="18">
        <v>21157</v>
      </c>
      <c r="DL12" s="18"/>
    </row>
    <row r="13" spans="1:116" ht="15.75" x14ac:dyDescent="0.25">
      <c r="A13" s="12">
        <f t="shared" si="23"/>
        <v>8</v>
      </c>
      <c r="B13" s="13" t="s">
        <v>13</v>
      </c>
      <c r="C13" s="25">
        <v>13113</v>
      </c>
      <c r="D13" s="15"/>
      <c r="E13" s="25">
        <v>12643</v>
      </c>
      <c r="F13" s="15"/>
      <c r="G13" s="25">
        <v>14655</v>
      </c>
      <c r="H13" s="15"/>
      <c r="I13" s="25">
        <v>12146</v>
      </c>
      <c r="J13" s="22"/>
      <c r="K13" s="25">
        <v>12585</v>
      </c>
      <c r="L13" s="22"/>
      <c r="M13" s="25">
        <v>13996</v>
      </c>
      <c r="N13" s="22"/>
      <c r="O13" s="25">
        <v>11328</v>
      </c>
      <c r="P13" s="22"/>
      <c r="Q13" s="26">
        <v>13637</v>
      </c>
      <c r="R13" s="22"/>
      <c r="S13" s="26">
        <v>13760</v>
      </c>
      <c r="T13" s="22"/>
      <c r="U13" s="26">
        <v>12631</v>
      </c>
      <c r="V13" s="22"/>
      <c r="W13" s="15"/>
      <c r="X13" s="22"/>
      <c r="Y13" s="15"/>
      <c r="Z13" s="22"/>
      <c r="AA13" s="15"/>
      <c r="AB13" s="22"/>
      <c r="AC13" s="15"/>
      <c r="AD13" s="22"/>
      <c r="AE13" s="15"/>
      <c r="AF13" s="22"/>
      <c r="AG13" s="18">
        <v>29105</v>
      </c>
      <c r="AH13" s="18">
        <v>33559</v>
      </c>
      <c r="AI13" s="18">
        <v>34899</v>
      </c>
      <c r="AJ13" s="18">
        <v>39583</v>
      </c>
      <c r="AK13" s="18">
        <v>35767</v>
      </c>
      <c r="AL13" s="18">
        <v>32028</v>
      </c>
      <c r="AM13" s="18">
        <v>30839</v>
      </c>
      <c r="AN13" s="18">
        <v>30727</v>
      </c>
      <c r="AO13" s="18">
        <v>27920</v>
      </c>
      <c r="AP13" s="18">
        <v>29359</v>
      </c>
      <c r="AQ13" s="18">
        <v>26911</v>
      </c>
      <c r="AR13" s="18">
        <v>338</v>
      </c>
      <c r="AS13" s="18">
        <v>18260</v>
      </c>
      <c r="AT13" s="18">
        <v>14818</v>
      </c>
      <c r="AU13" s="18">
        <v>13778</v>
      </c>
      <c r="AV13" s="18">
        <v>13698</v>
      </c>
      <c r="AW13" s="18">
        <v>10749</v>
      </c>
      <c r="AX13" s="18">
        <v>11790</v>
      </c>
      <c r="AY13" s="18">
        <v>10355</v>
      </c>
      <c r="AZ13" s="18">
        <v>9921</v>
      </c>
      <c r="BA13" s="18">
        <v>11938</v>
      </c>
      <c r="BB13" s="18">
        <v>11759</v>
      </c>
      <c r="BC13" s="18">
        <v>6218</v>
      </c>
      <c r="BD13" s="18">
        <v>11828</v>
      </c>
      <c r="BE13" s="18">
        <v>13124</v>
      </c>
      <c r="BF13" s="18">
        <v>12180</v>
      </c>
      <c r="BG13" s="18">
        <v>13581</v>
      </c>
      <c r="BH13" s="18">
        <v>11033</v>
      </c>
      <c r="BI13" s="18">
        <v>10812</v>
      </c>
      <c r="BJ13" s="18">
        <v>11981</v>
      </c>
      <c r="BK13" s="18">
        <v>8390</v>
      </c>
      <c r="BL13" s="18">
        <v>8589</v>
      </c>
      <c r="BM13" s="18">
        <v>10168</v>
      </c>
      <c r="BN13" s="18">
        <v>11436</v>
      </c>
      <c r="BO13" s="18">
        <v>12383</v>
      </c>
      <c r="BP13" s="18">
        <v>12114</v>
      </c>
      <c r="BQ13" s="18">
        <v>11169</v>
      </c>
      <c r="BR13" s="18">
        <v>10600</v>
      </c>
      <c r="BS13" s="18">
        <v>11535</v>
      </c>
      <c r="BT13" s="18">
        <v>10221</v>
      </c>
      <c r="BU13" s="18">
        <v>9661</v>
      </c>
      <c r="BV13" s="18">
        <v>8334</v>
      </c>
      <c r="BW13" s="18">
        <v>7923</v>
      </c>
      <c r="BX13" s="18">
        <v>8104</v>
      </c>
      <c r="BY13" s="18">
        <v>8132</v>
      </c>
      <c r="BZ13" s="18">
        <v>9248</v>
      </c>
      <c r="CA13" s="18">
        <v>10955</v>
      </c>
      <c r="CB13" s="18">
        <v>10936</v>
      </c>
      <c r="CC13" s="18">
        <v>11136</v>
      </c>
      <c r="CD13" s="18">
        <v>12464</v>
      </c>
      <c r="CE13" s="18">
        <v>10159</v>
      </c>
      <c r="CF13" s="18">
        <v>9416</v>
      </c>
      <c r="CG13" s="18">
        <v>10310</v>
      </c>
      <c r="CH13" s="18">
        <v>9203</v>
      </c>
      <c r="CI13" s="18">
        <v>8586</v>
      </c>
      <c r="CJ13" s="18">
        <v>9248</v>
      </c>
      <c r="CK13" s="18">
        <v>8252</v>
      </c>
      <c r="CL13" s="18">
        <v>9714</v>
      </c>
      <c r="CM13" s="18">
        <v>12011</v>
      </c>
      <c r="CN13" s="18">
        <v>12137</v>
      </c>
      <c r="CO13" s="18">
        <v>16095</v>
      </c>
      <c r="CP13" s="18">
        <v>14299</v>
      </c>
      <c r="CQ13" s="18">
        <v>15269</v>
      </c>
      <c r="CR13" s="18">
        <v>13974</v>
      </c>
      <c r="CS13" s="18">
        <v>12253</v>
      </c>
      <c r="CT13" s="18">
        <v>11931</v>
      </c>
      <c r="CU13" s="18">
        <v>9744</v>
      </c>
      <c r="CV13" s="18">
        <v>9304</v>
      </c>
      <c r="CW13" s="18">
        <v>16918</v>
      </c>
      <c r="CX13" s="18">
        <v>15663</v>
      </c>
      <c r="CY13" s="18">
        <v>17750</v>
      </c>
      <c r="CZ13" s="18">
        <v>16435</v>
      </c>
      <c r="DA13" s="18">
        <v>15761</v>
      </c>
      <c r="DB13" s="18">
        <v>13204</v>
      </c>
      <c r="DC13" s="18">
        <v>13352</v>
      </c>
      <c r="DD13" s="18">
        <v>12750</v>
      </c>
      <c r="DE13" s="18">
        <v>12061</v>
      </c>
      <c r="DF13" s="18">
        <v>10998</v>
      </c>
      <c r="DG13" s="18">
        <v>10787</v>
      </c>
      <c r="DH13" s="18">
        <v>13174</v>
      </c>
      <c r="DI13" s="18">
        <v>13820</v>
      </c>
      <c r="DJ13" s="18">
        <v>16465</v>
      </c>
      <c r="DK13" s="18">
        <v>21157</v>
      </c>
      <c r="DL13" s="18"/>
    </row>
    <row r="14" spans="1:116" ht="15.75" x14ac:dyDescent="0.25">
      <c r="A14" s="12">
        <f t="shared" si="23"/>
        <v>9</v>
      </c>
      <c r="B14" s="23" t="s">
        <v>14</v>
      </c>
      <c r="C14" s="27">
        <f>C13/C12*100%</f>
        <v>0.95069963024722681</v>
      </c>
      <c r="D14" s="15"/>
      <c r="E14" s="27">
        <f>E13/E12*100%</f>
        <v>0.90107618843988313</v>
      </c>
      <c r="F14" s="15"/>
      <c r="G14" s="27">
        <f>G13/G12*100%</f>
        <v>0.95379108363163034</v>
      </c>
      <c r="H14" s="15"/>
      <c r="I14" s="27">
        <f>I13/I12*100%</f>
        <v>0.98046496609622213</v>
      </c>
      <c r="J14" s="22"/>
      <c r="K14" s="27">
        <f>K13/K12*100%</f>
        <v>0.98868724958755594</v>
      </c>
      <c r="L14" s="22"/>
      <c r="M14" s="27">
        <f>M13/M12*100%</f>
        <v>0.99686609686609684</v>
      </c>
      <c r="N14" s="22"/>
      <c r="O14" s="27">
        <f>O13/O12*100%</f>
        <v>0.84436493738819318</v>
      </c>
      <c r="P14" s="22"/>
      <c r="Q14" s="27">
        <f>Q13/Q12*100%</f>
        <v>0.98511883262298638</v>
      </c>
      <c r="R14" s="22"/>
      <c r="S14" s="27">
        <f>S13/S12*100%</f>
        <v>0.98236595987720421</v>
      </c>
      <c r="T14" s="22"/>
      <c r="U14" s="27">
        <f>U13/U12*100%</f>
        <v>0.80962758797512979</v>
      </c>
      <c r="V14" s="22"/>
      <c r="W14" s="15"/>
      <c r="X14" s="22"/>
      <c r="Y14" s="15"/>
      <c r="Z14" s="22"/>
      <c r="AA14" s="15"/>
      <c r="AB14" s="22"/>
      <c r="AC14" s="15"/>
      <c r="AD14" s="22"/>
      <c r="AE14" s="15"/>
      <c r="AF14" s="22"/>
      <c r="AG14" s="15">
        <f>AG13/AG12</f>
        <v>0.83801215052834643</v>
      </c>
      <c r="AH14" s="15">
        <f>AH13/AH12</f>
        <v>0.89421514029150795</v>
      </c>
      <c r="AI14" s="15">
        <f>AI13/AI12</f>
        <v>0.92631718646317185</v>
      </c>
      <c r="AJ14" s="15">
        <f>AJ13/AJ12</f>
        <v>0.9642396043945336</v>
      </c>
      <c r="AK14" s="15">
        <f>AK13/AK12</f>
        <v>0.97018933434600985</v>
      </c>
      <c r="AL14" s="15">
        <v>0.96909999999999996</v>
      </c>
      <c r="AM14" s="15">
        <v>0.97290049845416116</v>
      </c>
      <c r="AN14" s="15">
        <f t="shared" ref="AN14:AS14" si="72">AN13/AN12</f>
        <v>0.92431489336100836</v>
      </c>
      <c r="AO14" s="15">
        <f t="shared" si="72"/>
        <v>0.98216484328279452</v>
      </c>
      <c r="AP14" s="15">
        <f t="shared" si="72"/>
        <v>0.98249782477745795</v>
      </c>
      <c r="AQ14" s="15">
        <f t="shared" si="72"/>
        <v>0.9825836132612823</v>
      </c>
      <c r="AR14" s="15">
        <f t="shared" si="72"/>
        <v>0.30980751604032997</v>
      </c>
      <c r="AS14" s="15">
        <f t="shared" si="72"/>
        <v>0.94118859852584913</v>
      </c>
      <c r="AT14" s="15">
        <f t="shared" ref="AT14:AZ14" si="73">AT13/AT12</f>
        <v>0.87406358756562264</v>
      </c>
      <c r="AU14" s="15">
        <f t="shared" si="73"/>
        <v>0.92271631395660325</v>
      </c>
      <c r="AV14" s="15">
        <f t="shared" si="73"/>
        <v>0.96826182229447944</v>
      </c>
      <c r="AW14" s="15">
        <f t="shared" si="73"/>
        <v>0.97798198526066782</v>
      </c>
      <c r="AX14" s="15">
        <f t="shared" si="73"/>
        <v>0.94790159189580314</v>
      </c>
      <c r="AY14" s="15">
        <f t="shared" si="73"/>
        <v>0.95341128809501885</v>
      </c>
      <c r="AZ14" s="15">
        <f t="shared" si="73"/>
        <v>0.98091754004350407</v>
      </c>
      <c r="BA14" s="15">
        <f t="shared" ref="BA14:BH14" si="74">BA13/BA12</f>
        <v>0.9864485209056354</v>
      </c>
      <c r="BB14" s="15">
        <f t="shared" si="74"/>
        <v>0.99324267252301712</v>
      </c>
      <c r="BC14" s="15">
        <f t="shared" si="74"/>
        <v>1</v>
      </c>
      <c r="BD14" s="15">
        <f t="shared" si="74"/>
        <v>1</v>
      </c>
      <c r="BE14" s="15">
        <f t="shared" si="74"/>
        <v>0.98226180675099173</v>
      </c>
      <c r="BF14" s="15">
        <f t="shared" si="74"/>
        <v>1</v>
      </c>
      <c r="BG14" s="15">
        <f t="shared" si="74"/>
        <v>1</v>
      </c>
      <c r="BH14" s="15">
        <f t="shared" si="74"/>
        <v>1</v>
      </c>
      <c r="BI14" s="15">
        <f t="shared" ref="BI14:BO14" si="75">BI13/BI12</f>
        <v>1</v>
      </c>
      <c r="BJ14" s="15">
        <f t="shared" si="75"/>
        <v>1</v>
      </c>
      <c r="BK14" s="15">
        <f t="shared" si="75"/>
        <v>1</v>
      </c>
      <c r="BL14" s="15">
        <f t="shared" si="75"/>
        <v>0.97835744390021639</v>
      </c>
      <c r="BM14" s="15">
        <f t="shared" si="75"/>
        <v>0.99384224415990619</v>
      </c>
      <c r="BN14" s="15">
        <f t="shared" si="75"/>
        <v>1</v>
      </c>
      <c r="BO14" s="15">
        <f t="shared" si="75"/>
        <v>1</v>
      </c>
      <c r="BP14" s="15">
        <f t="shared" ref="BP14:BV14" si="76">BP13/BP12</f>
        <v>1</v>
      </c>
      <c r="BQ14" s="15">
        <f t="shared" si="76"/>
        <v>1</v>
      </c>
      <c r="BR14" s="15">
        <f t="shared" si="76"/>
        <v>1</v>
      </c>
      <c r="BS14" s="15">
        <f t="shared" si="76"/>
        <v>1</v>
      </c>
      <c r="BT14" s="15">
        <f t="shared" si="76"/>
        <v>1</v>
      </c>
      <c r="BU14" s="15">
        <f t="shared" si="76"/>
        <v>1</v>
      </c>
      <c r="BV14" s="15">
        <f t="shared" si="76"/>
        <v>1</v>
      </c>
      <c r="BW14" s="15">
        <f t="shared" ref="BW14:CB14" si="77">BW13/BW12</f>
        <v>1</v>
      </c>
      <c r="BX14" s="15">
        <f t="shared" si="77"/>
        <v>1</v>
      </c>
      <c r="BY14" s="15">
        <f t="shared" si="77"/>
        <v>1</v>
      </c>
      <c r="BZ14" s="15">
        <f t="shared" si="77"/>
        <v>1</v>
      </c>
      <c r="CA14" s="15">
        <f t="shared" si="77"/>
        <v>1</v>
      </c>
      <c r="CB14" s="15">
        <f t="shared" si="77"/>
        <v>1</v>
      </c>
      <c r="CC14" s="15">
        <f t="shared" ref="CC14:CD14" si="78">CC13/CC12</f>
        <v>1</v>
      </c>
      <c r="CD14" s="15">
        <f t="shared" si="78"/>
        <v>1</v>
      </c>
      <c r="CE14" s="15">
        <f t="shared" ref="CE14:CF14" si="79">CE13/CE12</f>
        <v>0.97645136485966932</v>
      </c>
      <c r="CF14" s="15">
        <f t="shared" si="79"/>
        <v>1</v>
      </c>
      <c r="CG14" s="15">
        <f t="shared" ref="CG14:CH14" si="80">CG13/CG12</f>
        <v>1</v>
      </c>
      <c r="CH14" s="15">
        <f t="shared" si="80"/>
        <v>1</v>
      </c>
      <c r="CI14" s="15">
        <f t="shared" ref="CI14:CJ14" si="81">CI13/CI12</f>
        <v>1</v>
      </c>
      <c r="CJ14" s="15">
        <f t="shared" si="81"/>
        <v>1</v>
      </c>
      <c r="CK14" s="15">
        <f t="shared" ref="CK14" si="82">CK13/CK12</f>
        <v>1</v>
      </c>
      <c r="CL14" s="15">
        <f t="shared" ref="CL14:CM14" si="83">CL13/CL12</f>
        <v>1</v>
      </c>
      <c r="CM14" s="15">
        <f t="shared" si="83"/>
        <v>1</v>
      </c>
      <c r="CN14" s="15">
        <f t="shared" ref="CN14:CP14" si="84">CN13/CN12</f>
        <v>1</v>
      </c>
      <c r="CO14" s="15">
        <f t="shared" si="84"/>
        <v>1</v>
      </c>
      <c r="CP14" s="15">
        <f t="shared" si="84"/>
        <v>1</v>
      </c>
      <c r="CQ14" s="15">
        <f t="shared" ref="CQ14:CR14" si="85">CQ13/CQ12</f>
        <v>1</v>
      </c>
      <c r="CR14" s="15">
        <f t="shared" si="85"/>
        <v>1</v>
      </c>
      <c r="CS14" s="15">
        <f t="shared" ref="CS14:CT14" si="86">CS13/CS12</f>
        <v>1</v>
      </c>
      <c r="CT14" s="15">
        <f t="shared" si="86"/>
        <v>1</v>
      </c>
      <c r="CU14" s="15">
        <f t="shared" ref="CU14:CV14" si="87">CU13/CU12</f>
        <v>1</v>
      </c>
      <c r="CV14" s="15">
        <f t="shared" si="87"/>
        <v>1</v>
      </c>
      <c r="CW14" s="15">
        <f t="shared" ref="CW14:CX14" si="88">CW13/CW12</f>
        <v>1</v>
      </c>
      <c r="CX14" s="15">
        <f t="shared" si="88"/>
        <v>1</v>
      </c>
      <c r="CY14" s="15">
        <f t="shared" ref="CY14:CZ14" si="89">CY13/CY12</f>
        <v>1</v>
      </c>
      <c r="CZ14" s="15">
        <f t="shared" si="89"/>
        <v>1</v>
      </c>
      <c r="DA14" s="15">
        <f t="shared" ref="DA14:DB14" si="90">DA13/DA12</f>
        <v>1</v>
      </c>
      <c r="DB14" s="15">
        <f t="shared" si="90"/>
        <v>1</v>
      </c>
      <c r="DC14" s="15">
        <f t="shared" ref="DC14:DD14" si="91">DC13/DC12</f>
        <v>1</v>
      </c>
      <c r="DD14" s="15">
        <f t="shared" si="91"/>
        <v>1</v>
      </c>
      <c r="DE14" s="15">
        <f t="shared" ref="DE14:DF14" si="92">DE13/DE12</f>
        <v>1</v>
      </c>
      <c r="DF14" s="15">
        <f t="shared" si="92"/>
        <v>1</v>
      </c>
      <c r="DG14" s="15">
        <f t="shared" ref="DG14:DH14" si="93">DG13/DG12</f>
        <v>1</v>
      </c>
      <c r="DH14" s="15">
        <f t="shared" si="93"/>
        <v>1</v>
      </c>
      <c r="DI14" s="15">
        <f t="shared" ref="DI14:DJ14" si="94">DI13/DI12</f>
        <v>1</v>
      </c>
      <c r="DJ14" s="15">
        <f t="shared" si="94"/>
        <v>1</v>
      </c>
      <c r="DK14" s="15">
        <f t="shared" ref="DK14" si="95">DK13/DK12</f>
        <v>1</v>
      </c>
      <c r="DL14" s="37"/>
    </row>
    <row r="15" spans="1:116" ht="15.75" x14ac:dyDescent="0.25">
      <c r="A15" s="12">
        <f t="shared" si="23"/>
        <v>10</v>
      </c>
      <c r="B15" s="13" t="s">
        <v>15</v>
      </c>
      <c r="C15" s="27"/>
      <c r="D15" s="15"/>
      <c r="E15" s="27"/>
      <c r="F15" s="15"/>
      <c r="G15" s="27"/>
      <c r="H15" s="15"/>
      <c r="I15" s="27"/>
      <c r="J15" s="22"/>
      <c r="K15" s="27"/>
      <c r="L15" s="22"/>
      <c r="M15" s="27"/>
      <c r="N15" s="22"/>
      <c r="O15" s="27"/>
      <c r="P15" s="22"/>
      <c r="Q15" s="27"/>
      <c r="R15" s="22"/>
      <c r="S15" s="27"/>
      <c r="T15" s="22"/>
      <c r="U15" s="27"/>
      <c r="V15" s="22"/>
      <c r="W15" s="15"/>
      <c r="X15" s="22"/>
      <c r="Y15" s="15"/>
      <c r="Z15" s="22"/>
      <c r="AA15" s="15"/>
      <c r="AB15" s="22"/>
      <c r="AC15" s="15"/>
      <c r="AD15" s="22"/>
      <c r="AE15" s="15"/>
      <c r="AF15" s="22"/>
      <c r="AG15" s="18">
        <v>102</v>
      </c>
      <c r="AH15" s="18">
        <v>87</v>
      </c>
      <c r="AI15" s="18">
        <v>80</v>
      </c>
      <c r="AJ15" s="18">
        <v>64</v>
      </c>
      <c r="AK15" s="18">
        <v>88</v>
      </c>
      <c r="AL15" s="18">
        <v>103</v>
      </c>
      <c r="AM15" s="18">
        <v>94</v>
      </c>
      <c r="AN15" s="18">
        <v>111</v>
      </c>
      <c r="AO15" s="18">
        <v>113</v>
      </c>
      <c r="AP15" s="18">
        <v>91</v>
      </c>
      <c r="AQ15" s="18">
        <v>125</v>
      </c>
      <c r="AR15" s="18">
        <v>14</v>
      </c>
      <c r="AS15" s="18">
        <v>131</v>
      </c>
      <c r="AT15" s="18">
        <v>137</v>
      </c>
      <c r="AU15" s="18">
        <v>199</v>
      </c>
      <c r="AV15" s="18">
        <v>158</v>
      </c>
      <c r="AW15" s="18">
        <v>179</v>
      </c>
      <c r="AX15" s="18">
        <v>207</v>
      </c>
      <c r="AY15" s="18">
        <v>181</v>
      </c>
      <c r="AZ15" s="18">
        <v>193</v>
      </c>
      <c r="BA15" s="18">
        <v>182</v>
      </c>
      <c r="BB15" s="18">
        <v>127</v>
      </c>
      <c r="BC15" s="18">
        <v>74</v>
      </c>
      <c r="BD15" s="18">
        <v>99</v>
      </c>
      <c r="BE15" s="18">
        <v>109</v>
      </c>
      <c r="BF15" s="18">
        <v>124</v>
      </c>
      <c r="BG15" s="18">
        <v>110</v>
      </c>
      <c r="BH15" s="18">
        <v>104</v>
      </c>
      <c r="BI15" s="18">
        <v>143</v>
      </c>
      <c r="BJ15" s="18">
        <v>154</v>
      </c>
      <c r="BK15" s="18">
        <v>137</v>
      </c>
      <c r="BL15" s="18">
        <v>136</v>
      </c>
      <c r="BM15" s="18">
        <v>143</v>
      </c>
      <c r="BN15" s="18">
        <v>147</v>
      </c>
      <c r="BO15" s="18">
        <v>176</v>
      </c>
      <c r="BP15" s="18">
        <v>156</v>
      </c>
      <c r="BQ15" s="18">
        <v>132</v>
      </c>
      <c r="BR15" s="18">
        <v>136</v>
      </c>
      <c r="BS15" s="18">
        <v>142</v>
      </c>
      <c r="BT15" s="18">
        <v>122</v>
      </c>
      <c r="BU15" s="18">
        <v>158</v>
      </c>
      <c r="BV15" s="18">
        <v>189</v>
      </c>
      <c r="BW15" s="18">
        <v>160</v>
      </c>
      <c r="BX15" s="18">
        <v>148</v>
      </c>
      <c r="BY15" s="18">
        <v>146</v>
      </c>
      <c r="BZ15" s="18">
        <v>157</v>
      </c>
      <c r="CA15" s="18">
        <v>117</v>
      </c>
      <c r="CB15" s="18">
        <v>126</v>
      </c>
      <c r="CC15" s="18">
        <v>158</v>
      </c>
      <c r="CD15" s="18">
        <v>112</v>
      </c>
      <c r="CE15" s="18">
        <v>80</v>
      </c>
      <c r="CF15" s="18">
        <v>79</v>
      </c>
      <c r="CG15" s="18">
        <v>114</v>
      </c>
      <c r="CH15" s="18">
        <v>91</v>
      </c>
      <c r="CI15" s="18">
        <v>154</v>
      </c>
      <c r="CJ15" s="18">
        <v>142</v>
      </c>
      <c r="CK15" s="18">
        <v>148</v>
      </c>
      <c r="CL15" s="18">
        <v>151</v>
      </c>
      <c r="CM15" s="18">
        <v>147</v>
      </c>
      <c r="CN15" s="18">
        <v>116</v>
      </c>
      <c r="CO15" s="18">
        <v>132</v>
      </c>
      <c r="CP15" s="18">
        <v>142</v>
      </c>
      <c r="CQ15" s="18">
        <v>142</v>
      </c>
      <c r="CR15" s="18">
        <v>117</v>
      </c>
      <c r="CS15" s="18">
        <v>128</v>
      </c>
      <c r="CT15" s="18">
        <v>129</v>
      </c>
      <c r="CU15" s="18">
        <v>184</v>
      </c>
      <c r="CV15" s="18">
        <v>130</v>
      </c>
      <c r="CW15" s="18">
        <v>136</v>
      </c>
      <c r="CX15" s="18">
        <v>157</v>
      </c>
      <c r="CY15" s="18">
        <v>139</v>
      </c>
      <c r="CZ15" s="18">
        <v>169</v>
      </c>
      <c r="DA15" s="18">
        <v>183</v>
      </c>
      <c r="DB15" s="18">
        <v>138</v>
      </c>
      <c r="DC15" s="18">
        <v>128</v>
      </c>
      <c r="DD15" s="18">
        <v>118</v>
      </c>
      <c r="DE15" s="18">
        <v>146</v>
      </c>
      <c r="DF15" s="18">
        <v>152</v>
      </c>
      <c r="DG15" s="18">
        <v>158</v>
      </c>
      <c r="DH15" s="18">
        <v>173</v>
      </c>
      <c r="DI15" s="18">
        <v>168</v>
      </c>
      <c r="DJ15" s="18">
        <v>149</v>
      </c>
      <c r="DK15" s="18">
        <v>163</v>
      </c>
      <c r="DL15" s="37"/>
    </row>
    <row r="16" spans="1:116" ht="15.75" x14ac:dyDescent="0.25">
      <c r="A16" s="12">
        <f t="shared" si="23"/>
        <v>11</v>
      </c>
      <c r="B16" s="13" t="s">
        <v>16</v>
      </c>
      <c r="C16" s="27"/>
      <c r="D16" s="15"/>
      <c r="E16" s="27"/>
      <c r="F16" s="15"/>
      <c r="G16" s="27"/>
      <c r="H16" s="15"/>
      <c r="I16" s="27"/>
      <c r="J16" s="22"/>
      <c r="K16" s="27"/>
      <c r="L16" s="22"/>
      <c r="M16" s="27"/>
      <c r="N16" s="22"/>
      <c r="O16" s="27"/>
      <c r="P16" s="22"/>
      <c r="Q16" s="27"/>
      <c r="R16" s="22"/>
      <c r="S16" s="27"/>
      <c r="T16" s="22"/>
      <c r="U16" s="27"/>
      <c r="V16" s="22"/>
      <c r="W16" s="15"/>
      <c r="X16" s="22"/>
      <c r="Y16" s="15"/>
      <c r="Z16" s="22"/>
      <c r="AA16" s="15"/>
      <c r="AB16" s="22"/>
      <c r="AC16" s="15"/>
      <c r="AD16" s="22"/>
      <c r="AE16" s="15"/>
      <c r="AF16" s="22"/>
      <c r="AG16" s="18">
        <v>95</v>
      </c>
      <c r="AH16" s="18">
        <v>85</v>
      </c>
      <c r="AI16" s="18">
        <v>80</v>
      </c>
      <c r="AJ16" s="18">
        <v>62</v>
      </c>
      <c r="AK16" s="18">
        <v>85</v>
      </c>
      <c r="AL16" s="18">
        <v>103</v>
      </c>
      <c r="AM16" s="18">
        <v>94</v>
      </c>
      <c r="AN16" s="18">
        <v>109</v>
      </c>
      <c r="AO16" s="18">
        <v>113</v>
      </c>
      <c r="AP16" s="18">
        <v>90</v>
      </c>
      <c r="AQ16" s="18">
        <v>123</v>
      </c>
      <c r="AR16" s="18">
        <v>14</v>
      </c>
      <c r="AS16" s="18">
        <v>131</v>
      </c>
      <c r="AT16" s="18">
        <v>135</v>
      </c>
      <c r="AU16" s="18">
        <v>198</v>
      </c>
      <c r="AV16" s="18">
        <v>128</v>
      </c>
      <c r="AW16" s="18">
        <v>177</v>
      </c>
      <c r="AX16" s="18">
        <v>201</v>
      </c>
      <c r="AY16" s="18">
        <v>168</v>
      </c>
      <c r="AZ16" s="18">
        <v>174</v>
      </c>
      <c r="BA16" s="18">
        <v>162</v>
      </c>
      <c r="BB16" s="18">
        <v>127</v>
      </c>
      <c r="BC16" s="18">
        <v>65</v>
      </c>
      <c r="BD16" s="18">
        <v>93</v>
      </c>
      <c r="BE16" s="18">
        <v>96</v>
      </c>
      <c r="BF16" s="18">
        <v>117</v>
      </c>
      <c r="BG16" s="18">
        <v>103</v>
      </c>
      <c r="BH16" s="18">
        <v>100</v>
      </c>
      <c r="BI16" s="18">
        <v>135</v>
      </c>
      <c r="BJ16" s="18">
        <v>143</v>
      </c>
      <c r="BK16" s="18">
        <v>131</v>
      </c>
      <c r="BL16" s="18">
        <v>128</v>
      </c>
      <c r="BM16" s="18">
        <v>129</v>
      </c>
      <c r="BN16" s="18">
        <v>135</v>
      </c>
      <c r="BO16" s="18">
        <v>165</v>
      </c>
      <c r="BP16" s="18">
        <v>142</v>
      </c>
      <c r="BQ16" s="18">
        <v>130</v>
      </c>
      <c r="BR16" s="18">
        <v>134</v>
      </c>
      <c r="BS16" s="18">
        <v>125</v>
      </c>
      <c r="BT16" s="18">
        <v>113</v>
      </c>
      <c r="BU16" s="18">
        <v>144</v>
      </c>
      <c r="BV16" s="18">
        <v>186</v>
      </c>
      <c r="BW16" s="18">
        <v>157</v>
      </c>
      <c r="BX16" s="18">
        <v>147</v>
      </c>
      <c r="BY16" s="18">
        <v>138</v>
      </c>
      <c r="BZ16" s="18">
        <v>138</v>
      </c>
      <c r="CA16" s="18">
        <v>108</v>
      </c>
      <c r="CB16" s="18">
        <v>120</v>
      </c>
      <c r="CC16" s="18">
        <v>120</v>
      </c>
      <c r="CD16" s="18">
        <v>107</v>
      </c>
      <c r="CE16" s="18">
        <v>72</v>
      </c>
      <c r="CF16" s="18">
        <v>72</v>
      </c>
      <c r="CG16" s="18">
        <v>109</v>
      </c>
      <c r="CH16" s="18">
        <v>86</v>
      </c>
      <c r="CI16" s="18">
        <v>137</v>
      </c>
      <c r="CJ16" s="18">
        <v>132</v>
      </c>
      <c r="CK16" s="18">
        <v>139</v>
      </c>
      <c r="CL16" s="18">
        <v>140</v>
      </c>
      <c r="CM16" s="18">
        <v>138</v>
      </c>
      <c r="CN16" s="18">
        <v>105</v>
      </c>
      <c r="CO16" s="18">
        <v>125</v>
      </c>
      <c r="CP16" s="18">
        <v>142</v>
      </c>
      <c r="CQ16" s="18">
        <v>142</v>
      </c>
      <c r="CR16" s="18">
        <v>117</v>
      </c>
      <c r="CS16" s="18">
        <v>128</v>
      </c>
      <c r="CT16" s="18">
        <v>129</v>
      </c>
      <c r="CU16" s="18">
        <v>184</v>
      </c>
      <c r="CV16" s="18">
        <v>130</v>
      </c>
      <c r="CW16" s="18">
        <v>136</v>
      </c>
      <c r="CX16" s="18">
        <v>157</v>
      </c>
      <c r="CY16" s="18">
        <v>139</v>
      </c>
      <c r="CZ16" s="18">
        <v>169</v>
      </c>
      <c r="DA16" s="18">
        <v>183</v>
      </c>
      <c r="DB16" s="18">
        <v>138</v>
      </c>
      <c r="DC16" s="18">
        <v>128</v>
      </c>
      <c r="DD16" s="18">
        <v>118</v>
      </c>
      <c r="DE16" s="18">
        <v>146</v>
      </c>
      <c r="DF16" s="18">
        <v>152</v>
      </c>
      <c r="DG16" s="18">
        <v>158</v>
      </c>
      <c r="DH16" s="18">
        <v>173</v>
      </c>
      <c r="DI16" s="18">
        <v>168</v>
      </c>
      <c r="DJ16" s="18">
        <v>149</v>
      </c>
      <c r="DK16" s="18">
        <v>163</v>
      </c>
      <c r="DL16" s="37"/>
    </row>
    <row r="17" spans="1:116" ht="15.75" x14ac:dyDescent="0.25">
      <c r="A17" s="12">
        <f t="shared" si="23"/>
        <v>12</v>
      </c>
      <c r="B17" s="23" t="s">
        <v>17</v>
      </c>
      <c r="C17" s="27"/>
      <c r="D17" s="15"/>
      <c r="E17" s="27"/>
      <c r="F17" s="15"/>
      <c r="G17" s="27"/>
      <c r="H17" s="15"/>
      <c r="I17" s="27"/>
      <c r="J17" s="22"/>
      <c r="K17" s="27"/>
      <c r="L17" s="22"/>
      <c r="M17" s="27"/>
      <c r="N17" s="22"/>
      <c r="O17" s="27"/>
      <c r="P17" s="22"/>
      <c r="Q17" s="27"/>
      <c r="R17" s="22"/>
      <c r="S17" s="27"/>
      <c r="T17" s="22"/>
      <c r="U17" s="27"/>
      <c r="V17" s="22"/>
      <c r="W17" s="15"/>
      <c r="X17" s="22"/>
      <c r="Y17" s="15"/>
      <c r="Z17" s="22"/>
      <c r="AA17" s="15"/>
      <c r="AB17" s="22"/>
      <c r="AC17" s="15"/>
      <c r="AD17" s="22"/>
      <c r="AE17" s="15"/>
      <c r="AF17" s="22"/>
      <c r="AG17" s="28">
        <f>AG16/AG15</f>
        <v>0.93137254901960786</v>
      </c>
      <c r="AH17" s="28">
        <f>AH16/AH15</f>
        <v>0.97701149425287359</v>
      </c>
      <c r="AI17" s="28">
        <f>AI16/AI15</f>
        <v>1</v>
      </c>
      <c r="AJ17" s="28">
        <f>AJ16/AJ15</f>
        <v>0.96875</v>
      </c>
      <c r="AK17" s="28">
        <f>AK16/AK15</f>
        <v>0.96590909090909094</v>
      </c>
      <c r="AL17" s="28">
        <v>1</v>
      </c>
      <c r="AM17" s="28">
        <v>1</v>
      </c>
      <c r="AN17" s="28">
        <f t="shared" ref="AN17:AS17" si="96">AN16/AN15</f>
        <v>0.98198198198198194</v>
      </c>
      <c r="AO17" s="28">
        <f t="shared" si="96"/>
        <v>1</v>
      </c>
      <c r="AP17" s="28">
        <f t="shared" si="96"/>
        <v>0.98901098901098905</v>
      </c>
      <c r="AQ17" s="28">
        <f t="shared" si="96"/>
        <v>0.98399999999999999</v>
      </c>
      <c r="AR17" s="28">
        <f t="shared" si="96"/>
        <v>1</v>
      </c>
      <c r="AS17" s="28">
        <f t="shared" si="96"/>
        <v>1</v>
      </c>
      <c r="AT17" s="28">
        <f t="shared" ref="AT17:AZ17" si="97">AT16/AT15</f>
        <v>0.98540145985401462</v>
      </c>
      <c r="AU17" s="28">
        <f t="shared" si="97"/>
        <v>0.99497487437185927</v>
      </c>
      <c r="AV17" s="28">
        <f t="shared" si="97"/>
        <v>0.810126582278481</v>
      </c>
      <c r="AW17" s="28">
        <f t="shared" si="97"/>
        <v>0.98882681564245811</v>
      </c>
      <c r="AX17" s="28">
        <f t="shared" si="97"/>
        <v>0.97101449275362317</v>
      </c>
      <c r="AY17" s="28">
        <f t="shared" si="97"/>
        <v>0.92817679558011046</v>
      </c>
      <c r="AZ17" s="28">
        <f t="shared" si="97"/>
        <v>0.9015544041450777</v>
      </c>
      <c r="BA17" s="28">
        <f t="shared" ref="BA17:BH17" si="98">BA16/BA15</f>
        <v>0.89010989010989006</v>
      </c>
      <c r="BB17" s="28">
        <f t="shared" si="98"/>
        <v>1</v>
      </c>
      <c r="BC17" s="28">
        <f t="shared" si="98"/>
        <v>0.8783783783783784</v>
      </c>
      <c r="BD17" s="28">
        <f t="shared" si="98"/>
        <v>0.93939393939393945</v>
      </c>
      <c r="BE17" s="28">
        <f t="shared" si="98"/>
        <v>0.88073394495412849</v>
      </c>
      <c r="BF17" s="28">
        <f t="shared" si="98"/>
        <v>0.94354838709677424</v>
      </c>
      <c r="BG17" s="28">
        <f t="shared" si="98"/>
        <v>0.9363636363636364</v>
      </c>
      <c r="BH17" s="28">
        <f t="shared" si="98"/>
        <v>0.96153846153846156</v>
      </c>
      <c r="BI17" s="28">
        <f t="shared" ref="BI17:BO17" si="99">BI16/BI15</f>
        <v>0.94405594405594406</v>
      </c>
      <c r="BJ17" s="28">
        <f t="shared" si="99"/>
        <v>0.9285714285714286</v>
      </c>
      <c r="BK17" s="28">
        <f t="shared" si="99"/>
        <v>0.95620437956204385</v>
      </c>
      <c r="BL17" s="28">
        <f t="shared" si="99"/>
        <v>0.94117647058823528</v>
      </c>
      <c r="BM17" s="28">
        <f t="shared" si="99"/>
        <v>0.90209790209790208</v>
      </c>
      <c r="BN17" s="28">
        <f t="shared" si="99"/>
        <v>0.91836734693877553</v>
      </c>
      <c r="BO17" s="28">
        <f t="shared" si="99"/>
        <v>0.9375</v>
      </c>
      <c r="BP17" s="28">
        <f t="shared" ref="BP17:BV17" si="100">BP16/BP15</f>
        <v>0.91025641025641024</v>
      </c>
      <c r="BQ17" s="28">
        <f t="shared" si="100"/>
        <v>0.98484848484848486</v>
      </c>
      <c r="BR17" s="28">
        <f t="shared" si="100"/>
        <v>0.98529411764705888</v>
      </c>
      <c r="BS17" s="28">
        <f t="shared" si="100"/>
        <v>0.88028169014084512</v>
      </c>
      <c r="BT17" s="28">
        <f t="shared" si="100"/>
        <v>0.92622950819672134</v>
      </c>
      <c r="BU17" s="28">
        <f t="shared" si="100"/>
        <v>0.91139240506329111</v>
      </c>
      <c r="BV17" s="28">
        <f t="shared" si="100"/>
        <v>0.98412698412698407</v>
      </c>
      <c r="BW17" s="28">
        <f t="shared" ref="BW17:CB17" si="101">BW16/BW15</f>
        <v>0.98124999999999996</v>
      </c>
      <c r="BX17" s="28">
        <f t="shared" si="101"/>
        <v>0.9932432432432432</v>
      </c>
      <c r="BY17" s="28">
        <f t="shared" si="101"/>
        <v>0.9452054794520548</v>
      </c>
      <c r="BZ17" s="28">
        <f t="shared" si="101"/>
        <v>0.87898089171974525</v>
      </c>
      <c r="CA17" s="28">
        <f t="shared" si="101"/>
        <v>0.92307692307692313</v>
      </c>
      <c r="CB17" s="28">
        <f t="shared" si="101"/>
        <v>0.95238095238095233</v>
      </c>
      <c r="CC17" s="28">
        <f t="shared" ref="CC17:CD17" si="102">CC16/CC15</f>
        <v>0.759493670886076</v>
      </c>
      <c r="CD17" s="28">
        <f t="shared" si="102"/>
        <v>0.9553571428571429</v>
      </c>
      <c r="CE17" s="28">
        <f t="shared" ref="CE17:CF17" si="103">CE16/CE15</f>
        <v>0.9</v>
      </c>
      <c r="CF17" s="28">
        <f t="shared" si="103"/>
        <v>0.91139240506329111</v>
      </c>
      <c r="CG17" s="28">
        <f t="shared" ref="CG17:CH17" si="104">CG16/CG15</f>
        <v>0.95614035087719296</v>
      </c>
      <c r="CH17" s="28">
        <f t="shared" si="104"/>
        <v>0.94505494505494503</v>
      </c>
      <c r="CI17" s="28">
        <f t="shared" ref="CI17:CJ17" si="105">CI16/CI15</f>
        <v>0.88961038961038963</v>
      </c>
      <c r="CJ17" s="28">
        <f t="shared" si="105"/>
        <v>0.92957746478873238</v>
      </c>
      <c r="CK17" s="28">
        <f t="shared" ref="CK17" si="106">CK16/CK15</f>
        <v>0.93918918918918914</v>
      </c>
      <c r="CL17" s="28">
        <f t="shared" ref="CL17:CM17" si="107">CL16/CL15</f>
        <v>0.92715231788079466</v>
      </c>
      <c r="CM17" s="28">
        <f t="shared" si="107"/>
        <v>0.93877551020408168</v>
      </c>
      <c r="CN17" s="28">
        <f t="shared" ref="CN17:CP17" si="108">CN16/CN15</f>
        <v>0.90517241379310343</v>
      </c>
      <c r="CO17" s="28">
        <f t="shared" si="108"/>
        <v>0.94696969696969702</v>
      </c>
      <c r="CP17" s="28">
        <f t="shared" si="108"/>
        <v>1</v>
      </c>
      <c r="CQ17" s="28">
        <f t="shared" ref="CQ17:CR17" si="109">CQ16/CQ15</f>
        <v>1</v>
      </c>
      <c r="CR17" s="28">
        <f t="shared" si="109"/>
        <v>1</v>
      </c>
      <c r="CS17" s="28">
        <f t="shared" ref="CS17:CT17" si="110">CS16/CS15</f>
        <v>1</v>
      </c>
      <c r="CT17" s="28">
        <f t="shared" si="110"/>
        <v>1</v>
      </c>
      <c r="CU17" s="28">
        <f t="shared" ref="CU17:CV17" si="111">CU16/CU15</f>
        <v>1</v>
      </c>
      <c r="CV17" s="28">
        <f t="shared" si="111"/>
        <v>1</v>
      </c>
      <c r="CW17" s="28">
        <f t="shared" ref="CW17:CX17" si="112">CW16/CW15</f>
        <v>1</v>
      </c>
      <c r="CX17" s="28">
        <f t="shared" si="112"/>
        <v>1</v>
      </c>
      <c r="CY17" s="28">
        <f t="shared" ref="CY17:CZ17" si="113">CY16/CY15</f>
        <v>1</v>
      </c>
      <c r="CZ17" s="28">
        <f t="shared" si="113"/>
        <v>1</v>
      </c>
      <c r="DA17" s="28">
        <f t="shared" ref="DA17:DB17" si="114">DA16/DA15</f>
        <v>1</v>
      </c>
      <c r="DB17" s="28">
        <f t="shared" si="114"/>
        <v>1</v>
      </c>
      <c r="DC17" s="28">
        <f t="shared" ref="DC17:DD17" si="115">DC16/DC15</f>
        <v>1</v>
      </c>
      <c r="DD17" s="28">
        <f t="shared" si="115"/>
        <v>1</v>
      </c>
      <c r="DE17" s="28">
        <f t="shared" ref="DE17:DF17" si="116">DE16/DE15</f>
        <v>1</v>
      </c>
      <c r="DF17" s="28">
        <f t="shared" si="116"/>
        <v>1</v>
      </c>
      <c r="DG17" s="28">
        <f t="shared" ref="DG17:DH17" si="117">DG16/DG15</f>
        <v>1</v>
      </c>
      <c r="DH17" s="28">
        <f t="shared" si="117"/>
        <v>1</v>
      </c>
      <c r="DI17" s="28">
        <f t="shared" ref="DI17:DJ17" si="118">DI16/DI15</f>
        <v>1</v>
      </c>
      <c r="DJ17" s="28">
        <f t="shared" si="118"/>
        <v>1</v>
      </c>
      <c r="DK17" s="28">
        <f t="shared" ref="DK17" si="119">DK16/DK15</f>
        <v>1</v>
      </c>
      <c r="DL17" s="37"/>
    </row>
    <row r="18" spans="1:116" ht="15.75" x14ac:dyDescent="0.25">
      <c r="A18" s="12">
        <f t="shared" si="23"/>
        <v>13</v>
      </c>
      <c r="B18" s="13" t="s">
        <v>18</v>
      </c>
      <c r="C18" s="25">
        <v>6100</v>
      </c>
      <c r="D18" s="15"/>
      <c r="E18" s="25">
        <v>4976</v>
      </c>
      <c r="F18" s="15"/>
      <c r="G18" s="25">
        <v>6260</v>
      </c>
      <c r="H18" s="15"/>
      <c r="I18" s="25">
        <v>6480</v>
      </c>
      <c r="J18" s="22"/>
      <c r="K18" s="25">
        <v>6112</v>
      </c>
      <c r="L18" s="22"/>
      <c r="M18" s="25">
        <v>6543</v>
      </c>
      <c r="N18" s="22"/>
      <c r="O18" s="25">
        <v>6894</v>
      </c>
      <c r="P18" s="22"/>
      <c r="Q18" s="26">
        <f>+(735*8)+685.37</f>
        <v>6565.37</v>
      </c>
      <c r="R18" s="22"/>
      <c r="S18" s="26">
        <v>6073.76</v>
      </c>
      <c r="T18" s="22"/>
      <c r="U18" s="26">
        <v>6357.5</v>
      </c>
      <c r="V18" s="22"/>
      <c r="W18" s="15"/>
      <c r="X18" s="22"/>
      <c r="Y18" s="15"/>
      <c r="Z18" s="22"/>
      <c r="AA18" s="15"/>
      <c r="AB18" s="22"/>
      <c r="AC18" s="15"/>
      <c r="AD18" s="22"/>
      <c r="AE18" s="15"/>
      <c r="AF18" s="22"/>
      <c r="AG18" s="2">
        <v>12535</v>
      </c>
      <c r="AH18" s="18">
        <v>11658</v>
      </c>
      <c r="AI18" s="18">
        <v>14578</v>
      </c>
      <c r="AJ18" s="18">
        <v>16129</v>
      </c>
      <c r="AK18" s="18">
        <v>16185</v>
      </c>
      <c r="AL18" s="18">
        <v>12224</v>
      </c>
      <c r="AM18" s="18">
        <v>12688</v>
      </c>
      <c r="AN18" s="18">
        <v>12752</v>
      </c>
      <c r="AO18" s="18">
        <v>13600</v>
      </c>
      <c r="AP18" s="18">
        <v>12888</v>
      </c>
      <c r="AQ18" s="18">
        <v>14281</v>
      </c>
      <c r="AR18" s="18">
        <v>1152</v>
      </c>
      <c r="AS18" s="18">
        <v>6449</v>
      </c>
      <c r="AT18" s="18">
        <v>10081</v>
      </c>
      <c r="AU18" s="18">
        <v>13264</v>
      </c>
      <c r="AV18" s="18">
        <v>10584</v>
      </c>
      <c r="AW18" s="18">
        <v>9624</v>
      </c>
      <c r="AX18" s="18">
        <v>10312</v>
      </c>
      <c r="AY18" s="18">
        <v>8640</v>
      </c>
      <c r="AZ18" s="18">
        <v>8136</v>
      </c>
      <c r="BA18" s="18">
        <v>8856</v>
      </c>
      <c r="BB18" s="18">
        <v>7328</v>
      </c>
      <c r="BC18" s="18">
        <v>7008</v>
      </c>
      <c r="BD18" s="18">
        <v>8034</v>
      </c>
      <c r="BE18" s="18">
        <v>8299</v>
      </c>
      <c r="BF18" s="18">
        <v>8456</v>
      </c>
      <c r="BG18" s="18">
        <v>8356</v>
      </c>
      <c r="BH18" s="18">
        <v>7504</v>
      </c>
      <c r="BI18" s="18">
        <v>7416</v>
      </c>
      <c r="BJ18" s="18">
        <v>7600</v>
      </c>
      <c r="BK18" s="18">
        <v>6328</v>
      </c>
      <c r="BL18" s="18">
        <v>5984</v>
      </c>
      <c r="BM18" s="18">
        <v>6616</v>
      </c>
      <c r="BN18" s="18">
        <v>6848</v>
      </c>
      <c r="BO18" s="18">
        <v>6264</v>
      </c>
      <c r="BP18" s="18">
        <v>6760</v>
      </c>
      <c r="BQ18" s="18">
        <v>6360</v>
      </c>
      <c r="BR18" s="18">
        <v>6536</v>
      </c>
      <c r="BS18" s="18">
        <v>6528</v>
      </c>
      <c r="BT18" s="18">
        <v>5576</v>
      </c>
      <c r="BU18" s="18">
        <v>6040</v>
      </c>
      <c r="BV18" s="18">
        <v>6432</v>
      </c>
      <c r="BW18" s="18">
        <v>5840</v>
      </c>
      <c r="BX18" s="18">
        <v>5544</v>
      </c>
      <c r="BY18" s="18">
        <v>5896</v>
      </c>
      <c r="BZ18" s="18">
        <v>5480</v>
      </c>
      <c r="CA18" s="18">
        <v>5640</v>
      </c>
      <c r="CB18" s="18">
        <v>5912</v>
      </c>
      <c r="CC18" s="18">
        <v>5704</v>
      </c>
      <c r="CD18" s="18">
        <v>6168</v>
      </c>
      <c r="CE18" s="18">
        <v>5488</v>
      </c>
      <c r="CF18" s="18">
        <v>5200</v>
      </c>
      <c r="CG18" s="18">
        <v>4808</v>
      </c>
      <c r="CH18" s="18">
        <v>5896</v>
      </c>
      <c r="CI18" s="18">
        <v>5304</v>
      </c>
      <c r="CJ18" s="18">
        <v>5160</v>
      </c>
      <c r="CK18" s="18">
        <v>5672</v>
      </c>
      <c r="CL18" s="18">
        <v>5848</v>
      </c>
      <c r="CM18" s="18">
        <v>6184</v>
      </c>
      <c r="CN18" s="18">
        <v>6624</v>
      </c>
      <c r="CO18" s="18">
        <v>6504</v>
      </c>
      <c r="CP18" s="18">
        <v>7360</v>
      </c>
      <c r="CQ18" s="18">
        <v>5256</v>
      </c>
      <c r="CR18" s="18">
        <v>5592</v>
      </c>
      <c r="CS18" s="18">
        <v>4824</v>
      </c>
      <c r="CT18" s="18">
        <v>5488</v>
      </c>
      <c r="CU18" s="18">
        <v>4320</v>
      </c>
      <c r="CV18" s="18">
        <v>4784</v>
      </c>
      <c r="CW18" s="18">
        <v>6424</v>
      </c>
      <c r="CX18" s="18">
        <v>6240</v>
      </c>
      <c r="CY18" s="18">
        <v>5888</v>
      </c>
      <c r="CZ18" s="18">
        <v>5984</v>
      </c>
      <c r="DA18" s="18">
        <v>6000</v>
      </c>
      <c r="DB18" s="18">
        <v>5856</v>
      </c>
      <c r="DC18" s="18">
        <v>6088</v>
      </c>
      <c r="DD18" s="18">
        <v>5560</v>
      </c>
      <c r="DE18" s="18">
        <v>5448</v>
      </c>
      <c r="DF18" s="18">
        <v>6176</v>
      </c>
      <c r="DG18" s="18">
        <v>5536</v>
      </c>
      <c r="DH18" s="18">
        <v>6176</v>
      </c>
      <c r="DI18" s="18">
        <v>6096</v>
      </c>
      <c r="DJ18" s="18">
        <v>5144</v>
      </c>
      <c r="DK18" s="18">
        <v>5136</v>
      </c>
      <c r="DL18" s="38"/>
    </row>
    <row r="19" spans="1:116" ht="15.75" x14ac:dyDescent="0.25">
      <c r="A19" s="12">
        <f t="shared" si="23"/>
        <v>14</v>
      </c>
      <c r="B19" s="13" t="s">
        <v>19</v>
      </c>
      <c r="C19" s="25">
        <v>1568</v>
      </c>
      <c r="D19" s="15"/>
      <c r="E19" s="25">
        <v>1144</v>
      </c>
      <c r="F19" s="15"/>
      <c r="G19" s="25">
        <v>1192</v>
      </c>
      <c r="H19" s="15"/>
      <c r="I19" s="25">
        <v>1152</v>
      </c>
      <c r="J19" s="22"/>
      <c r="K19" s="25">
        <v>1128</v>
      </c>
      <c r="L19" s="22"/>
      <c r="M19" s="25">
        <v>1544</v>
      </c>
      <c r="N19" s="22"/>
      <c r="O19" s="25">
        <v>1424</v>
      </c>
      <c r="P19" s="22"/>
      <c r="Q19" s="26">
        <f>205*8</f>
        <v>1640</v>
      </c>
      <c r="R19" s="22"/>
      <c r="S19" s="26">
        <v>1464</v>
      </c>
      <c r="T19" s="22"/>
      <c r="U19" s="26">
        <v>1176</v>
      </c>
      <c r="V19" s="22"/>
      <c r="W19" s="15"/>
      <c r="X19" s="22"/>
      <c r="Y19" s="15"/>
      <c r="Z19" s="22"/>
      <c r="AA19" s="15"/>
      <c r="AB19" s="22"/>
      <c r="AC19" s="15"/>
      <c r="AD19" s="22"/>
      <c r="AE19" s="15"/>
      <c r="AF19" s="22"/>
      <c r="AG19" s="18">
        <v>4976</v>
      </c>
      <c r="AH19" s="18">
        <v>4920</v>
      </c>
      <c r="AI19" s="18">
        <v>5016</v>
      </c>
      <c r="AJ19" s="18">
        <v>5448</v>
      </c>
      <c r="AK19" s="18">
        <v>5528</v>
      </c>
      <c r="AL19" s="18">
        <v>4616</v>
      </c>
      <c r="AM19" s="18">
        <v>4528</v>
      </c>
      <c r="AN19" s="18">
        <v>4832</v>
      </c>
      <c r="AO19" s="18">
        <v>4848</v>
      </c>
      <c r="AP19" s="18">
        <v>5528</v>
      </c>
      <c r="AQ19" s="18">
        <v>4216</v>
      </c>
      <c r="AR19" s="18">
        <v>992</v>
      </c>
      <c r="AS19" s="18">
        <v>4232</v>
      </c>
      <c r="AT19" s="18">
        <v>3480</v>
      </c>
      <c r="AU19" s="18">
        <v>5232</v>
      </c>
      <c r="AV19" s="18">
        <v>4896</v>
      </c>
      <c r="AW19" s="18">
        <v>2442</v>
      </c>
      <c r="AX19" s="18">
        <v>4136</v>
      </c>
      <c r="AY19" s="18">
        <v>4088</v>
      </c>
      <c r="AZ19" s="18">
        <v>3624</v>
      </c>
      <c r="BA19" s="18">
        <v>3832</v>
      </c>
      <c r="BB19" s="18">
        <v>3664</v>
      </c>
      <c r="BC19" s="18">
        <v>3104</v>
      </c>
      <c r="BD19" s="18">
        <v>3768</v>
      </c>
      <c r="BE19" s="18">
        <v>3944</v>
      </c>
      <c r="BF19" s="18">
        <v>3792</v>
      </c>
      <c r="BG19" s="18">
        <v>3652</v>
      </c>
      <c r="BH19" s="18">
        <v>3696</v>
      </c>
      <c r="BI19" s="18">
        <v>3344</v>
      </c>
      <c r="BJ19" s="18">
        <v>4128</v>
      </c>
      <c r="BK19" s="18">
        <v>3792</v>
      </c>
      <c r="BL19" s="18">
        <v>3784</v>
      </c>
      <c r="BM19" s="18">
        <v>4072</v>
      </c>
      <c r="BN19" s="18">
        <v>3576</v>
      </c>
      <c r="BO19" s="18">
        <v>3464</v>
      </c>
      <c r="BP19" s="18">
        <v>3928</v>
      </c>
      <c r="BQ19" s="18">
        <v>4112</v>
      </c>
      <c r="BR19" s="18">
        <v>4016</v>
      </c>
      <c r="BS19" s="18">
        <v>3728</v>
      </c>
      <c r="BT19" s="18">
        <v>3560</v>
      </c>
      <c r="BU19" s="18">
        <v>3816</v>
      </c>
      <c r="BV19" s="18">
        <v>3808</v>
      </c>
      <c r="BW19" s="18">
        <v>3600</v>
      </c>
      <c r="BX19" s="18">
        <v>3264</v>
      </c>
      <c r="BY19" s="18">
        <v>3608</v>
      </c>
      <c r="BZ19" s="18">
        <v>3672</v>
      </c>
      <c r="CA19" s="18">
        <v>3416</v>
      </c>
      <c r="CB19" s="18">
        <v>3728</v>
      </c>
      <c r="CC19" s="18">
        <v>3720</v>
      </c>
      <c r="CD19" s="18">
        <v>3984</v>
      </c>
      <c r="CE19" s="18">
        <v>3720</v>
      </c>
      <c r="CF19" s="18">
        <v>3344</v>
      </c>
      <c r="CG19" s="18">
        <v>3280</v>
      </c>
      <c r="CH19" s="18">
        <v>3528</v>
      </c>
      <c r="CI19" s="18">
        <v>3520</v>
      </c>
      <c r="CJ19" s="18">
        <v>3680</v>
      </c>
      <c r="CK19" s="18">
        <v>3568</v>
      </c>
      <c r="CL19" s="18">
        <v>3624</v>
      </c>
      <c r="CM19" s="18">
        <v>3632</v>
      </c>
      <c r="CN19" s="18">
        <v>3536</v>
      </c>
      <c r="CO19" s="18">
        <v>3960</v>
      </c>
      <c r="CP19" s="18">
        <v>3760</v>
      </c>
      <c r="CQ19" s="18">
        <v>3136</v>
      </c>
      <c r="CR19" s="18">
        <v>3712</v>
      </c>
      <c r="CS19" s="18">
        <v>3144</v>
      </c>
      <c r="CT19" s="18">
        <v>3632</v>
      </c>
      <c r="CU19" s="18">
        <v>3728</v>
      </c>
      <c r="CV19" s="18">
        <v>3104</v>
      </c>
      <c r="CW19" s="18">
        <v>3600</v>
      </c>
      <c r="CX19" s="18">
        <v>3720</v>
      </c>
      <c r="CY19" s="18">
        <v>3648</v>
      </c>
      <c r="CZ19" s="18">
        <v>3720</v>
      </c>
      <c r="DA19" s="18">
        <v>3992</v>
      </c>
      <c r="DB19" s="18">
        <v>3336</v>
      </c>
      <c r="DC19" s="18">
        <v>3664</v>
      </c>
      <c r="DD19" s="18">
        <v>3600</v>
      </c>
      <c r="DE19" s="18">
        <v>3344</v>
      </c>
      <c r="DF19" s="18">
        <v>3504</v>
      </c>
      <c r="DG19" s="18">
        <v>3232</v>
      </c>
      <c r="DH19" s="18">
        <v>3328</v>
      </c>
      <c r="DI19" s="18">
        <v>3384</v>
      </c>
      <c r="DJ19" s="18">
        <v>3364</v>
      </c>
      <c r="DK19" s="18">
        <v>3104</v>
      </c>
      <c r="DL19" s="42"/>
    </row>
    <row r="20" spans="1:116" ht="15.75" x14ac:dyDescent="0.25">
      <c r="A20" s="12">
        <f t="shared" si="23"/>
        <v>15</v>
      </c>
      <c r="B20" s="23" t="s">
        <v>20</v>
      </c>
      <c r="C20" s="25">
        <f>C18+C19</f>
        <v>7668</v>
      </c>
      <c r="D20" s="15"/>
      <c r="E20" s="25">
        <f>E18+E19</f>
        <v>6120</v>
      </c>
      <c r="F20" s="15"/>
      <c r="G20" s="25">
        <f>G18+G19</f>
        <v>7452</v>
      </c>
      <c r="H20" s="15"/>
      <c r="I20" s="25">
        <f>I18+I19</f>
        <v>7632</v>
      </c>
      <c r="J20" s="22"/>
      <c r="K20" s="25">
        <f>K18+K19</f>
        <v>7240</v>
      </c>
      <c r="L20" s="22"/>
      <c r="M20" s="25">
        <f>M18+M19</f>
        <v>8087</v>
      </c>
      <c r="N20" s="22"/>
      <c r="O20" s="25">
        <f>O18+O19</f>
        <v>8318</v>
      </c>
      <c r="P20" s="22"/>
      <c r="Q20" s="25">
        <f>Q18+Q19</f>
        <v>8205.369999999999</v>
      </c>
      <c r="R20" s="22"/>
      <c r="S20" s="25">
        <f>S18+S19</f>
        <v>7537.76</v>
      </c>
      <c r="T20" s="22"/>
      <c r="U20" s="25">
        <f>U18+U19</f>
        <v>7533.5</v>
      </c>
      <c r="V20" s="22"/>
      <c r="W20" s="15"/>
      <c r="X20" s="22"/>
      <c r="Y20" s="15"/>
      <c r="Z20" s="22"/>
      <c r="AA20" s="15"/>
      <c r="AB20" s="22"/>
      <c r="AC20" s="15"/>
      <c r="AD20" s="22"/>
      <c r="AE20" s="15"/>
      <c r="AF20" s="22"/>
      <c r="AG20" s="18">
        <f>AG19+AG18</f>
        <v>17511</v>
      </c>
      <c r="AH20" s="18">
        <f>AH19+AH18</f>
        <v>16578</v>
      </c>
      <c r="AI20" s="18">
        <f>AI19+AI18</f>
        <v>19594</v>
      </c>
      <c r="AJ20" s="18">
        <f>AJ19+AJ18</f>
        <v>21577</v>
      </c>
      <c r="AK20" s="18">
        <f>AK19+AK18</f>
        <v>21713</v>
      </c>
      <c r="AL20" s="18">
        <v>16840</v>
      </c>
      <c r="AM20" s="18">
        <v>17216</v>
      </c>
      <c r="AN20" s="18">
        <f t="shared" ref="AN20:AS20" si="120">AN19+AN18</f>
        <v>17584</v>
      </c>
      <c r="AO20" s="18">
        <f t="shared" si="120"/>
        <v>18448</v>
      </c>
      <c r="AP20" s="18">
        <f t="shared" si="120"/>
        <v>18416</v>
      </c>
      <c r="AQ20" s="18">
        <f t="shared" si="120"/>
        <v>18497</v>
      </c>
      <c r="AR20" s="18">
        <f t="shared" si="120"/>
        <v>2144</v>
      </c>
      <c r="AS20" s="18">
        <f t="shared" si="120"/>
        <v>10681</v>
      </c>
      <c r="AT20" s="18">
        <f t="shared" ref="AT20:AZ20" si="121">AT19+AT18</f>
        <v>13561</v>
      </c>
      <c r="AU20" s="18">
        <f t="shared" si="121"/>
        <v>18496</v>
      </c>
      <c r="AV20" s="18">
        <f t="shared" si="121"/>
        <v>15480</v>
      </c>
      <c r="AW20" s="18">
        <f t="shared" si="121"/>
        <v>12066</v>
      </c>
      <c r="AX20" s="18">
        <f t="shared" si="121"/>
        <v>14448</v>
      </c>
      <c r="AY20" s="18">
        <f t="shared" si="121"/>
        <v>12728</v>
      </c>
      <c r="AZ20" s="18">
        <f t="shared" si="121"/>
        <v>11760</v>
      </c>
      <c r="BA20" s="18">
        <f t="shared" ref="BA20:BH20" si="122">BA19+BA18</f>
        <v>12688</v>
      </c>
      <c r="BB20" s="18">
        <f t="shared" si="122"/>
        <v>10992</v>
      </c>
      <c r="BC20" s="18">
        <f t="shared" si="122"/>
        <v>10112</v>
      </c>
      <c r="BD20" s="18">
        <f t="shared" si="122"/>
        <v>11802</v>
      </c>
      <c r="BE20" s="18">
        <f t="shared" si="122"/>
        <v>12243</v>
      </c>
      <c r="BF20" s="18">
        <f t="shared" si="122"/>
        <v>12248</v>
      </c>
      <c r="BG20" s="18">
        <f t="shared" si="122"/>
        <v>12008</v>
      </c>
      <c r="BH20" s="18">
        <f t="shared" si="122"/>
        <v>11200</v>
      </c>
      <c r="BI20" s="18">
        <f t="shared" ref="BI20:BO20" si="123">BI19+BI18</f>
        <v>10760</v>
      </c>
      <c r="BJ20" s="18">
        <f t="shared" si="123"/>
        <v>11728</v>
      </c>
      <c r="BK20" s="18">
        <f t="shared" si="123"/>
        <v>10120</v>
      </c>
      <c r="BL20" s="18">
        <f t="shared" si="123"/>
        <v>9768</v>
      </c>
      <c r="BM20" s="18">
        <f t="shared" si="123"/>
        <v>10688</v>
      </c>
      <c r="BN20" s="18">
        <f t="shared" si="123"/>
        <v>10424</v>
      </c>
      <c r="BO20" s="18">
        <f t="shared" si="123"/>
        <v>9728</v>
      </c>
      <c r="BP20" s="18">
        <f t="shared" ref="BP20:BV20" si="124">BP19+BP18</f>
        <v>10688</v>
      </c>
      <c r="BQ20" s="18">
        <f t="shared" si="124"/>
        <v>10472</v>
      </c>
      <c r="BR20" s="18">
        <f t="shared" si="124"/>
        <v>10552</v>
      </c>
      <c r="BS20" s="18">
        <f t="shared" si="124"/>
        <v>10256</v>
      </c>
      <c r="BT20" s="18">
        <f t="shared" si="124"/>
        <v>9136</v>
      </c>
      <c r="BU20" s="18">
        <f t="shared" si="124"/>
        <v>9856</v>
      </c>
      <c r="BV20" s="18">
        <f t="shared" si="124"/>
        <v>10240</v>
      </c>
      <c r="BW20" s="18">
        <f t="shared" ref="BW20:CB20" si="125">BW19+BW18</f>
        <v>9440</v>
      </c>
      <c r="BX20" s="18">
        <f t="shared" si="125"/>
        <v>8808</v>
      </c>
      <c r="BY20" s="18">
        <f t="shared" si="125"/>
        <v>9504</v>
      </c>
      <c r="BZ20" s="18">
        <f t="shared" si="125"/>
        <v>9152</v>
      </c>
      <c r="CA20" s="18">
        <f t="shared" si="125"/>
        <v>9056</v>
      </c>
      <c r="CB20" s="18">
        <f t="shared" si="125"/>
        <v>9640</v>
      </c>
      <c r="CC20" s="18">
        <f t="shared" ref="CC20:CD20" si="126">CC19+CC18</f>
        <v>9424</v>
      </c>
      <c r="CD20" s="18">
        <f t="shared" si="126"/>
        <v>10152</v>
      </c>
      <c r="CE20" s="18">
        <f t="shared" ref="CE20:CF20" si="127">CE19+CE18</f>
        <v>9208</v>
      </c>
      <c r="CF20" s="18">
        <f t="shared" si="127"/>
        <v>8544</v>
      </c>
      <c r="CG20" s="18">
        <f t="shared" ref="CG20:CH20" si="128">CG19+CG18</f>
        <v>8088</v>
      </c>
      <c r="CH20" s="18">
        <f t="shared" si="128"/>
        <v>9424</v>
      </c>
      <c r="CI20" s="18">
        <f t="shared" ref="CI20:CJ20" si="129">CI19+CI18</f>
        <v>8824</v>
      </c>
      <c r="CJ20" s="18">
        <f t="shared" si="129"/>
        <v>8840</v>
      </c>
      <c r="CK20" s="18">
        <f t="shared" ref="CK20" si="130">CK19+CK18</f>
        <v>9240</v>
      </c>
      <c r="CL20" s="18">
        <f t="shared" ref="CL20:CM20" si="131">CL19+CL18</f>
        <v>9472</v>
      </c>
      <c r="CM20" s="18">
        <f t="shared" si="131"/>
        <v>9816</v>
      </c>
      <c r="CN20" s="18">
        <f t="shared" ref="CN20:CP20" si="132">CN19+CN18</f>
        <v>10160</v>
      </c>
      <c r="CO20" s="18">
        <f t="shared" si="132"/>
        <v>10464</v>
      </c>
      <c r="CP20" s="18">
        <f t="shared" si="132"/>
        <v>11120</v>
      </c>
      <c r="CQ20" s="18">
        <f t="shared" ref="CQ20:CR20" si="133">CQ19+CQ18</f>
        <v>8392</v>
      </c>
      <c r="CR20" s="18">
        <f t="shared" si="133"/>
        <v>9304</v>
      </c>
      <c r="CS20" s="18">
        <f t="shared" ref="CS20:CT20" si="134">CS19+CS18</f>
        <v>7968</v>
      </c>
      <c r="CT20" s="18">
        <f t="shared" si="134"/>
        <v>9120</v>
      </c>
      <c r="CU20" s="18">
        <f t="shared" ref="CU20:CV20" si="135">CU19+CU18</f>
        <v>8048</v>
      </c>
      <c r="CV20" s="18">
        <f t="shared" si="135"/>
        <v>7888</v>
      </c>
      <c r="CW20" s="18">
        <f t="shared" ref="CW20:CX20" si="136">CW19+CW18</f>
        <v>10024</v>
      </c>
      <c r="CX20" s="18">
        <f t="shared" si="136"/>
        <v>9960</v>
      </c>
      <c r="CY20" s="18">
        <f t="shared" ref="CY20:CZ20" si="137">CY19+CY18</f>
        <v>9536</v>
      </c>
      <c r="CZ20" s="18">
        <f t="shared" si="137"/>
        <v>9704</v>
      </c>
      <c r="DA20" s="18">
        <f t="shared" ref="DA20:DB20" si="138">DA19+DA18</f>
        <v>9992</v>
      </c>
      <c r="DB20" s="18">
        <f t="shared" si="138"/>
        <v>9192</v>
      </c>
      <c r="DC20" s="18">
        <f t="shared" ref="DC20:DD20" si="139">DC19+DC18</f>
        <v>9752</v>
      </c>
      <c r="DD20" s="18">
        <f t="shared" si="139"/>
        <v>9160</v>
      </c>
      <c r="DE20" s="18">
        <f t="shared" ref="DE20:DF20" si="140">DE19+DE18</f>
        <v>8792</v>
      </c>
      <c r="DF20" s="18">
        <f t="shared" si="140"/>
        <v>9680</v>
      </c>
      <c r="DG20" s="18">
        <f t="shared" ref="DG20:DH20" si="141">DG19+DG18</f>
        <v>8768</v>
      </c>
      <c r="DH20" s="18">
        <f t="shared" si="141"/>
        <v>9504</v>
      </c>
      <c r="DI20" s="18">
        <f t="shared" ref="DI20:DJ20" si="142">DI19+DI18</f>
        <v>9480</v>
      </c>
      <c r="DJ20" s="18">
        <f t="shared" si="142"/>
        <v>8508</v>
      </c>
      <c r="DK20" s="18">
        <f t="shared" ref="DK20" si="143">DK19+DK18</f>
        <v>8240</v>
      </c>
      <c r="DL20" s="39"/>
    </row>
    <row r="21" spans="1:116" ht="15.75" x14ac:dyDescent="0.25">
      <c r="A21" s="12">
        <f t="shared" si="23"/>
        <v>16</v>
      </c>
      <c r="B21" s="23" t="s">
        <v>21</v>
      </c>
      <c r="C21" s="25">
        <f>+C13</f>
        <v>13113</v>
      </c>
      <c r="D21" s="15"/>
      <c r="E21" s="25">
        <f>+E13</f>
        <v>12643</v>
      </c>
      <c r="F21" s="15"/>
      <c r="G21" s="25">
        <f>+G13</f>
        <v>14655</v>
      </c>
      <c r="H21" s="15"/>
      <c r="I21" s="25">
        <f>+I13</f>
        <v>12146</v>
      </c>
      <c r="J21" s="22"/>
      <c r="K21" s="25">
        <f>+K13</f>
        <v>12585</v>
      </c>
      <c r="L21" s="22"/>
      <c r="M21" s="25">
        <f>+M13</f>
        <v>13996</v>
      </c>
      <c r="N21" s="22"/>
      <c r="O21" s="25">
        <f>+O13</f>
        <v>11328</v>
      </c>
      <c r="P21" s="22"/>
      <c r="Q21" s="25">
        <f>+Q13</f>
        <v>13637</v>
      </c>
      <c r="R21" s="22"/>
      <c r="S21" s="25">
        <f>+S12</f>
        <v>14007</v>
      </c>
      <c r="T21" s="22"/>
      <c r="U21" s="25">
        <f>+U12</f>
        <v>15601</v>
      </c>
      <c r="V21" s="22"/>
      <c r="W21" s="15"/>
      <c r="X21" s="22"/>
      <c r="Y21" s="15"/>
      <c r="Z21" s="22"/>
      <c r="AA21" s="15"/>
      <c r="AB21" s="22"/>
      <c r="AC21" s="15"/>
      <c r="AD21" s="22"/>
      <c r="AE21" s="15"/>
      <c r="AF21" s="22"/>
      <c r="AG21" s="18">
        <f>AG12+AG6</f>
        <v>37856</v>
      </c>
      <c r="AH21" s="18">
        <f>AH12+AH6</f>
        <v>41347</v>
      </c>
      <c r="AI21" s="18">
        <f>AI12+AI6</f>
        <v>41347</v>
      </c>
      <c r="AJ21" s="18">
        <f>AJ12+AJ6</f>
        <v>45558</v>
      </c>
      <c r="AK21" s="18">
        <f>AK12+AK6</f>
        <v>41054</v>
      </c>
      <c r="AL21" s="18">
        <v>36800</v>
      </c>
      <c r="AM21" s="18">
        <v>35015</v>
      </c>
      <c r="AN21" s="18">
        <f>AN12+AN6</f>
        <v>35679</v>
      </c>
      <c r="AO21" s="18">
        <f>AO12+AO6</f>
        <v>30958</v>
      </c>
      <c r="AP21" s="18">
        <v>29359</v>
      </c>
      <c r="AQ21" s="18">
        <v>27388</v>
      </c>
      <c r="AR21" s="18">
        <v>1091</v>
      </c>
      <c r="AS21" s="18">
        <v>18260</v>
      </c>
      <c r="AT21" s="18">
        <v>16953</v>
      </c>
      <c r="AU21" s="18">
        <v>14932</v>
      </c>
      <c r="AV21" s="18">
        <v>14147</v>
      </c>
      <c r="AW21" s="18">
        <v>10991</v>
      </c>
      <c r="AX21" s="18">
        <v>12438</v>
      </c>
      <c r="AY21" s="18">
        <v>10861</v>
      </c>
      <c r="AZ21" s="18">
        <v>10114</v>
      </c>
      <c r="BA21" s="18">
        <v>12102</v>
      </c>
      <c r="BB21" s="18">
        <v>11839</v>
      </c>
      <c r="BC21" s="18">
        <v>6218</v>
      </c>
      <c r="BD21" s="18">
        <v>11828</v>
      </c>
      <c r="BE21" s="18">
        <v>13361</v>
      </c>
      <c r="BF21" s="18">
        <v>12180</v>
      </c>
      <c r="BG21" s="18">
        <v>13581</v>
      </c>
      <c r="BH21" s="18">
        <v>11033</v>
      </c>
      <c r="BI21" s="18">
        <v>10661</v>
      </c>
      <c r="BJ21" s="18">
        <v>11921</v>
      </c>
      <c r="BK21" s="18">
        <v>8335</v>
      </c>
      <c r="BL21" s="18">
        <v>8810</v>
      </c>
      <c r="BM21" s="18">
        <v>10119</v>
      </c>
      <c r="BN21" s="18">
        <v>11436</v>
      </c>
      <c r="BO21" s="18">
        <v>12335</v>
      </c>
      <c r="BP21" s="18">
        <v>12127</v>
      </c>
      <c r="BQ21" s="18">
        <v>11231</v>
      </c>
      <c r="BR21" s="18">
        <v>10661</v>
      </c>
      <c r="BS21" s="18">
        <v>11535</v>
      </c>
      <c r="BT21" s="18">
        <v>10221</v>
      </c>
      <c r="BU21" s="18">
        <v>9644</v>
      </c>
      <c r="BV21" s="18">
        <v>8423</v>
      </c>
      <c r="BW21" s="18">
        <v>8090</v>
      </c>
      <c r="BX21" s="18">
        <v>8207</v>
      </c>
      <c r="BY21" s="18">
        <v>8175</v>
      </c>
      <c r="BZ21" s="18">
        <v>9218</v>
      </c>
      <c r="CA21" s="18">
        <v>11010</v>
      </c>
      <c r="CB21" s="18">
        <v>11757</v>
      </c>
      <c r="CC21" s="18">
        <v>11899</v>
      </c>
      <c r="CD21" s="18">
        <v>13190</v>
      </c>
      <c r="CE21" s="18">
        <v>11195</v>
      </c>
      <c r="CF21" s="18">
        <v>10033</v>
      </c>
      <c r="CG21" s="18">
        <v>10844</v>
      </c>
      <c r="CH21" s="18">
        <v>9814</v>
      </c>
      <c r="CI21" s="18">
        <v>9814</v>
      </c>
      <c r="CJ21" s="18">
        <v>9248</v>
      </c>
      <c r="CK21" s="18">
        <v>8252</v>
      </c>
      <c r="CL21" s="18">
        <v>10312</v>
      </c>
      <c r="CM21" s="18">
        <v>12755</v>
      </c>
      <c r="CN21" s="18">
        <v>12815</v>
      </c>
      <c r="CO21" s="18">
        <v>17075</v>
      </c>
      <c r="CP21" s="18">
        <v>15289</v>
      </c>
      <c r="CQ21" s="18">
        <v>16084</v>
      </c>
      <c r="CR21" s="18">
        <v>14734</v>
      </c>
      <c r="CS21" s="18">
        <v>12779</v>
      </c>
      <c r="CT21" s="18">
        <v>12777</v>
      </c>
      <c r="CU21" s="18">
        <v>10477</v>
      </c>
      <c r="CV21" s="18">
        <v>10103</v>
      </c>
      <c r="CW21" s="18">
        <v>17959</v>
      </c>
      <c r="CX21" s="18">
        <v>16675</v>
      </c>
      <c r="CY21" s="18">
        <v>18624</v>
      </c>
      <c r="CZ21" s="18">
        <v>17174</v>
      </c>
      <c r="DA21" s="18">
        <v>16539</v>
      </c>
      <c r="DB21" s="18">
        <v>13588</v>
      </c>
      <c r="DC21" s="18">
        <v>14022</v>
      </c>
      <c r="DD21" s="18">
        <v>13302</v>
      </c>
      <c r="DE21" s="18">
        <v>12646</v>
      </c>
      <c r="DF21" s="18">
        <v>12290</v>
      </c>
      <c r="DG21" s="18">
        <v>11504</v>
      </c>
      <c r="DH21" s="18">
        <v>13937</v>
      </c>
      <c r="DI21" s="18">
        <v>14750</v>
      </c>
      <c r="DJ21" s="18">
        <v>17265</v>
      </c>
      <c r="DK21" s="18">
        <v>22052</v>
      </c>
      <c r="DL21" s="39"/>
    </row>
    <row r="22" spans="1:116" ht="15.75" x14ac:dyDescent="0.25">
      <c r="A22" s="12">
        <f t="shared" si="23"/>
        <v>17</v>
      </c>
      <c r="B22" s="23" t="s">
        <v>22</v>
      </c>
      <c r="C22" s="29" t="e">
        <f>C21/#REF!</f>
        <v>#REF!</v>
      </c>
      <c r="D22" s="15"/>
      <c r="E22" s="29" t="e">
        <f>E21/#REF!</f>
        <v>#REF!</v>
      </c>
      <c r="F22" s="15"/>
      <c r="G22" s="29" t="e">
        <f>G21/#REF!</f>
        <v>#REF!</v>
      </c>
      <c r="H22" s="15"/>
      <c r="I22" s="29" t="e">
        <f>I21/#REF!</f>
        <v>#REF!</v>
      </c>
      <c r="J22" s="22"/>
      <c r="K22" s="29" t="e">
        <f>K21/#REF!</f>
        <v>#REF!</v>
      </c>
      <c r="L22" s="22"/>
      <c r="M22" s="29" t="e">
        <f>M21/#REF!</f>
        <v>#REF!</v>
      </c>
      <c r="N22" s="22"/>
      <c r="O22" s="29" t="e">
        <f>O21/#REF!</f>
        <v>#REF!</v>
      </c>
      <c r="P22" s="22"/>
      <c r="Q22" s="29" t="e">
        <f>Q21/#REF!</f>
        <v>#REF!</v>
      </c>
      <c r="R22" s="22"/>
      <c r="S22" s="29" t="e">
        <f>S21/#REF!</f>
        <v>#REF!</v>
      </c>
      <c r="T22" s="22"/>
      <c r="U22" s="29" t="e">
        <f>U21/#REF!</f>
        <v>#REF!</v>
      </c>
      <c r="V22" s="22"/>
      <c r="W22" s="15"/>
      <c r="X22" s="22"/>
      <c r="Y22" s="15"/>
      <c r="Z22" s="22"/>
      <c r="AA22" s="15"/>
      <c r="AB22" s="22"/>
      <c r="AC22" s="15"/>
      <c r="AD22" s="22"/>
      <c r="AE22" s="15"/>
      <c r="AF22" s="22"/>
      <c r="AG22" s="21">
        <f>AG21/AG20</f>
        <v>2.1618411284335561</v>
      </c>
      <c r="AH22" s="21">
        <f>AH21/AH20</f>
        <v>2.4940885510918083</v>
      </c>
      <c r="AI22" s="21">
        <f>AI21/AI20</f>
        <v>2.1101867918750639</v>
      </c>
      <c r="AJ22" s="21">
        <f>AJ21/AJ20</f>
        <v>2.1114149325670852</v>
      </c>
      <c r="AK22" s="21">
        <f>AK21/AK20</f>
        <v>1.8907566895408281</v>
      </c>
      <c r="AL22" s="21">
        <v>2.19</v>
      </c>
      <c r="AM22" s="21">
        <v>2.033863847583643</v>
      </c>
      <c r="AN22" s="21">
        <f t="shared" ref="AN22:AS22" si="144">AN21/AN20</f>
        <v>2.0290605095541401</v>
      </c>
      <c r="AO22" s="21">
        <f t="shared" si="144"/>
        <v>1.6781222896790979</v>
      </c>
      <c r="AP22" s="21">
        <f t="shared" si="144"/>
        <v>1.5942115551694178</v>
      </c>
      <c r="AQ22" s="21">
        <f t="shared" si="144"/>
        <v>1.4806725414932151</v>
      </c>
      <c r="AR22" s="21">
        <f t="shared" si="144"/>
        <v>0.50886194029850751</v>
      </c>
      <c r="AS22" s="21">
        <f t="shared" si="144"/>
        <v>1.709577754891864</v>
      </c>
      <c r="AT22" s="21">
        <f t="shared" ref="AT22:AZ22" si="145">AT21/AT20</f>
        <v>1.2501290465304919</v>
      </c>
      <c r="AU22" s="21">
        <f t="shared" si="145"/>
        <v>0.80730968858131491</v>
      </c>
      <c r="AV22" s="21">
        <f t="shared" si="145"/>
        <v>0.91388888888888886</v>
      </c>
      <c r="AW22" s="21">
        <f t="shared" si="145"/>
        <v>0.91090667992706775</v>
      </c>
      <c r="AX22" s="21">
        <f t="shared" si="145"/>
        <v>0.86088039867109634</v>
      </c>
      <c r="AY22" s="21">
        <f t="shared" si="145"/>
        <v>0.85331552482715278</v>
      </c>
      <c r="AZ22" s="21">
        <f t="shared" si="145"/>
        <v>0.86003401360544218</v>
      </c>
      <c r="BA22" s="21">
        <f t="shared" ref="BA22:BH22" si="146">BA21/BA20</f>
        <v>0.95381462799495587</v>
      </c>
      <c r="BB22" s="21">
        <f t="shared" si="146"/>
        <v>1.0770560407569141</v>
      </c>
      <c r="BC22" s="21">
        <f t="shared" si="146"/>
        <v>0.61491297468354433</v>
      </c>
      <c r="BD22" s="21">
        <f t="shared" si="146"/>
        <v>1.0022030164378919</v>
      </c>
      <c r="BE22" s="21">
        <f t="shared" si="146"/>
        <v>1.0913174875439027</v>
      </c>
      <c r="BF22" s="21">
        <f t="shared" si="146"/>
        <v>0.99444807315480077</v>
      </c>
      <c r="BG22" s="21">
        <f t="shared" si="146"/>
        <v>1.13099600266489</v>
      </c>
      <c r="BH22" s="21">
        <f t="shared" si="146"/>
        <v>0.98508928571428567</v>
      </c>
      <c r="BI22" s="21">
        <f t="shared" ref="BI22:BO22" si="147">BI21/BI20</f>
        <v>0.99079925650557621</v>
      </c>
      <c r="BJ22" s="21">
        <f t="shared" si="147"/>
        <v>1.0164563437926331</v>
      </c>
      <c r="BK22" s="21">
        <f t="shared" si="147"/>
        <v>0.8236166007905138</v>
      </c>
      <c r="BL22" s="21">
        <f t="shared" si="147"/>
        <v>0.90192465192465188</v>
      </c>
      <c r="BM22" s="21">
        <f t="shared" si="147"/>
        <v>0.94676272455089816</v>
      </c>
      <c r="BN22" s="21">
        <f t="shared" si="147"/>
        <v>1.0970836531082118</v>
      </c>
      <c r="BO22" s="21">
        <f t="shared" si="147"/>
        <v>1.2679893092105263</v>
      </c>
      <c r="BP22" s="21">
        <f t="shared" ref="BP22:BV22" si="148">BP21/BP20</f>
        <v>1.1346369760479043</v>
      </c>
      <c r="BQ22" s="21">
        <f t="shared" si="148"/>
        <v>1.0724789915966386</v>
      </c>
      <c r="BR22" s="21">
        <f t="shared" si="148"/>
        <v>1.0103297952994692</v>
      </c>
      <c r="BS22" s="21">
        <f t="shared" si="148"/>
        <v>1.124707488299532</v>
      </c>
      <c r="BT22" s="21">
        <f t="shared" si="148"/>
        <v>1.118760945709282</v>
      </c>
      <c r="BU22" s="21">
        <f t="shared" si="148"/>
        <v>0.97849025974025972</v>
      </c>
      <c r="BV22" s="21">
        <f t="shared" si="148"/>
        <v>0.82255859374999996</v>
      </c>
      <c r="BW22" s="21">
        <f t="shared" ref="BW22:CB22" si="149">BW21/BW20</f>
        <v>0.85699152542372881</v>
      </c>
      <c r="BX22" s="21">
        <f t="shared" si="149"/>
        <v>0.93176657584014533</v>
      </c>
      <c r="BY22" s="21">
        <f t="shared" si="149"/>
        <v>0.86016414141414144</v>
      </c>
      <c r="BZ22" s="21">
        <f t="shared" si="149"/>
        <v>1.0072115384615385</v>
      </c>
      <c r="CA22" s="21">
        <f t="shared" si="149"/>
        <v>1.2157685512367491</v>
      </c>
      <c r="CB22" s="21">
        <f t="shared" si="149"/>
        <v>1.2196058091286308</v>
      </c>
      <c r="CC22" s="21">
        <f t="shared" ref="CC22:CD22" si="150">CC21/CC20</f>
        <v>1.2626273344651953</v>
      </c>
      <c r="CD22" s="21">
        <f t="shared" si="150"/>
        <v>1.2992513790386131</v>
      </c>
      <c r="CE22" s="21">
        <f t="shared" ref="CE22:CF22" si="151">CE21/CE20</f>
        <v>1.2157906168549089</v>
      </c>
      <c r="CF22" s="21">
        <f t="shared" si="151"/>
        <v>1.1742743445692885</v>
      </c>
      <c r="CG22" s="21">
        <f t="shared" ref="CG22:CH22" si="152">CG21/CG20</f>
        <v>1.3407517309594461</v>
      </c>
      <c r="CH22" s="21">
        <f t="shared" si="152"/>
        <v>1.041383701188455</v>
      </c>
      <c r="CI22" s="21">
        <f t="shared" ref="CI22:CJ22" si="153">CI21/CI20</f>
        <v>1.1121940163191297</v>
      </c>
      <c r="CJ22" s="21">
        <f t="shared" si="153"/>
        <v>1.0461538461538462</v>
      </c>
      <c r="CK22" s="21">
        <f t="shared" ref="CK22" si="154">CK21/CK20</f>
        <v>0.89307359307359302</v>
      </c>
      <c r="CL22" s="21">
        <f t="shared" ref="CL22:CM22" si="155">CL21/CL20</f>
        <v>1.0886824324324325</v>
      </c>
      <c r="CM22" s="21">
        <f t="shared" si="155"/>
        <v>1.2994091279543603</v>
      </c>
      <c r="CN22" s="21">
        <f t="shared" ref="CN22:CP22" si="156">CN21/CN20</f>
        <v>1.2613188976377954</v>
      </c>
      <c r="CO22" s="21">
        <f t="shared" si="156"/>
        <v>1.6317851681957187</v>
      </c>
      <c r="CP22" s="21">
        <f t="shared" si="156"/>
        <v>1.3749100719424461</v>
      </c>
      <c r="CQ22" s="21">
        <f t="shared" ref="CQ22:CR22" si="157">CQ21/CQ20</f>
        <v>1.9165872259294565</v>
      </c>
      <c r="CR22" s="21">
        <f t="shared" si="157"/>
        <v>1.5836199484092863</v>
      </c>
      <c r="CS22" s="21">
        <f t="shared" ref="CS22:CT22" si="158">CS21/CS20</f>
        <v>1.6037901606425702</v>
      </c>
      <c r="CT22" s="21">
        <f t="shared" si="158"/>
        <v>1.4009868421052631</v>
      </c>
      <c r="CU22" s="21">
        <f t="shared" ref="CU22:CV22" si="159">CU21/CU20</f>
        <v>1.3018141153081511</v>
      </c>
      <c r="CV22" s="21">
        <f t="shared" si="159"/>
        <v>1.2808062880324544</v>
      </c>
      <c r="CW22" s="21">
        <f t="shared" ref="CW22:DC22" si="160">CW21/CW20</f>
        <v>1.7916001596169193</v>
      </c>
      <c r="CX22" s="21">
        <f t="shared" si="160"/>
        <v>1.6741967871485943</v>
      </c>
      <c r="CY22" s="21">
        <f t="shared" si="160"/>
        <v>1.9530201342281879</v>
      </c>
      <c r="CZ22" s="21">
        <f t="shared" si="160"/>
        <v>1.769785655399835</v>
      </c>
      <c r="DA22" s="21">
        <f t="shared" si="160"/>
        <v>1.6552241793434748</v>
      </c>
      <c r="DB22" s="21">
        <f t="shared" si="160"/>
        <v>1.4782419495213228</v>
      </c>
      <c r="DC22" s="21">
        <f t="shared" si="160"/>
        <v>1.43785890073831</v>
      </c>
      <c r="DD22" s="21">
        <f t="shared" ref="DD22:DE22" si="161">DD21/DD20</f>
        <v>1.452183406113537</v>
      </c>
      <c r="DE22" s="21">
        <f t="shared" si="161"/>
        <v>1.4383530482256597</v>
      </c>
      <c r="DF22" s="21">
        <f t="shared" ref="DF22:DH22" si="162">DF21/DF20</f>
        <v>1.2696280991735538</v>
      </c>
      <c r="DG22" s="21">
        <f t="shared" si="162"/>
        <v>1.312043795620438</v>
      </c>
      <c r="DH22" s="21">
        <f t="shared" si="162"/>
        <v>1.4664351851851851</v>
      </c>
      <c r="DI22" s="21">
        <f t="shared" ref="DI22:DJ22" si="163">DI21/DI20</f>
        <v>1.5559071729957805</v>
      </c>
      <c r="DJ22" s="21">
        <f t="shared" si="163"/>
        <v>2.0292665726375176</v>
      </c>
      <c r="DK22" s="21">
        <f t="shared" ref="DK22" si="164">DK21/DK20</f>
        <v>2.6762135922330099</v>
      </c>
      <c r="DL22" s="39"/>
    </row>
    <row r="23" spans="1:116" ht="15.75" x14ac:dyDescent="0.25">
      <c r="A23" s="12">
        <f t="shared" si="23"/>
        <v>18</v>
      </c>
      <c r="B23" s="23" t="s">
        <v>23</v>
      </c>
      <c r="C23" s="29">
        <f>C21/C18</f>
        <v>2.1496721311475411</v>
      </c>
      <c r="D23" s="15"/>
      <c r="E23" s="29">
        <f>E21/E18</f>
        <v>2.5407958199356915</v>
      </c>
      <c r="F23" s="15"/>
      <c r="G23" s="29">
        <f>G21/G18</f>
        <v>2.3410543130990416</v>
      </c>
      <c r="H23" s="15"/>
      <c r="I23" s="29">
        <f>I21/I18</f>
        <v>1.8743827160493827</v>
      </c>
      <c r="J23" s="22"/>
      <c r="K23" s="29">
        <f>K21/K18</f>
        <v>2.0590641361256545</v>
      </c>
      <c r="L23" s="22"/>
      <c r="M23" s="29">
        <f>M21/M18</f>
        <v>2.1390799327525598</v>
      </c>
      <c r="N23" s="22"/>
      <c r="O23" s="29">
        <f>O21/O18</f>
        <v>1.6431679721496955</v>
      </c>
      <c r="P23" s="22"/>
      <c r="Q23" s="29">
        <f>Q21/Q18</f>
        <v>2.0771106578913296</v>
      </c>
      <c r="R23" s="22"/>
      <c r="S23" s="29">
        <f>S21/S18</f>
        <v>2.3061497326203209</v>
      </c>
      <c r="T23" s="22"/>
      <c r="U23" s="29">
        <f>U21/U18</f>
        <v>2.4539520251671254</v>
      </c>
      <c r="V23" s="22"/>
      <c r="W23" s="15"/>
      <c r="X23" s="22"/>
      <c r="Y23" s="15"/>
      <c r="Z23" s="22"/>
      <c r="AA23" s="15"/>
      <c r="AB23" s="22"/>
      <c r="AC23" s="15"/>
      <c r="AD23" s="22"/>
      <c r="AE23" s="15"/>
      <c r="AF23" s="22"/>
      <c r="AG23" s="21">
        <f>AG21/AG18</f>
        <v>3.0200239329876348</v>
      </c>
      <c r="AH23" s="21">
        <f>AH21/AH18</f>
        <v>3.5466632355464061</v>
      </c>
      <c r="AI23" s="21">
        <f>AI21/AI18</f>
        <v>2.8362601179860065</v>
      </c>
      <c r="AJ23" s="21">
        <f>AJ21/AJ18</f>
        <v>2.8246016492032986</v>
      </c>
      <c r="AK23" s="21">
        <f>AK21/AK18</f>
        <v>2.5365461847389557</v>
      </c>
      <c r="AL23" s="21">
        <v>3.01</v>
      </c>
      <c r="AM23" s="21">
        <v>2.7596941992433797</v>
      </c>
      <c r="AN23" s="21">
        <f t="shared" ref="AN23:AS23" si="165">AN21/AN18</f>
        <v>2.7979140526976161</v>
      </c>
      <c r="AO23" s="21">
        <f t="shared" si="165"/>
        <v>2.2763235294117647</v>
      </c>
      <c r="AP23" s="21">
        <f t="shared" si="165"/>
        <v>2.2780105524518932</v>
      </c>
      <c r="AQ23" s="21">
        <f t="shared" si="165"/>
        <v>1.9177928716476438</v>
      </c>
      <c r="AR23" s="21">
        <f t="shared" si="165"/>
        <v>0.94704861111111116</v>
      </c>
      <c r="AS23" s="21">
        <f t="shared" si="165"/>
        <v>2.8314467359280511</v>
      </c>
      <c r="AT23" s="21">
        <f t="shared" ref="AT23:AY23" si="166">AT21/AT18</f>
        <v>1.6816784049201468</v>
      </c>
      <c r="AU23" s="21">
        <f t="shared" si="166"/>
        <v>1.1257539203860072</v>
      </c>
      <c r="AV23" s="21">
        <f t="shared" si="166"/>
        <v>1.3366402116402116</v>
      </c>
      <c r="AW23" s="21">
        <f t="shared" si="166"/>
        <v>1.142040731504572</v>
      </c>
      <c r="AX23" s="21">
        <f t="shared" si="166"/>
        <v>1.2061675717610552</v>
      </c>
      <c r="AY23" s="21">
        <f t="shared" si="166"/>
        <v>1.2570601851851853</v>
      </c>
      <c r="AZ23" s="21">
        <f t="shared" ref="AZ23:BG23" si="167">AZ21/AZ18</f>
        <v>1.2431170108161258</v>
      </c>
      <c r="BA23" s="21">
        <f t="shared" si="167"/>
        <v>1.3665311653116532</v>
      </c>
      <c r="BB23" s="21">
        <f t="shared" si="167"/>
        <v>1.6155840611353711</v>
      </c>
      <c r="BC23" s="21">
        <f t="shared" si="167"/>
        <v>0.88727168949771684</v>
      </c>
      <c r="BD23" s="21">
        <f t="shared" si="167"/>
        <v>1.4722429673885984</v>
      </c>
      <c r="BE23" s="21">
        <f t="shared" si="167"/>
        <v>1.6099530063863117</v>
      </c>
      <c r="BF23" s="21">
        <f t="shared" si="167"/>
        <v>1.4403973509933774</v>
      </c>
      <c r="BG23" s="21">
        <f t="shared" si="167"/>
        <v>1.6252991862134993</v>
      </c>
      <c r="BH23" s="21">
        <f t="shared" ref="BH23:BM23" si="168">BH21/BH18</f>
        <v>1.4702825159914712</v>
      </c>
      <c r="BI23" s="21">
        <f t="shared" si="168"/>
        <v>1.4375674217907228</v>
      </c>
      <c r="BJ23" s="21">
        <f t="shared" si="168"/>
        <v>1.5685526315789473</v>
      </c>
      <c r="BK23" s="21">
        <f t="shared" si="168"/>
        <v>1.3171618204804045</v>
      </c>
      <c r="BL23" s="21">
        <f t="shared" si="168"/>
        <v>1.47225935828877</v>
      </c>
      <c r="BM23" s="21">
        <f t="shared" si="168"/>
        <v>1.5294740024183797</v>
      </c>
      <c r="BN23" s="21">
        <f t="shared" ref="BN23:BS23" si="169">BN21/BN18</f>
        <v>1.6699766355140186</v>
      </c>
      <c r="BO23" s="21">
        <f t="shared" si="169"/>
        <v>1.9691890166028096</v>
      </c>
      <c r="BP23" s="21">
        <f t="shared" si="169"/>
        <v>1.7939349112426035</v>
      </c>
      <c r="BQ23" s="21">
        <f t="shared" si="169"/>
        <v>1.7658805031446541</v>
      </c>
      <c r="BR23" s="21">
        <f t="shared" si="169"/>
        <v>1.6311199510403918</v>
      </c>
      <c r="BS23" s="21">
        <f t="shared" si="169"/>
        <v>1.7670036764705883</v>
      </c>
      <c r="BT23" s="21">
        <f t="shared" ref="BT23:BY23" si="170">BT21/BT18</f>
        <v>1.8330344332855093</v>
      </c>
      <c r="BU23" s="21">
        <f t="shared" si="170"/>
        <v>1.5966887417218543</v>
      </c>
      <c r="BV23" s="21">
        <f t="shared" si="170"/>
        <v>1.3095460199004976</v>
      </c>
      <c r="BW23" s="21">
        <f t="shared" si="170"/>
        <v>1.3852739726027397</v>
      </c>
      <c r="BX23" s="21">
        <f t="shared" si="170"/>
        <v>1.4803391053391053</v>
      </c>
      <c r="BY23" s="21">
        <f t="shared" si="170"/>
        <v>1.3865332428765265</v>
      </c>
      <c r="BZ23" s="21">
        <f t="shared" ref="BZ23:CF23" si="171">BZ21/BZ18</f>
        <v>1.6821167883211678</v>
      </c>
      <c r="CA23" s="21">
        <f t="shared" si="171"/>
        <v>1.9521276595744681</v>
      </c>
      <c r="CB23" s="21">
        <f t="shared" si="171"/>
        <v>1.9886671177266577</v>
      </c>
      <c r="CC23" s="21">
        <f t="shared" si="171"/>
        <v>2.0860799438990183</v>
      </c>
      <c r="CD23" s="21">
        <f t="shared" si="171"/>
        <v>2.1384565499351491</v>
      </c>
      <c r="CE23" s="21">
        <f t="shared" si="171"/>
        <v>2.0399052478134112</v>
      </c>
      <c r="CF23" s="21">
        <f t="shared" si="171"/>
        <v>1.9294230769230769</v>
      </c>
      <c r="CG23" s="21">
        <f t="shared" ref="CG23:CH23" si="172">CG21/CG18</f>
        <v>2.25540765391015</v>
      </c>
      <c r="CH23" s="21">
        <f t="shared" si="172"/>
        <v>1.6645183175033922</v>
      </c>
      <c r="CI23" s="21">
        <f t="shared" ref="CI23:CJ23" si="173">CI21/CI18</f>
        <v>1.8503016591251886</v>
      </c>
      <c r="CJ23" s="21">
        <f t="shared" si="173"/>
        <v>1.7922480620155039</v>
      </c>
      <c r="CK23" s="21">
        <f t="shared" ref="CK23" si="174">CK21/CK18</f>
        <v>1.4548660084626235</v>
      </c>
      <c r="CL23" s="21">
        <f t="shared" ref="CL23:CM23" si="175">CL21/CL18</f>
        <v>1.7633378932968535</v>
      </c>
      <c r="CM23" s="21">
        <f t="shared" si="175"/>
        <v>2.0625808538163</v>
      </c>
      <c r="CN23" s="21">
        <f t="shared" ref="CN23" si="176">CN21/CN18</f>
        <v>1.9346316425120773</v>
      </c>
      <c r="CO23" s="21">
        <f t="shared" ref="CO23:CT23" si="177">CO21/CO18</f>
        <v>2.6253075030750308</v>
      </c>
      <c r="CP23" s="21">
        <f t="shared" si="177"/>
        <v>2.0773097826086957</v>
      </c>
      <c r="CQ23" s="21">
        <f t="shared" si="177"/>
        <v>3.0601217656012176</v>
      </c>
      <c r="CR23" s="21">
        <f t="shared" si="177"/>
        <v>2.63483547925608</v>
      </c>
      <c r="CS23" s="21">
        <f t="shared" si="177"/>
        <v>2.6490464344941955</v>
      </c>
      <c r="CT23" s="21">
        <f t="shared" si="177"/>
        <v>2.3281705539358599</v>
      </c>
      <c r="CU23" s="21">
        <f t="shared" ref="CU23:CV23" si="178">CU21/CU18</f>
        <v>2.4252314814814815</v>
      </c>
      <c r="CV23" s="21">
        <f t="shared" si="178"/>
        <v>2.1118311036789299</v>
      </c>
      <c r="CW23" s="21">
        <f t="shared" ref="CW23:CX23" si="179">CW21/CW18</f>
        <v>2.7956102117061019</v>
      </c>
      <c r="CX23" s="21">
        <f t="shared" si="179"/>
        <v>2.672275641025641</v>
      </c>
      <c r="CY23" s="21">
        <f t="shared" ref="CY23:CZ23" si="180">CY21/CY18</f>
        <v>3.1630434782608696</v>
      </c>
      <c r="CZ23" s="21">
        <f t="shared" si="180"/>
        <v>2.8699866310160429</v>
      </c>
      <c r="DA23" s="21">
        <f t="shared" ref="DA23:DB23" si="181">DA21/DA18</f>
        <v>2.7565</v>
      </c>
      <c r="DB23" s="21">
        <f t="shared" si="181"/>
        <v>2.3203551912568305</v>
      </c>
      <c r="DC23" s="21">
        <f t="shared" ref="DC23:DD23" si="182">DC21/DC18</f>
        <v>2.3032194480946124</v>
      </c>
      <c r="DD23" s="21">
        <f t="shared" si="182"/>
        <v>2.3924460431654677</v>
      </c>
      <c r="DE23" s="21">
        <f t="shared" ref="DE23:DF23" si="183">DE21/DE18</f>
        <v>2.3212187958883996</v>
      </c>
      <c r="DF23" s="21">
        <f t="shared" si="183"/>
        <v>1.989961139896373</v>
      </c>
      <c r="DG23" s="21">
        <f t="shared" ref="DG23" si="184">DG21/DG18</f>
        <v>2.0780346820809248</v>
      </c>
      <c r="DH23" s="21">
        <f>DH21/DH18</f>
        <v>2.2566386010362693</v>
      </c>
      <c r="DI23" s="21">
        <f>DI21/DI18</f>
        <v>2.4196194225721785</v>
      </c>
      <c r="DJ23" s="21">
        <f>DJ21/DJ18</f>
        <v>3.3563374805598758</v>
      </c>
      <c r="DK23" s="21">
        <f>DK21/DK18</f>
        <v>4.2936137071651093</v>
      </c>
      <c r="DL23" s="39"/>
    </row>
    <row r="24" spans="1:116" ht="15.75" x14ac:dyDescent="0.25">
      <c r="A24" s="12">
        <f t="shared" si="23"/>
        <v>19</v>
      </c>
      <c r="B24" s="23" t="s">
        <v>24</v>
      </c>
      <c r="C24" s="25">
        <v>1</v>
      </c>
      <c r="D24" s="15"/>
      <c r="E24" s="25">
        <v>1</v>
      </c>
      <c r="F24" s="15"/>
      <c r="G24" s="25">
        <v>1</v>
      </c>
      <c r="H24" s="15"/>
      <c r="I24" s="25">
        <v>1</v>
      </c>
      <c r="J24" s="22"/>
      <c r="K24" s="25">
        <v>1</v>
      </c>
      <c r="L24" s="22"/>
      <c r="M24" s="25">
        <v>1</v>
      </c>
      <c r="N24" s="22"/>
      <c r="O24" s="25">
        <v>1</v>
      </c>
      <c r="P24" s="22"/>
      <c r="Q24" s="25">
        <v>1</v>
      </c>
      <c r="R24" s="22"/>
      <c r="S24" s="25">
        <v>1</v>
      </c>
      <c r="T24" s="22"/>
      <c r="U24" s="25">
        <v>1</v>
      </c>
      <c r="V24" s="22"/>
      <c r="W24" s="15"/>
      <c r="X24" s="22"/>
      <c r="Y24" s="15"/>
      <c r="Z24" s="22"/>
      <c r="AA24" s="15"/>
      <c r="AB24" s="22"/>
      <c r="AC24" s="15"/>
      <c r="AD24" s="22"/>
      <c r="AE24" s="15"/>
      <c r="AF24" s="22"/>
      <c r="AG24" s="18">
        <v>2</v>
      </c>
      <c r="AH24" s="18">
        <v>2</v>
      </c>
      <c r="AI24" s="18">
        <v>2</v>
      </c>
      <c r="AJ24" s="18">
        <v>2</v>
      </c>
      <c r="AK24" s="18">
        <v>2</v>
      </c>
      <c r="AL24" s="18">
        <v>2</v>
      </c>
      <c r="AM24" s="18">
        <v>2</v>
      </c>
      <c r="AN24" s="18">
        <v>2</v>
      </c>
      <c r="AO24" s="18">
        <v>2</v>
      </c>
      <c r="AP24" s="18">
        <v>2</v>
      </c>
      <c r="AQ24" s="18">
        <v>2</v>
      </c>
      <c r="AR24" s="18">
        <v>2</v>
      </c>
      <c r="AS24" s="18">
        <v>2</v>
      </c>
      <c r="AT24" s="18">
        <v>2</v>
      </c>
      <c r="AU24" s="18">
        <v>2</v>
      </c>
      <c r="AV24" s="18">
        <v>2</v>
      </c>
      <c r="AW24" s="18">
        <v>2</v>
      </c>
      <c r="AX24" s="18">
        <v>2</v>
      </c>
      <c r="AY24" s="18">
        <v>2</v>
      </c>
      <c r="AZ24" s="18">
        <v>2</v>
      </c>
      <c r="BA24" s="18">
        <v>2</v>
      </c>
      <c r="BB24" s="18">
        <v>2</v>
      </c>
      <c r="BC24" s="18">
        <v>2</v>
      </c>
      <c r="BD24" s="18">
        <v>2</v>
      </c>
      <c r="BE24" s="18">
        <v>2</v>
      </c>
      <c r="BF24" s="18">
        <v>2</v>
      </c>
      <c r="BG24" s="18">
        <v>2</v>
      </c>
      <c r="BH24" s="18">
        <v>2</v>
      </c>
      <c r="BI24" s="18">
        <v>2</v>
      </c>
      <c r="BJ24" s="18">
        <v>2</v>
      </c>
      <c r="BK24" s="18">
        <v>2</v>
      </c>
      <c r="BL24" s="18">
        <v>2</v>
      </c>
      <c r="BM24" s="18">
        <v>2</v>
      </c>
      <c r="BN24" s="18">
        <v>2</v>
      </c>
      <c r="BO24" s="18">
        <v>2</v>
      </c>
      <c r="BP24" s="18">
        <v>2</v>
      </c>
      <c r="BQ24" s="18">
        <v>2</v>
      </c>
      <c r="BR24" s="18">
        <v>2</v>
      </c>
      <c r="BS24" s="18">
        <v>2</v>
      </c>
      <c r="BT24" s="18">
        <v>2</v>
      </c>
      <c r="BU24" s="18">
        <v>2</v>
      </c>
      <c r="BV24" s="18">
        <v>2</v>
      </c>
      <c r="BW24" s="18">
        <v>2</v>
      </c>
      <c r="BX24" s="18">
        <v>2</v>
      </c>
      <c r="BY24" s="18">
        <v>2</v>
      </c>
      <c r="BZ24" s="18">
        <v>2</v>
      </c>
      <c r="CA24" s="18">
        <v>2</v>
      </c>
      <c r="CB24" s="18">
        <v>2</v>
      </c>
      <c r="CC24" s="18">
        <v>2</v>
      </c>
      <c r="CD24" s="18">
        <v>2</v>
      </c>
      <c r="CE24" s="18">
        <v>2</v>
      </c>
      <c r="CF24" s="18">
        <v>2</v>
      </c>
      <c r="CG24" s="18">
        <v>2</v>
      </c>
      <c r="CH24" s="18">
        <v>2</v>
      </c>
      <c r="CI24" s="18">
        <v>2</v>
      </c>
      <c r="CJ24" s="18">
        <v>2</v>
      </c>
      <c r="CK24" s="18">
        <v>2</v>
      </c>
      <c r="CL24" s="18">
        <v>2</v>
      </c>
      <c r="CM24" s="18">
        <v>2</v>
      </c>
      <c r="CN24" s="18">
        <v>2</v>
      </c>
      <c r="CO24" s="18">
        <v>2</v>
      </c>
      <c r="CP24" s="18">
        <v>2</v>
      </c>
      <c r="CQ24" s="18">
        <v>2</v>
      </c>
      <c r="CR24" s="18">
        <v>2</v>
      </c>
      <c r="CS24" s="18">
        <v>2</v>
      </c>
      <c r="CT24" s="18">
        <v>2</v>
      </c>
      <c r="CU24" s="18">
        <v>2</v>
      </c>
      <c r="CV24" s="18">
        <v>2</v>
      </c>
      <c r="CW24" s="18">
        <v>2</v>
      </c>
      <c r="CX24" s="18">
        <v>2</v>
      </c>
      <c r="CY24" s="18">
        <v>2</v>
      </c>
      <c r="CZ24" s="18">
        <v>2</v>
      </c>
      <c r="DA24" s="18">
        <v>2</v>
      </c>
      <c r="DB24" s="18">
        <v>2</v>
      </c>
      <c r="DC24" s="18">
        <v>2</v>
      </c>
      <c r="DD24" s="18">
        <v>2</v>
      </c>
      <c r="DE24" s="18">
        <v>2</v>
      </c>
      <c r="DF24" s="18">
        <v>2</v>
      </c>
      <c r="DG24" s="18">
        <v>2</v>
      </c>
      <c r="DH24" s="18">
        <v>2</v>
      </c>
      <c r="DI24" s="18">
        <v>2</v>
      </c>
      <c r="DJ24" s="18">
        <v>2</v>
      </c>
      <c r="DK24" s="18">
        <v>2</v>
      </c>
      <c r="DL24" s="39"/>
    </row>
    <row r="25" spans="1:116" ht="15.75" x14ac:dyDescent="0.25">
      <c r="A25" s="12">
        <f t="shared" si="23"/>
        <v>20</v>
      </c>
      <c r="B25" s="23" t="s">
        <v>24</v>
      </c>
      <c r="C25" s="25"/>
      <c r="D25" s="15"/>
      <c r="E25" s="25"/>
      <c r="F25" s="15"/>
      <c r="G25" s="25"/>
      <c r="H25" s="15"/>
      <c r="I25" s="25"/>
      <c r="J25" s="22"/>
      <c r="K25" s="25"/>
      <c r="L25" s="22"/>
      <c r="M25" s="25"/>
      <c r="N25" s="22"/>
      <c r="O25" s="25"/>
      <c r="P25" s="22"/>
      <c r="Q25" s="25"/>
      <c r="R25" s="22"/>
      <c r="S25" s="25"/>
      <c r="T25" s="22"/>
      <c r="U25" s="25"/>
      <c r="V25" s="22"/>
      <c r="W25" s="15"/>
      <c r="X25" s="22"/>
      <c r="Y25" s="15"/>
      <c r="Z25" s="22"/>
      <c r="AA25" s="15"/>
      <c r="AB25" s="22"/>
      <c r="AC25" s="15"/>
      <c r="AD25" s="22"/>
      <c r="AE25" s="15"/>
      <c r="AF25" s="22"/>
      <c r="AG25" s="15">
        <f>AG23/AG24</f>
        <v>1.5100119664938174</v>
      </c>
      <c r="AH25" s="15">
        <f>AH23/AH24</f>
        <v>1.773331617773203</v>
      </c>
      <c r="AI25" s="15">
        <f>AI23/AI24</f>
        <v>1.4181300589930033</v>
      </c>
      <c r="AJ25" s="15">
        <f>AJ23/AJ24</f>
        <v>1.4123008246016493</v>
      </c>
      <c r="AK25" s="15">
        <f>AK23/AK24</f>
        <v>1.2682730923694778</v>
      </c>
      <c r="AL25" s="15">
        <v>1.5052000000000001</v>
      </c>
      <c r="AM25" s="15">
        <v>1.3798470996216898</v>
      </c>
      <c r="AN25" s="15">
        <f t="shared" ref="AN25:AS25" si="185">AN23/AN24</f>
        <v>1.398957026348808</v>
      </c>
      <c r="AO25" s="15">
        <f t="shared" si="185"/>
        <v>1.1381617647058824</v>
      </c>
      <c r="AP25" s="15">
        <f t="shared" si="185"/>
        <v>1.1390052762259466</v>
      </c>
      <c r="AQ25" s="15">
        <f t="shared" si="185"/>
        <v>0.95889643582382189</v>
      </c>
      <c r="AR25" s="15">
        <f t="shared" si="185"/>
        <v>0.47352430555555558</v>
      </c>
      <c r="AS25" s="15">
        <f t="shared" si="185"/>
        <v>1.4157233679640255</v>
      </c>
      <c r="AT25" s="15">
        <f t="shared" ref="AT25:AZ25" si="186">AT23/AT24</f>
        <v>0.84083920246007338</v>
      </c>
      <c r="AU25" s="15">
        <f t="shared" si="186"/>
        <v>0.56287696019300359</v>
      </c>
      <c r="AV25" s="15">
        <f t="shared" si="186"/>
        <v>0.66832010582010581</v>
      </c>
      <c r="AW25" s="15">
        <f t="shared" si="186"/>
        <v>0.57102036575228599</v>
      </c>
      <c r="AX25" s="15">
        <f t="shared" si="186"/>
        <v>0.60308378588052758</v>
      </c>
      <c r="AY25" s="15">
        <f t="shared" si="186"/>
        <v>0.62853009259259263</v>
      </c>
      <c r="AZ25" s="15">
        <f t="shared" si="186"/>
        <v>0.6215585054080629</v>
      </c>
      <c r="BA25" s="15">
        <f t="shared" ref="BA25:BH25" si="187">BA23/BA24</f>
        <v>0.6832655826558266</v>
      </c>
      <c r="BB25" s="15">
        <f t="shared" si="187"/>
        <v>0.80779203056768556</v>
      </c>
      <c r="BC25" s="15">
        <f t="shared" si="187"/>
        <v>0.44363584474885842</v>
      </c>
      <c r="BD25" s="15">
        <f t="shared" si="187"/>
        <v>0.73612148369429919</v>
      </c>
      <c r="BE25" s="15">
        <f t="shared" si="187"/>
        <v>0.80497650319315583</v>
      </c>
      <c r="BF25" s="15">
        <f t="shared" si="187"/>
        <v>0.7201986754966887</v>
      </c>
      <c r="BG25" s="15">
        <f t="shared" si="187"/>
        <v>0.81264959310674967</v>
      </c>
      <c r="BH25" s="15">
        <f t="shared" si="187"/>
        <v>0.7351412579957356</v>
      </c>
      <c r="BI25" s="15">
        <f t="shared" ref="BI25:BO25" si="188">BI23/BI24</f>
        <v>0.71878371089536142</v>
      </c>
      <c r="BJ25" s="15">
        <f t="shared" si="188"/>
        <v>0.78427631578947365</v>
      </c>
      <c r="BK25" s="15">
        <f t="shared" si="188"/>
        <v>0.65858091024020227</v>
      </c>
      <c r="BL25" s="15">
        <f t="shared" si="188"/>
        <v>0.73612967914438499</v>
      </c>
      <c r="BM25" s="15">
        <f t="shared" si="188"/>
        <v>0.76473700120918986</v>
      </c>
      <c r="BN25" s="15">
        <f t="shared" si="188"/>
        <v>0.83498831775700932</v>
      </c>
      <c r="BO25" s="15">
        <f t="shared" si="188"/>
        <v>0.98459450830140482</v>
      </c>
      <c r="BP25" s="15">
        <f t="shared" ref="BP25:BV25" si="189">BP23/BP24</f>
        <v>0.89696745562130176</v>
      </c>
      <c r="BQ25" s="15">
        <f t="shared" si="189"/>
        <v>0.88294025157232703</v>
      </c>
      <c r="BR25" s="15">
        <f t="shared" si="189"/>
        <v>0.81555997552019588</v>
      </c>
      <c r="BS25" s="15">
        <f t="shared" si="189"/>
        <v>0.88350183823529416</v>
      </c>
      <c r="BT25" s="15">
        <f t="shared" si="189"/>
        <v>0.91651721664275465</v>
      </c>
      <c r="BU25" s="15">
        <f t="shared" si="189"/>
        <v>0.79834437086092713</v>
      </c>
      <c r="BV25" s="15">
        <f t="shared" si="189"/>
        <v>0.65477300995024879</v>
      </c>
      <c r="BW25" s="15">
        <f t="shared" ref="BW25:CB25" si="190">BW23/BW24</f>
        <v>0.69263698630136983</v>
      </c>
      <c r="BX25" s="15">
        <f t="shared" si="190"/>
        <v>0.74016955266955264</v>
      </c>
      <c r="BY25" s="15">
        <f t="shared" si="190"/>
        <v>0.69326662143826323</v>
      </c>
      <c r="BZ25" s="15">
        <f t="shared" si="190"/>
        <v>0.84105839416058392</v>
      </c>
      <c r="CA25" s="15">
        <f t="shared" si="190"/>
        <v>0.97606382978723405</v>
      </c>
      <c r="CB25" s="15">
        <f t="shared" si="190"/>
        <v>0.99433355886332886</v>
      </c>
      <c r="CC25" s="15">
        <f t="shared" ref="CC25:CD25" si="191">CC23/CC24</f>
        <v>1.0430399719495091</v>
      </c>
      <c r="CD25" s="15">
        <f t="shared" si="191"/>
        <v>1.0692282749675746</v>
      </c>
      <c r="CE25" s="15">
        <f t="shared" ref="CE25:CF25" si="192">CE23/CE24</f>
        <v>1.0199526239067056</v>
      </c>
      <c r="CF25" s="15">
        <f t="shared" si="192"/>
        <v>0.96471153846153845</v>
      </c>
      <c r="CG25" s="15">
        <f t="shared" ref="CG25:CH25" si="193">CG23/CG24</f>
        <v>1.127703826955075</v>
      </c>
      <c r="CH25" s="15">
        <f t="shared" si="193"/>
        <v>0.83225915875169609</v>
      </c>
      <c r="CI25" s="15">
        <f t="shared" ref="CI25:CJ25" si="194">CI23/CI24</f>
        <v>0.92515082956259431</v>
      </c>
      <c r="CJ25" s="15">
        <f t="shared" si="194"/>
        <v>0.89612403100775195</v>
      </c>
      <c r="CK25" s="15">
        <f t="shared" ref="CK25" si="195">CK23/CK24</f>
        <v>0.72743300423131174</v>
      </c>
      <c r="CL25" s="15">
        <f t="shared" ref="CL25:CM25" si="196">CL23/CL24</f>
        <v>0.88166894664842677</v>
      </c>
      <c r="CM25" s="15">
        <f t="shared" si="196"/>
        <v>1.03129042690815</v>
      </c>
      <c r="CN25" s="15">
        <f t="shared" ref="CN25:CP25" si="197">CN23/CN24</f>
        <v>0.96731582125603865</v>
      </c>
      <c r="CO25" s="15">
        <f t="shared" si="197"/>
        <v>1.3126537515375154</v>
      </c>
      <c r="CP25" s="15">
        <f t="shared" si="197"/>
        <v>1.0386548913043478</v>
      </c>
      <c r="CQ25" s="15">
        <f t="shared" ref="CQ25:CR25" si="198">CQ23/CQ24</f>
        <v>1.5300608828006088</v>
      </c>
      <c r="CR25" s="15">
        <f t="shared" si="198"/>
        <v>1.31741773962804</v>
      </c>
      <c r="CS25" s="15">
        <f t="shared" ref="CS25:CT25" si="199">CS23/CS24</f>
        <v>1.3245232172470978</v>
      </c>
      <c r="CT25" s="15">
        <f t="shared" si="199"/>
        <v>1.16408527696793</v>
      </c>
      <c r="CU25" s="15">
        <f t="shared" ref="CU25:CV25" si="200">CU23/CU24</f>
        <v>1.2126157407407407</v>
      </c>
      <c r="CV25" s="15">
        <f t="shared" si="200"/>
        <v>1.0559155518394649</v>
      </c>
      <c r="CW25" s="15">
        <f t="shared" ref="CW25:CX25" si="201">CW23/CW24</f>
        <v>1.397805105853051</v>
      </c>
      <c r="CX25" s="15">
        <f t="shared" si="201"/>
        <v>1.3361378205128205</v>
      </c>
      <c r="CY25" s="15">
        <f t="shared" ref="CY25:CZ25" si="202">CY23/CY24</f>
        <v>1.5815217391304348</v>
      </c>
      <c r="CZ25" s="15">
        <f t="shared" si="202"/>
        <v>1.4349933155080214</v>
      </c>
      <c r="DA25" s="15">
        <f t="shared" ref="DA25:DB25" si="203">DA23/DA24</f>
        <v>1.37825</v>
      </c>
      <c r="DB25" s="15">
        <f t="shared" si="203"/>
        <v>1.1601775956284153</v>
      </c>
      <c r="DC25" s="15">
        <f t="shared" ref="DC25:DD25" si="204">DC23/DC24</f>
        <v>1.1516097240473062</v>
      </c>
      <c r="DD25" s="15">
        <f t="shared" si="204"/>
        <v>1.1962230215827339</v>
      </c>
      <c r="DE25" s="15">
        <f t="shared" ref="DE25:DF25" si="205">DE23/DE24</f>
        <v>1.1606093979441998</v>
      </c>
      <c r="DF25" s="15">
        <f t="shared" si="205"/>
        <v>0.99498056994818651</v>
      </c>
      <c r="DG25" s="15">
        <f t="shared" ref="DG25:DH25" si="206">DG23/DG24</f>
        <v>1.0390173410404624</v>
      </c>
      <c r="DH25" s="15">
        <f t="shared" si="206"/>
        <v>1.1283193005181347</v>
      </c>
      <c r="DI25" s="15">
        <f t="shared" ref="DI25:DJ25" si="207">DI23/DI24</f>
        <v>1.2098097112860893</v>
      </c>
      <c r="DJ25" s="15">
        <f t="shared" si="207"/>
        <v>1.6781687402799379</v>
      </c>
      <c r="DK25" s="15">
        <f t="shared" ref="DK25" si="208">DK23/DK24</f>
        <v>2.1468068535825546</v>
      </c>
      <c r="DL25" s="39"/>
    </row>
    <row r="26" spans="1:116" ht="15.75" x14ac:dyDescent="0.25">
      <c r="A26" s="12">
        <f t="shared" si="23"/>
        <v>21</v>
      </c>
      <c r="B26" s="13" t="s">
        <v>25</v>
      </c>
      <c r="C26" s="25">
        <v>6</v>
      </c>
      <c r="D26" s="15"/>
      <c r="E26" s="25">
        <v>3</v>
      </c>
      <c r="F26" s="15"/>
      <c r="G26" s="25">
        <v>5</v>
      </c>
      <c r="H26" s="15"/>
      <c r="I26" s="25">
        <v>0</v>
      </c>
      <c r="J26" s="25"/>
      <c r="K26" s="25">
        <v>1</v>
      </c>
      <c r="L26" s="25"/>
      <c r="M26" s="25">
        <v>1</v>
      </c>
      <c r="N26" s="25"/>
      <c r="O26" s="25">
        <v>5</v>
      </c>
      <c r="P26" s="25"/>
      <c r="Q26" s="25">
        <v>1</v>
      </c>
      <c r="R26" s="22"/>
      <c r="S26" s="25">
        <v>2</v>
      </c>
      <c r="T26" s="22"/>
      <c r="U26" s="25">
        <v>5</v>
      </c>
      <c r="V26" s="22"/>
      <c r="W26" s="15"/>
      <c r="X26" s="22"/>
      <c r="Y26" s="15"/>
      <c r="Z26" s="22"/>
      <c r="AA26" s="15"/>
      <c r="AB26" s="22"/>
      <c r="AC26" s="15"/>
      <c r="AD26" s="22"/>
      <c r="AE26" s="15"/>
      <c r="AF26" s="22"/>
      <c r="AG26" s="40">
        <v>14</v>
      </c>
      <c r="AH26" s="40">
        <v>45</v>
      </c>
      <c r="AI26" s="40">
        <v>32</v>
      </c>
      <c r="AJ26" s="40">
        <v>23</v>
      </c>
      <c r="AK26" s="40">
        <v>28</v>
      </c>
      <c r="AL26" s="40">
        <v>30</v>
      </c>
      <c r="AM26" s="40">
        <v>20</v>
      </c>
      <c r="AN26" s="40">
        <v>12</v>
      </c>
      <c r="AO26" s="40">
        <v>20</v>
      </c>
      <c r="AP26" s="40">
        <v>17</v>
      </c>
      <c r="AQ26" s="40">
        <v>9</v>
      </c>
      <c r="AR26" s="40">
        <v>0</v>
      </c>
      <c r="AS26" s="40">
        <v>14</v>
      </c>
      <c r="AT26" s="40">
        <v>19</v>
      </c>
      <c r="AU26" s="40">
        <v>8</v>
      </c>
      <c r="AV26" s="40">
        <v>11</v>
      </c>
      <c r="AW26" s="40">
        <v>13</v>
      </c>
      <c r="AX26" s="40">
        <v>6</v>
      </c>
      <c r="AY26" s="40">
        <v>0</v>
      </c>
      <c r="AZ26" s="40">
        <v>3</v>
      </c>
      <c r="BA26" s="40">
        <v>1</v>
      </c>
      <c r="BB26" s="40">
        <v>1</v>
      </c>
      <c r="BC26" s="40">
        <v>1</v>
      </c>
      <c r="BD26" s="40">
        <v>0</v>
      </c>
      <c r="BE26" s="40">
        <v>2</v>
      </c>
      <c r="BF26" s="40">
        <v>2</v>
      </c>
      <c r="BG26" s="40">
        <v>4</v>
      </c>
      <c r="BH26" s="40">
        <v>1</v>
      </c>
      <c r="BI26" s="40">
        <v>1</v>
      </c>
      <c r="BJ26" s="40">
        <v>6</v>
      </c>
      <c r="BK26" s="40">
        <v>2</v>
      </c>
      <c r="BL26" s="40">
        <v>1</v>
      </c>
      <c r="BM26" s="40">
        <v>0</v>
      </c>
      <c r="BN26" s="40">
        <v>0</v>
      </c>
      <c r="BO26" s="40">
        <v>0</v>
      </c>
      <c r="BP26" s="40">
        <v>9</v>
      </c>
      <c r="BQ26" s="40">
        <v>1</v>
      </c>
      <c r="BR26" s="40">
        <v>0</v>
      </c>
      <c r="BS26" s="40">
        <v>6</v>
      </c>
      <c r="BT26" s="40">
        <v>1</v>
      </c>
      <c r="BU26" s="40">
        <v>0</v>
      </c>
      <c r="BV26" s="40">
        <v>1</v>
      </c>
      <c r="BW26" s="40">
        <v>0</v>
      </c>
      <c r="BX26" s="40">
        <v>0</v>
      </c>
      <c r="BY26" s="40">
        <v>1</v>
      </c>
      <c r="BZ26" s="40">
        <v>0</v>
      </c>
      <c r="CA26" s="40">
        <v>2</v>
      </c>
      <c r="CB26" s="40">
        <v>0</v>
      </c>
      <c r="CC26" s="40">
        <v>1</v>
      </c>
      <c r="CD26" s="40">
        <v>0</v>
      </c>
      <c r="CE26" s="40">
        <v>2</v>
      </c>
      <c r="CF26" s="40">
        <v>2</v>
      </c>
      <c r="CG26" s="40">
        <v>2</v>
      </c>
      <c r="CH26" s="40">
        <v>0</v>
      </c>
      <c r="CI26" s="40">
        <v>0</v>
      </c>
      <c r="CJ26" s="40">
        <v>0</v>
      </c>
      <c r="CK26" s="40">
        <v>1</v>
      </c>
      <c r="CL26" s="40">
        <v>2</v>
      </c>
      <c r="CM26" s="40">
        <v>0</v>
      </c>
      <c r="CN26" s="40">
        <v>1</v>
      </c>
      <c r="CO26" s="40">
        <v>1</v>
      </c>
      <c r="CP26" s="40">
        <v>2</v>
      </c>
      <c r="CQ26" s="40">
        <v>2</v>
      </c>
      <c r="CR26" s="40">
        <v>3</v>
      </c>
      <c r="CS26" s="40">
        <v>2</v>
      </c>
      <c r="CT26" s="40">
        <v>1</v>
      </c>
      <c r="CU26" s="40">
        <v>0</v>
      </c>
      <c r="CV26" s="40">
        <v>0</v>
      </c>
      <c r="CW26" s="40">
        <v>2</v>
      </c>
      <c r="CX26" s="41">
        <v>8</v>
      </c>
      <c r="CY26" s="41">
        <v>2</v>
      </c>
      <c r="CZ26" s="41">
        <v>5</v>
      </c>
      <c r="DA26" s="41">
        <v>3</v>
      </c>
      <c r="DB26" s="41">
        <v>1</v>
      </c>
      <c r="DC26" s="41">
        <v>3</v>
      </c>
      <c r="DD26" s="41">
        <v>3</v>
      </c>
      <c r="DE26" s="41">
        <v>2</v>
      </c>
      <c r="DF26" s="41">
        <v>0</v>
      </c>
      <c r="DG26" s="41">
        <v>1</v>
      </c>
      <c r="DH26" s="41">
        <v>0</v>
      </c>
      <c r="DI26" s="41">
        <v>2</v>
      </c>
      <c r="DJ26" s="41">
        <v>1</v>
      </c>
      <c r="DK26" s="41">
        <v>2</v>
      </c>
      <c r="DL26" s="38"/>
    </row>
    <row r="27" spans="1:116" ht="15.75" x14ac:dyDescent="0.25">
      <c r="A27" s="12">
        <f t="shared" si="23"/>
        <v>22</v>
      </c>
      <c r="B27" s="13" t="s">
        <v>26</v>
      </c>
      <c r="C27" s="25">
        <v>0</v>
      </c>
      <c r="D27" s="15"/>
      <c r="E27" s="25">
        <v>2</v>
      </c>
      <c r="F27" s="15"/>
      <c r="G27" s="25">
        <v>2</v>
      </c>
      <c r="H27" s="15"/>
      <c r="I27" s="25">
        <v>0</v>
      </c>
      <c r="J27" s="25"/>
      <c r="K27" s="25">
        <v>0</v>
      </c>
      <c r="L27" s="25"/>
      <c r="M27" s="25">
        <v>0</v>
      </c>
      <c r="N27" s="25"/>
      <c r="O27" s="25">
        <v>2</v>
      </c>
      <c r="P27" s="25"/>
      <c r="Q27" s="25">
        <v>0</v>
      </c>
      <c r="R27" s="22"/>
      <c r="S27" s="25">
        <v>0</v>
      </c>
      <c r="T27" s="22"/>
      <c r="U27" s="25">
        <v>0</v>
      </c>
      <c r="V27" s="22"/>
      <c r="W27" s="15"/>
      <c r="X27" s="22"/>
      <c r="Y27" s="15"/>
      <c r="Z27" s="22"/>
      <c r="AA27" s="15"/>
      <c r="AB27" s="22"/>
      <c r="AC27" s="15"/>
      <c r="AD27" s="22"/>
      <c r="AE27" s="15"/>
      <c r="AF27" s="22"/>
      <c r="AG27" s="40">
        <v>2</v>
      </c>
      <c r="AH27" s="40">
        <v>3</v>
      </c>
      <c r="AI27" s="40">
        <v>2</v>
      </c>
      <c r="AJ27" s="40">
        <v>2</v>
      </c>
      <c r="AK27" s="40">
        <v>6</v>
      </c>
      <c r="AL27" s="40">
        <v>3</v>
      </c>
      <c r="AM27" s="40">
        <v>4</v>
      </c>
      <c r="AN27" s="40">
        <v>1</v>
      </c>
      <c r="AO27" s="40">
        <v>1</v>
      </c>
      <c r="AP27" s="40">
        <v>2</v>
      </c>
      <c r="AQ27" s="40">
        <v>1</v>
      </c>
      <c r="AR27" s="40">
        <v>0</v>
      </c>
      <c r="AS27" s="40">
        <v>0</v>
      </c>
      <c r="AT27" s="40">
        <v>3</v>
      </c>
      <c r="AU27" s="40">
        <v>2</v>
      </c>
      <c r="AV27" s="40">
        <v>4</v>
      </c>
      <c r="AW27" s="40">
        <v>1</v>
      </c>
      <c r="AX27" s="40">
        <v>2</v>
      </c>
      <c r="AY27" s="40">
        <v>0</v>
      </c>
      <c r="AZ27" s="40">
        <v>0</v>
      </c>
      <c r="BA27" s="40">
        <v>0</v>
      </c>
      <c r="BB27" s="40">
        <v>0</v>
      </c>
      <c r="BC27" s="40">
        <v>0</v>
      </c>
      <c r="BD27" s="40">
        <v>1</v>
      </c>
      <c r="BE27" s="40">
        <v>0</v>
      </c>
      <c r="BF27" s="40">
        <v>0</v>
      </c>
      <c r="BG27" s="40">
        <v>0</v>
      </c>
      <c r="BH27" s="40">
        <v>0</v>
      </c>
      <c r="BI27" s="40">
        <v>0</v>
      </c>
      <c r="BJ27" s="40">
        <v>0</v>
      </c>
      <c r="BK27" s="40">
        <v>0</v>
      </c>
      <c r="BL27" s="40">
        <v>0</v>
      </c>
      <c r="BM27" s="40">
        <v>0</v>
      </c>
      <c r="BN27" s="40">
        <v>0</v>
      </c>
      <c r="BO27" s="40">
        <v>0</v>
      </c>
      <c r="BP27" s="40">
        <v>0</v>
      </c>
      <c r="BQ27" s="40">
        <v>0</v>
      </c>
      <c r="BR27" s="40">
        <v>0</v>
      </c>
      <c r="BS27" s="40">
        <v>1</v>
      </c>
      <c r="BT27" s="40">
        <v>0</v>
      </c>
      <c r="BU27" s="40">
        <v>0</v>
      </c>
      <c r="BV27" s="40">
        <v>0</v>
      </c>
      <c r="BW27" s="40">
        <v>0</v>
      </c>
      <c r="BX27" s="40">
        <v>0</v>
      </c>
      <c r="BY27" s="40">
        <v>0</v>
      </c>
      <c r="BZ27" s="40">
        <v>0</v>
      </c>
      <c r="CA27" s="40">
        <v>0</v>
      </c>
      <c r="CB27" s="40">
        <v>0</v>
      </c>
      <c r="CC27" s="40">
        <v>0</v>
      </c>
      <c r="CD27" s="40">
        <v>1</v>
      </c>
      <c r="CE27" s="40">
        <v>0</v>
      </c>
      <c r="CF27" s="40">
        <v>0</v>
      </c>
      <c r="CG27" s="40">
        <v>0</v>
      </c>
      <c r="CH27" s="40">
        <v>0</v>
      </c>
      <c r="CI27" s="40">
        <v>0</v>
      </c>
      <c r="CJ27" s="40">
        <v>0</v>
      </c>
      <c r="CK27" s="40">
        <v>0</v>
      </c>
      <c r="CL27" s="40">
        <v>0</v>
      </c>
      <c r="CM27" s="40">
        <v>0</v>
      </c>
      <c r="CN27" s="40">
        <v>0</v>
      </c>
      <c r="CO27" s="40">
        <v>0</v>
      </c>
      <c r="CP27" s="40">
        <v>0</v>
      </c>
      <c r="CQ27" s="40">
        <v>0</v>
      </c>
      <c r="CR27" s="40">
        <v>1</v>
      </c>
      <c r="CS27" s="40">
        <v>3</v>
      </c>
      <c r="CT27" s="40">
        <v>0</v>
      </c>
      <c r="CU27" s="40">
        <v>0</v>
      </c>
      <c r="CV27" s="40">
        <v>0</v>
      </c>
      <c r="CW27" s="40">
        <v>1</v>
      </c>
      <c r="CX27" s="41">
        <v>0</v>
      </c>
      <c r="CY27" s="41">
        <v>1</v>
      </c>
      <c r="CZ27" s="41">
        <v>2</v>
      </c>
      <c r="DA27" s="41">
        <v>0</v>
      </c>
      <c r="DB27" s="41">
        <v>0</v>
      </c>
      <c r="DC27" s="41">
        <v>0</v>
      </c>
      <c r="DD27" s="41">
        <v>0</v>
      </c>
      <c r="DE27" s="41">
        <v>0</v>
      </c>
      <c r="DF27" s="41">
        <v>0</v>
      </c>
      <c r="DG27" s="41">
        <v>0</v>
      </c>
      <c r="DH27" s="41">
        <v>0</v>
      </c>
      <c r="DI27" s="41">
        <v>0</v>
      </c>
      <c r="DJ27" s="41">
        <v>0</v>
      </c>
      <c r="DK27" s="41">
        <v>0</v>
      </c>
      <c r="DL27" s="38"/>
    </row>
    <row r="28" spans="1:116" ht="15.75" x14ac:dyDescent="0.25">
      <c r="A28" s="12">
        <f t="shared" si="23"/>
        <v>23</v>
      </c>
      <c r="B28" s="13" t="s">
        <v>27</v>
      </c>
      <c r="C28" s="25">
        <v>2</v>
      </c>
      <c r="D28" s="15"/>
      <c r="E28" s="25">
        <v>0</v>
      </c>
      <c r="F28" s="15"/>
      <c r="G28" s="25">
        <v>3</v>
      </c>
      <c r="H28" s="15"/>
      <c r="I28" s="25">
        <v>1</v>
      </c>
      <c r="J28" s="25"/>
      <c r="K28" s="25">
        <v>3</v>
      </c>
      <c r="L28" s="25"/>
      <c r="M28" s="25">
        <v>0</v>
      </c>
      <c r="N28" s="25"/>
      <c r="O28" s="25">
        <v>6</v>
      </c>
      <c r="P28" s="25"/>
      <c r="Q28" s="25">
        <v>1</v>
      </c>
      <c r="R28" s="22"/>
      <c r="S28" s="25">
        <v>2</v>
      </c>
      <c r="T28" s="22"/>
      <c r="U28" s="25">
        <v>1</v>
      </c>
      <c r="V28" s="22"/>
      <c r="W28" s="15"/>
      <c r="X28" s="22"/>
      <c r="Y28" s="15"/>
      <c r="Z28" s="22"/>
      <c r="AA28" s="15"/>
      <c r="AB28" s="22"/>
      <c r="AC28" s="15"/>
      <c r="AD28" s="22"/>
      <c r="AE28" s="15"/>
      <c r="AF28" s="22"/>
      <c r="AG28" s="40">
        <v>4</v>
      </c>
      <c r="AH28" s="40">
        <v>13</v>
      </c>
      <c r="AI28" s="40">
        <v>10</v>
      </c>
      <c r="AJ28" s="40">
        <v>8</v>
      </c>
      <c r="AK28" s="40">
        <v>14</v>
      </c>
      <c r="AL28" s="40">
        <v>9</v>
      </c>
      <c r="AM28" s="40">
        <v>9</v>
      </c>
      <c r="AN28" s="40">
        <v>9</v>
      </c>
      <c r="AO28" s="40">
        <v>12</v>
      </c>
      <c r="AP28" s="40">
        <v>3</v>
      </c>
      <c r="AQ28" s="40">
        <v>4</v>
      </c>
      <c r="AR28" s="40">
        <v>1</v>
      </c>
      <c r="AS28" s="40">
        <v>3</v>
      </c>
      <c r="AT28" s="40">
        <v>6</v>
      </c>
      <c r="AU28" s="40">
        <v>1</v>
      </c>
      <c r="AV28" s="40">
        <v>3</v>
      </c>
      <c r="AW28" s="40">
        <v>3</v>
      </c>
      <c r="AX28" s="40">
        <v>0</v>
      </c>
      <c r="AY28" s="40">
        <v>1</v>
      </c>
      <c r="AZ28" s="40">
        <v>0</v>
      </c>
      <c r="BA28" s="40">
        <v>1</v>
      </c>
      <c r="BB28" s="40">
        <v>3</v>
      </c>
      <c r="BC28" s="40">
        <v>1</v>
      </c>
      <c r="BD28" s="40">
        <v>1</v>
      </c>
      <c r="BE28" s="40">
        <v>1</v>
      </c>
      <c r="BF28" s="40">
        <v>0</v>
      </c>
      <c r="BG28" s="40">
        <v>2</v>
      </c>
      <c r="BH28" s="40">
        <v>1</v>
      </c>
      <c r="BI28" s="40">
        <v>0</v>
      </c>
      <c r="BJ28" s="40">
        <v>0</v>
      </c>
      <c r="BK28" s="40">
        <v>2</v>
      </c>
      <c r="BL28" s="40">
        <v>0</v>
      </c>
      <c r="BM28" s="40">
        <v>0</v>
      </c>
      <c r="BN28" s="40">
        <v>0</v>
      </c>
      <c r="BO28" s="40">
        <v>2</v>
      </c>
      <c r="BP28" s="40">
        <v>1</v>
      </c>
      <c r="BQ28" s="40">
        <v>1</v>
      </c>
      <c r="BR28" s="40">
        <v>0</v>
      </c>
      <c r="BS28" s="40">
        <v>0</v>
      </c>
      <c r="BT28" s="40">
        <v>0</v>
      </c>
      <c r="BU28" s="40">
        <v>0</v>
      </c>
      <c r="BV28" s="40">
        <v>0</v>
      </c>
      <c r="BW28" s="40">
        <v>0</v>
      </c>
      <c r="BX28" s="40">
        <v>2</v>
      </c>
      <c r="BY28" s="40">
        <v>1</v>
      </c>
      <c r="BZ28" s="40">
        <v>1</v>
      </c>
      <c r="CA28" s="40">
        <v>0</v>
      </c>
      <c r="CB28" s="40">
        <v>1</v>
      </c>
      <c r="CC28" s="40">
        <v>0</v>
      </c>
      <c r="CD28" s="40">
        <v>0</v>
      </c>
      <c r="CE28" s="40">
        <v>2</v>
      </c>
      <c r="CF28" s="40">
        <v>4</v>
      </c>
      <c r="CG28" s="40">
        <v>1</v>
      </c>
      <c r="CH28" s="40">
        <v>0</v>
      </c>
      <c r="CI28" s="40">
        <v>0</v>
      </c>
      <c r="CJ28" s="40">
        <v>1</v>
      </c>
      <c r="CK28" s="40">
        <v>2</v>
      </c>
      <c r="CL28" s="40">
        <v>1</v>
      </c>
      <c r="CM28" s="40">
        <v>0</v>
      </c>
      <c r="CN28" s="40">
        <v>0</v>
      </c>
      <c r="CO28" s="40">
        <v>2</v>
      </c>
      <c r="CP28" s="40">
        <v>1</v>
      </c>
      <c r="CQ28" s="40">
        <v>1</v>
      </c>
      <c r="CR28" s="40">
        <v>1</v>
      </c>
      <c r="CS28" s="40">
        <v>1</v>
      </c>
      <c r="CT28" s="40">
        <v>1</v>
      </c>
      <c r="CU28" s="40">
        <v>1</v>
      </c>
      <c r="CV28" s="40">
        <v>0</v>
      </c>
      <c r="CW28" s="40">
        <v>1</v>
      </c>
      <c r="CX28" s="41">
        <v>0</v>
      </c>
      <c r="CY28" s="41">
        <v>5</v>
      </c>
      <c r="CZ28" s="41">
        <v>0</v>
      </c>
      <c r="DA28" s="41">
        <v>2</v>
      </c>
      <c r="DB28" s="41">
        <v>2</v>
      </c>
      <c r="DC28" s="41">
        <v>1</v>
      </c>
      <c r="DD28" s="41">
        <v>1</v>
      </c>
      <c r="DE28" s="41">
        <v>0</v>
      </c>
      <c r="DF28" s="41">
        <v>4</v>
      </c>
      <c r="DG28" s="41">
        <v>0</v>
      </c>
      <c r="DH28" s="41">
        <v>0</v>
      </c>
      <c r="DI28" s="41">
        <v>1</v>
      </c>
      <c r="DJ28" s="41">
        <v>1</v>
      </c>
      <c r="DK28" s="41">
        <v>4</v>
      </c>
      <c r="DL28" s="38"/>
    </row>
    <row r="29" spans="1:116" ht="15.75" x14ac:dyDescent="0.25">
      <c r="A29" s="12">
        <f t="shared" si="23"/>
        <v>24</v>
      </c>
      <c r="B29" s="13" t="s">
        <v>28</v>
      </c>
      <c r="C29" s="25">
        <v>1000</v>
      </c>
      <c r="D29" s="15"/>
      <c r="E29" s="25">
        <v>1000</v>
      </c>
      <c r="F29" s="15"/>
      <c r="G29" s="25">
        <v>1000</v>
      </c>
      <c r="H29" s="15"/>
      <c r="I29" s="25">
        <v>1000</v>
      </c>
      <c r="J29" s="22"/>
      <c r="K29" s="25">
        <v>1000</v>
      </c>
      <c r="L29" s="22"/>
      <c r="M29" s="25">
        <v>1000</v>
      </c>
      <c r="N29" s="22"/>
      <c r="O29" s="25">
        <v>1000</v>
      </c>
      <c r="P29" s="22"/>
      <c r="Q29" s="25">
        <v>1000</v>
      </c>
      <c r="R29" s="22"/>
      <c r="S29" s="25">
        <v>1000</v>
      </c>
      <c r="T29" s="22"/>
      <c r="U29" s="25">
        <v>1000</v>
      </c>
      <c r="V29" s="22"/>
      <c r="W29" s="15"/>
      <c r="X29" s="22"/>
      <c r="Y29" s="15"/>
      <c r="Z29" s="22"/>
      <c r="AA29" s="15"/>
      <c r="AB29" s="22"/>
      <c r="AC29" s="15"/>
      <c r="AD29" s="22"/>
      <c r="AE29" s="15"/>
      <c r="AF29" s="22"/>
      <c r="AG29" s="18">
        <f>SUM(AG26:AG28)</f>
        <v>20</v>
      </c>
      <c r="AH29" s="18">
        <f>SUM(AH26:AH28)</f>
        <v>61</v>
      </c>
      <c r="AI29" s="18">
        <f>SUM(AI26:AI28)</f>
        <v>44</v>
      </c>
      <c r="AJ29" s="18">
        <f>SUM(AJ26:AJ28)</f>
        <v>33</v>
      </c>
      <c r="AK29" s="18">
        <f>SUM(AK26:AK28)</f>
        <v>48</v>
      </c>
      <c r="AL29" s="18">
        <v>42</v>
      </c>
      <c r="AM29" s="18">
        <v>33</v>
      </c>
      <c r="AN29" s="18">
        <f t="shared" ref="AN29:AS29" si="209">SUM(AN26:AN28)</f>
        <v>22</v>
      </c>
      <c r="AO29" s="18">
        <f t="shared" si="209"/>
        <v>33</v>
      </c>
      <c r="AP29" s="18">
        <f t="shared" si="209"/>
        <v>22</v>
      </c>
      <c r="AQ29" s="18">
        <f t="shared" si="209"/>
        <v>14</v>
      </c>
      <c r="AR29" s="18">
        <f t="shared" si="209"/>
        <v>1</v>
      </c>
      <c r="AS29" s="18">
        <f t="shared" si="209"/>
        <v>17</v>
      </c>
      <c r="AT29" s="18">
        <f t="shared" ref="AT29:AZ29" si="210">SUM(AT26:AT28)</f>
        <v>28</v>
      </c>
      <c r="AU29" s="18">
        <f t="shared" si="210"/>
        <v>11</v>
      </c>
      <c r="AV29" s="18">
        <f t="shared" si="210"/>
        <v>18</v>
      </c>
      <c r="AW29" s="18">
        <f t="shared" si="210"/>
        <v>17</v>
      </c>
      <c r="AX29" s="18">
        <f t="shared" si="210"/>
        <v>8</v>
      </c>
      <c r="AY29" s="18">
        <f t="shared" si="210"/>
        <v>1</v>
      </c>
      <c r="AZ29" s="18">
        <f t="shared" si="210"/>
        <v>3</v>
      </c>
      <c r="BA29" s="18">
        <f t="shared" ref="BA29:BH29" si="211">SUM(BA26:BA28)</f>
        <v>2</v>
      </c>
      <c r="BB29" s="18">
        <f t="shared" si="211"/>
        <v>4</v>
      </c>
      <c r="BC29" s="18">
        <f t="shared" si="211"/>
        <v>2</v>
      </c>
      <c r="BD29" s="18">
        <f t="shared" si="211"/>
        <v>2</v>
      </c>
      <c r="BE29" s="18">
        <f t="shared" si="211"/>
        <v>3</v>
      </c>
      <c r="BF29" s="18">
        <f t="shared" si="211"/>
        <v>2</v>
      </c>
      <c r="BG29" s="18">
        <f t="shared" si="211"/>
        <v>6</v>
      </c>
      <c r="BH29" s="18">
        <f t="shared" si="211"/>
        <v>2</v>
      </c>
      <c r="BI29" s="18">
        <f t="shared" ref="BI29:BO29" si="212">SUM(BI26:BI28)</f>
        <v>1</v>
      </c>
      <c r="BJ29" s="18">
        <f t="shared" si="212"/>
        <v>6</v>
      </c>
      <c r="BK29" s="18">
        <f t="shared" si="212"/>
        <v>4</v>
      </c>
      <c r="BL29" s="18">
        <f t="shared" si="212"/>
        <v>1</v>
      </c>
      <c r="BM29" s="18">
        <f t="shared" si="212"/>
        <v>0</v>
      </c>
      <c r="BN29" s="18">
        <f t="shared" si="212"/>
        <v>0</v>
      </c>
      <c r="BO29" s="18">
        <f t="shared" si="212"/>
        <v>2</v>
      </c>
      <c r="BP29" s="18">
        <f t="shared" ref="BP29:BV29" si="213">SUM(BP26:BP28)</f>
        <v>10</v>
      </c>
      <c r="BQ29" s="18">
        <f t="shared" si="213"/>
        <v>2</v>
      </c>
      <c r="BR29" s="18">
        <f t="shared" si="213"/>
        <v>0</v>
      </c>
      <c r="BS29" s="18">
        <f t="shared" si="213"/>
        <v>7</v>
      </c>
      <c r="BT29" s="18">
        <f t="shared" si="213"/>
        <v>1</v>
      </c>
      <c r="BU29" s="18">
        <f t="shared" si="213"/>
        <v>0</v>
      </c>
      <c r="BV29" s="18">
        <f t="shared" si="213"/>
        <v>1</v>
      </c>
      <c r="BW29" s="18">
        <f t="shared" ref="BW29:CB29" si="214">SUM(BW26:BW28)</f>
        <v>0</v>
      </c>
      <c r="BX29" s="18">
        <f t="shared" si="214"/>
        <v>2</v>
      </c>
      <c r="BY29" s="18">
        <f t="shared" si="214"/>
        <v>2</v>
      </c>
      <c r="BZ29" s="18">
        <f t="shared" si="214"/>
        <v>1</v>
      </c>
      <c r="CA29" s="18">
        <f t="shared" si="214"/>
        <v>2</v>
      </c>
      <c r="CB29" s="18">
        <f t="shared" si="214"/>
        <v>1</v>
      </c>
      <c r="CC29" s="18">
        <f t="shared" ref="CC29:CD29" si="215">SUM(CC26:CC28)</f>
        <v>1</v>
      </c>
      <c r="CD29" s="18">
        <f t="shared" si="215"/>
        <v>1</v>
      </c>
      <c r="CE29" s="18">
        <f t="shared" ref="CE29:CF29" si="216">SUM(CE26:CE28)</f>
        <v>4</v>
      </c>
      <c r="CF29" s="18">
        <f t="shared" si="216"/>
        <v>6</v>
      </c>
      <c r="CG29" s="18">
        <f t="shared" ref="CG29:CH29" si="217">SUM(CG26:CG28)</f>
        <v>3</v>
      </c>
      <c r="CH29" s="18">
        <f t="shared" si="217"/>
        <v>0</v>
      </c>
      <c r="CI29" s="18">
        <f t="shared" ref="CI29:CJ29" si="218">SUM(CI26:CI28)</f>
        <v>0</v>
      </c>
      <c r="CJ29" s="18">
        <f t="shared" si="218"/>
        <v>1</v>
      </c>
      <c r="CK29" s="18">
        <f t="shared" ref="CK29" si="219">SUM(CK26:CK28)</f>
        <v>3</v>
      </c>
      <c r="CL29" s="18">
        <f t="shared" ref="CL29:CM29" si="220">SUM(CL26:CL28)</f>
        <v>3</v>
      </c>
      <c r="CM29" s="18">
        <f t="shared" si="220"/>
        <v>0</v>
      </c>
      <c r="CN29" s="18">
        <f t="shared" ref="CN29:CO29" si="221">SUM(CN26:CN28)</f>
        <v>1</v>
      </c>
      <c r="CO29" s="18">
        <f t="shared" si="221"/>
        <v>3</v>
      </c>
      <c r="CP29" s="18">
        <f t="shared" ref="CP29" si="222">SUM(CP26:CP28)</f>
        <v>3</v>
      </c>
      <c r="CQ29" s="18">
        <f t="shared" ref="CQ29:CR29" si="223">SUM(CQ26:CQ28)</f>
        <v>3</v>
      </c>
      <c r="CR29" s="18">
        <f t="shared" si="223"/>
        <v>5</v>
      </c>
      <c r="CS29" s="18">
        <f t="shared" ref="CS29:CT29" si="224">SUM(CS26:CS28)</f>
        <v>6</v>
      </c>
      <c r="CT29" s="18">
        <f t="shared" si="224"/>
        <v>2</v>
      </c>
      <c r="CU29" s="18">
        <f t="shared" ref="CU29:CV29" si="225">SUM(CU26:CU28)</f>
        <v>1</v>
      </c>
      <c r="CV29" s="18">
        <f t="shared" si="225"/>
        <v>0</v>
      </c>
      <c r="CW29" s="18">
        <f t="shared" ref="CW29:CX29" si="226">SUM(CW26:CW28)</f>
        <v>4</v>
      </c>
      <c r="CX29" s="18">
        <f t="shared" si="226"/>
        <v>8</v>
      </c>
      <c r="CY29" s="18">
        <f t="shared" ref="CY29:CZ29" si="227">SUM(CY26:CY28)</f>
        <v>8</v>
      </c>
      <c r="CZ29" s="18">
        <f t="shared" si="227"/>
        <v>7</v>
      </c>
      <c r="DA29" s="18">
        <f t="shared" ref="DA29:DB29" si="228">SUM(DA26:DA28)</f>
        <v>5</v>
      </c>
      <c r="DB29" s="18">
        <f t="shared" si="228"/>
        <v>3</v>
      </c>
      <c r="DC29" s="18">
        <f t="shared" ref="DC29:DD29" si="229">SUM(DC26:DC28)</f>
        <v>4</v>
      </c>
      <c r="DD29" s="18">
        <f t="shared" si="229"/>
        <v>4</v>
      </c>
      <c r="DE29" s="18">
        <f t="shared" ref="DE29:DF29" si="230">SUM(DE26:DE28)</f>
        <v>2</v>
      </c>
      <c r="DF29" s="18">
        <f t="shared" si="230"/>
        <v>4</v>
      </c>
      <c r="DG29" s="18">
        <f t="shared" ref="DG29:DH29" si="231">SUM(DG26:DG28)</f>
        <v>1</v>
      </c>
      <c r="DH29" s="18">
        <f t="shared" si="231"/>
        <v>0</v>
      </c>
      <c r="DI29" s="18">
        <f t="shared" ref="DI29:DJ29" si="232">SUM(DI26:DI28)</f>
        <v>3</v>
      </c>
      <c r="DJ29" s="18">
        <f t="shared" si="232"/>
        <v>2</v>
      </c>
      <c r="DK29" s="18">
        <f t="shared" ref="DK29" si="233">SUM(DK26:DK28)</f>
        <v>6</v>
      </c>
      <c r="DL29" s="38"/>
    </row>
    <row r="30" spans="1:116" ht="15.75" x14ac:dyDescent="0.25">
      <c r="A30" s="12">
        <f t="shared" si="23"/>
        <v>25</v>
      </c>
      <c r="B30" s="13" t="s">
        <v>29</v>
      </c>
      <c r="C30" s="25"/>
      <c r="D30" s="15"/>
      <c r="E30" s="25"/>
      <c r="F30" s="15"/>
      <c r="G30" s="25"/>
      <c r="H30" s="15"/>
      <c r="I30" s="25"/>
      <c r="J30" s="22"/>
      <c r="K30" s="25"/>
      <c r="L30" s="22"/>
      <c r="M30" s="25"/>
      <c r="N30" s="22"/>
      <c r="O30" s="25"/>
      <c r="P30" s="22"/>
      <c r="Q30" s="25"/>
      <c r="R30" s="22"/>
      <c r="S30" s="25"/>
      <c r="T30" s="22"/>
      <c r="U30" s="25"/>
      <c r="V30" s="22"/>
      <c r="W30" s="15"/>
      <c r="X30" s="22"/>
      <c r="Y30" s="15"/>
      <c r="Z30" s="22"/>
      <c r="AA30" s="15"/>
      <c r="AB30" s="22"/>
      <c r="AC30" s="15"/>
      <c r="AD30" s="22"/>
      <c r="AE30" s="15"/>
      <c r="AF30" s="22"/>
      <c r="AG30" s="15">
        <v>6.9999999999999999E-4</v>
      </c>
      <c r="AH30" s="15">
        <v>1.8E-3</v>
      </c>
      <c r="AI30" s="15">
        <v>1.2999999999999999E-3</v>
      </c>
      <c r="AJ30" s="15">
        <v>8.0000000000000004E-4</v>
      </c>
      <c r="AK30" s="15">
        <v>1.2999999999999999E-3</v>
      </c>
      <c r="AL30" s="15">
        <v>1.2999999999999999E-3</v>
      </c>
      <c r="AM30" s="15">
        <v>1.0700736080936476E-3</v>
      </c>
      <c r="AN30" s="15">
        <f t="shared" ref="AN30:AS30" si="234">AN29/AN13</f>
        <v>7.1598268623686008E-4</v>
      </c>
      <c r="AO30" s="15">
        <f t="shared" si="234"/>
        <v>1.1819484240687679E-3</v>
      </c>
      <c r="AP30" s="15">
        <f t="shared" si="234"/>
        <v>7.4934432371674784E-4</v>
      </c>
      <c r="AQ30" s="15">
        <f t="shared" si="234"/>
        <v>5.2023336182230318E-4</v>
      </c>
      <c r="AR30" s="15">
        <f t="shared" si="234"/>
        <v>2.9585798816568047E-3</v>
      </c>
      <c r="AS30" s="15">
        <f t="shared" si="234"/>
        <v>9.3099671412924425E-4</v>
      </c>
      <c r="AT30" s="15">
        <f t="shared" ref="AT30:AZ30" si="235">AT29/AT13</f>
        <v>1.8895937373464705E-3</v>
      </c>
      <c r="AU30" s="15">
        <f t="shared" si="235"/>
        <v>7.9837421977064886E-4</v>
      </c>
      <c r="AV30" s="15">
        <f t="shared" si="235"/>
        <v>1.3140604467805519E-3</v>
      </c>
      <c r="AW30" s="15">
        <f t="shared" si="235"/>
        <v>1.5815424690668899E-3</v>
      </c>
      <c r="AX30" s="15">
        <f t="shared" si="235"/>
        <v>6.7854113655640372E-4</v>
      </c>
      <c r="AY30" s="15">
        <f t="shared" si="235"/>
        <v>9.6571704490584258E-5</v>
      </c>
      <c r="AZ30" s="15">
        <f t="shared" si="235"/>
        <v>3.0238887208950711E-4</v>
      </c>
      <c r="BA30" s="15">
        <f t="shared" ref="BA30:BH30" si="236">BA29/BA13</f>
        <v>1.6753224995811694E-4</v>
      </c>
      <c r="BB30" s="15">
        <f t="shared" si="236"/>
        <v>3.4016498001530741E-4</v>
      </c>
      <c r="BC30" s="15">
        <f t="shared" si="236"/>
        <v>3.2164683177870698E-4</v>
      </c>
      <c r="BD30" s="15">
        <f t="shared" si="236"/>
        <v>1.6909029421711193E-4</v>
      </c>
      <c r="BE30" s="15">
        <f t="shared" si="236"/>
        <v>2.2858884486437063E-4</v>
      </c>
      <c r="BF30" s="15">
        <f t="shared" si="236"/>
        <v>1.6420361247947455E-4</v>
      </c>
      <c r="BG30" s="15">
        <f t="shared" si="236"/>
        <v>4.4179368235034241E-4</v>
      </c>
      <c r="BH30" s="15">
        <f t="shared" si="236"/>
        <v>1.8127435874195594E-4</v>
      </c>
      <c r="BI30" s="15">
        <f t="shared" ref="BI30:BO30" si="237">BI29/BI13</f>
        <v>9.2489826119126898E-5</v>
      </c>
      <c r="BJ30" s="15">
        <f t="shared" si="237"/>
        <v>5.0079292212670064E-4</v>
      </c>
      <c r="BK30" s="15">
        <f t="shared" si="237"/>
        <v>4.7675804529201431E-4</v>
      </c>
      <c r="BL30" s="15">
        <f t="shared" si="237"/>
        <v>1.1642798928862498E-4</v>
      </c>
      <c r="BM30" s="15">
        <f t="shared" si="237"/>
        <v>0</v>
      </c>
      <c r="BN30" s="15">
        <f t="shared" si="237"/>
        <v>0</v>
      </c>
      <c r="BO30" s="15">
        <f t="shared" si="237"/>
        <v>1.6151174997981103E-4</v>
      </c>
      <c r="BP30" s="15">
        <f t="shared" ref="BP30:BV30" si="238">BP29/BP13</f>
        <v>8.2549116724451048E-4</v>
      </c>
      <c r="BQ30" s="15">
        <f t="shared" si="238"/>
        <v>1.790670606142E-4</v>
      </c>
      <c r="BR30" s="15">
        <f t="shared" si="238"/>
        <v>0</v>
      </c>
      <c r="BS30" s="15">
        <f t="shared" si="238"/>
        <v>6.0684872128305162E-4</v>
      </c>
      <c r="BT30" s="15">
        <f t="shared" si="238"/>
        <v>9.7837784952548671E-5</v>
      </c>
      <c r="BU30" s="15">
        <f t="shared" si="238"/>
        <v>0</v>
      </c>
      <c r="BV30" s="15">
        <f t="shared" si="238"/>
        <v>1.1999040076793856E-4</v>
      </c>
      <c r="BW30" s="15">
        <f t="shared" ref="BW30:CB30" si="239">BW29/BW13</f>
        <v>0</v>
      </c>
      <c r="BX30" s="15">
        <f t="shared" si="239"/>
        <v>2.4679170779861795E-4</v>
      </c>
      <c r="BY30" s="15">
        <f t="shared" si="239"/>
        <v>2.4594195769798326E-4</v>
      </c>
      <c r="BZ30" s="15">
        <f t="shared" si="239"/>
        <v>1.0813148788927336E-4</v>
      </c>
      <c r="CA30" s="15">
        <f t="shared" si="239"/>
        <v>1.8256503879507074E-4</v>
      </c>
      <c r="CB30" s="15">
        <f t="shared" si="239"/>
        <v>9.1441111923920999E-5</v>
      </c>
      <c r="CC30" s="15">
        <f t="shared" ref="CC30:CD30" si="240">CC29/CC13</f>
        <v>8.9798850574712642E-5</v>
      </c>
      <c r="CD30" s="15">
        <f t="shared" si="240"/>
        <v>8.0231065468549417E-5</v>
      </c>
      <c r="CE30" s="15">
        <f t="shared" ref="CE30:CF30" si="241">CE29/CE13</f>
        <v>3.9373954129343438E-4</v>
      </c>
      <c r="CF30" s="15">
        <f t="shared" si="241"/>
        <v>6.3721325403568395E-4</v>
      </c>
      <c r="CG30" s="15">
        <f t="shared" ref="CG30:CH30" si="242">CG29/CG13</f>
        <v>2.9097963142580018E-4</v>
      </c>
      <c r="CH30" s="15">
        <f t="shared" si="242"/>
        <v>0</v>
      </c>
      <c r="CI30" s="15">
        <f t="shared" ref="CI30:CJ30" si="243">CI29/CI13</f>
        <v>0</v>
      </c>
      <c r="CJ30" s="15">
        <f t="shared" si="243"/>
        <v>1.0813148788927336E-4</v>
      </c>
      <c r="CK30" s="15">
        <f t="shared" ref="CK30" si="244">CK29/CK13</f>
        <v>3.6354823073194375E-4</v>
      </c>
      <c r="CL30" s="15">
        <f t="shared" ref="CL30:CM30" si="245">CL29/CL13</f>
        <v>3.0883261272390367E-4</v>
      </c>
      <c r="CM30" s="15">
        <f t="shared" si="245"/>
        <v>0</v>
      </c>
      <c r="CN30" s="15">
        <f t="shared" ref="CN30:CP30" si="246">CN29/CN13</f>
        <v>8.2392683529702558E-5</v>
      </c>
      <c r="CO30" s="15">
        <f t="shared" si="246"/>
        <v>1.8639328984156571E-4</v>
      </c>
      <c r="CP30" s="15">
        <f t="shared" si="246"/>
        <v>2.0980488146024197E-4</v>
      </c>
      <c r="CQ30" s="15">
        <f t="shared" ref="CQ30:CR30" si="247">CQ29/CQ13</f>
        <v>1.9647652105573383E-4</v>
      </c>
      <c r="CR30" s="15">
        <f t="shared" si="247"/>
        <v>3.5780735651925002E-4</v>
      </c>
      <c r="CS30" s="15">
        <f t="shared" ref="CS30:CT30" si="248">CS29/CS13</f>
        <v>4.8967599771484538E-4</v>
      </c>
      <c r="CT30" s="15">
        <f t="shared" si="248"/>
        <v>1.6763054228480429E-4</v>
      </c>
      <c r="CU30" s="15">
        <f t="shared" ref="CU30:CV30" si="249">CU29/CU13</f>
        <v>1.0262725779967159E-4</v>
      </c>
      <c r="CV30" s="15">
        <f t="shared" si="249"/>
        <v>0</v>
      </c>
      <c r="CW30" s="15">
        <f t="shared" ref="CW30:CX30" si="250">CW29/CW13</f>
        <v>2.3643456673365647E-4</v>
      </c>
      <c r="CX30" s="15">
        <f t="shared" si="250"/>
        <v>5.1075783694056051E-4</v>
      </c>
      <c r="CY30" s="15">
        <f t="shared" ref="CY30:CZ30" si="251">CY29/CY13</f>
        <v>4.5070422535211269E-4</v>
      </c>
      <c r="CZ30" s="15">
        <f t="shared" si="251"/>
        <v>4.2592029205962886E-4</v>
      </c>
      <c r="DA30" s="15">
        <f t="shared" ref="DA30:DB30" si="252">DA29/DA13</f>
        <v>3.1723875388617475E-4</v>
      </c>
      <c r="DB30" s="15">
        <f t="shared" si="252"/>
        <v>2.2720387761284461E-4</v>
      </c>
      <c r="DC30" s="15">
        <f t="shared" ref="DC30:DD30" si="253">DC29/DC13</f>
        <v>2.9958058717795088E-4</v>
      </c>
      <c r="DD30" s="15">
        <f t="shared" si="253"/>
        <v>3.1372549019607844E-4</v>
      </c>
      <c r="DE30" s="15">
        <f t="shared" ref="DE30:DF30" si="254">DE29/DE13</f>
        <v>1.6582372937567366E-4</v>
      </c>
      <c r="DF30" s="15">
        <f t="shared" si="254"/>
        <v>3.6370249136206582E-4</v>
      </c>
      <c r="DG30" s="15">
        <f t="shared" ref="DG30:DH30" si="255">DG29/DG13</f>
        <v>9.2704180958561231E-5</v>
      </c>
      <c r="DH30" s="15">
        <f t="shared" si="255"/>
        <v>0</v>
      </c>
      <c r="DI30" s="15">
        <f t="shared" ref="DI30:DJ30" si="256">DI29/DI13</f>
        <v>2.1707670043415341E-4</v>
      </c>
      <c r="DJ30" s="15">
        <f t="shared" si="256"/>
        <v>1.2146978439113271E-4</v>
      </c>
      <c r="DK30" s="15">
        <f t="shared" ref="DK30" si="257">DK29/DK13</f>
        <v>2.8359408233681523E-4</v>
      </c>
      <c r="DL30" s="38"/>
    </row>
    <row r="31" spans="1:116" ht="15.75" x14ac:dyDescent="0.25">
      <c r="A31" s="12">
        <f t="shared" si="23"/>
        <v>26</v>
      </c>
      <c r="B31" s="13" t="s">
        <v>30</v>
      </c>
      <c r="C31" s="25"/>
      <c r="D31" s="15"/>
      <c r="E31" s="25"/>
      <c r="F31" s="15"/>
      <c r="G31" s="25"/>
      <c r="H31" s="15"/>
      <c r="I31" s="25"/>
      <c r="J31" s="22"/>
      <c r="K31" s="25"/>
      <c r="L31" s="22"/>
      <c r="M31" s="25"/>
      <c r="N31" s="22"/>
      <c r="O31" s="25"/>
      <c r="P31" s="22"/>
      <c r="Q31" s="25"/>
      <c r="R31" s="22"/>
      <c r="S31" s="25"/>
      <c r="T31" s="22"/>
      <c r="U31" s="25"/>
      <c r="V31" s="22"/>
      <c r="W31" s="15"/>
      <c r="X31" s="22"/>
      <c r="Y31" s="15"/>
      <c r="Z31" s="22"/>
      <c r="AA31" s="15"/>
      <c r="AB31" s="22"/>
      <c r="AC31" s="15"/>
      <c r="AD31" s="22"/>
      <c r="AE31" s="15"/>
      <c r="AF31" s="22"/>
      <c r="AG31" s="15">
        <v>1E-3</v>
      </c>
      <c r="AH31" s="15">
        <v>1E-3</v>
      </c>
      <c r="AI31" s="15">
        <v>1E-3</v>
      </c>
      <c r="AJ31" s="15">
        <v>1E-3</v>
      </c>
      <c r="AK31" s="15">
        <v>1E-3</v>
      </c>
      <c r="AL31" s="15">
        <v>1E-3</v>
      </c>
      <c r="AM31" s="15">
        <v>1E-3</v>
      </c>
      <c r="AN31" s="15">
        <v>1E-3</v>
      </c>
      <c r="AO31" s="15">
        <v>1E-3</v>
      </c>
      <c r="AP31" s="15">
        <v>1E-3</v>
      </c>
      <c r="AQ31" s="15">
        <v>1E-3</v>
      </c>
      <c r="AR31" s="15">
        <v>1E-3</v>
      </c>
      <c r="AS31" s="15">
        <v>1E-3</v>
      </c>
      <c r="AT31" s="15">
        <v>1E-3</v>
      </c>
      <c r="AU31" s="15">
        <v>1E-3</v>
      </c>
      <c r="AV31" s="15">
        <v>1E-3</v>
      </c>
      <c r="AW31" s="15">
        <v>1E-3</v>
      </c>
      <c r="AX31" s="15">
        <v>1E-3</v>
      </c>
      <c r="AY31" s="15">
        <v>1E-3</v>
      </c>
      <c r="AZ31" s="15">
        <v>1E-3</v>
      </c>
      <c r="BA31" s="15">
        <v>1E-3</v>
      </c>
      <c r="BB31" s="15">
        <v>1E-3</v>
      </c>
      <c r="BC31" s="15">
        <v>1E-3</v>
      </c>
      <c r="BD31" s="15">
        <v>1E-3</v>
      </c>
      <c r="BE31" s="15">
        <v>1E-3</v>
      </c>
      <c r="BF31" s="15">
        <v>1E-3</v>
      </c>
      <c r="BG31" s="15">
        <v>1E-3</v>
      </c>
      <c r="BH31" s="15">
        <v>1E-3</v>
      </c>
      <c r="BI31" s="15">
        <v>1E-3</v>
      </c>
      <c r="BJ31" s="15">
        <v>1E-3</v>
      </c>
      <c r="BK31" s="15">
        <v>1E-3</v>
      </c>
      <c r="BL31" s="15">
        <v>1E-3</v>
      </c>
      <c r="BM31" s="15">
        <v>1E-3</v>
      </c>
      <c r="BN31" s="15">
        <v>1E-3</v>
      </c>
      <c r="BO31" s="15">
        <v>1E-3</v>
      </c>
      <c r="BP31" s="15">
        <v>1E-3</v>
      </c>
      <c r="BQ31" s="15">
        <v>1E-3</v>
      </c>
      <c r="BR31" s="15">
        <v>1E-3</v>
      </c>
      <c r="BS31" s="15">
        <v>1E-3</v>
      </c>
      <c r="BT31" s="15">
        <v>1E-3</v>
      </c>
      <c r="BU31" s="15">
        <v>1E-3</v>
      </c>
      <c r="BV31" s="15">
        <v>1E-3</v>
      </c>
      <c r="BW31" s="15">
        <v>1E-3</v>
      </c>
      <c r="BX31" s="15">
        <v>1E-3</v>
      </c>
      <c r="BY31" s="15">
        <v>1E-3</v>
      </c>
      <c r="BZ31" s="15">
        <v>1E-3</v>
      </c>
      <c r="CA31" s="15">
        <v>1E-3</v>
      </c>
      <c r="CB31" s="15">
        <v>1E-3</v>
      </c>
      <c r="CC31" s="15">
        <v>1E-3</v>
      </c>
      <c r="CD31" s="15">
        <v>1E-3</v>
      </c>
      <c r="CE31" s="15">
        <v>1E-3</v>
      </c>
      <c r="CF31" s="15">
        <v>1E-3</v>
      </c>
      <c r="CG31" s="15">
        <v>1E-3</v>
      </c>
      <c r="CH31" s="15">
        <v>1E-3</v>
      </c>
      <c r="CI31" s="15">
        <v>1E-3</v>
      </c>
      <c r="CJ31" s="15">
        <v>1E-3</v>
      </c>
      <c r="CK31" s="15">
        <v>1E-3</v>
      </c>
      <c r="CL31" s="15">
        <v>1E-3</v>
      </c>
      <c r="CM31" s="15">
        <v>1E-3</v>
      </c>
      <c r="CN31" s="15">
        <v>1E-3</v>
      </c>
      <c r="CO31" s="15">
        <v>1E-3</v>
      </c>
      <c r="CP31" s="15">
        <v>1E-3</v>
      </c>
      <c r="CQ31" s="15">
        <v>1E-3</v>
      </c>
      <c r="CR31" s="15">
        <v>1E-3</v>
      </c>
      <c r="CS31" s="15">
        <v>1E-3</v>
      </c>
      <c r="CT31" s="15">
        <v>1E-3</v>
      </c>
      <c r="CU31" s="15">
        <v>1E-3</v>
      </c>
      <c r="CV31" s="15">
        <v>1E-3</v>
      </c>
      <c r="CW31" s="15">
        <v>1E-3</v>
      </c>
      <c r="CX31" s="15">
        <v>1E-3</v>
      </c>
      <c r="CY31" s="15">
        <v>1E-3</v>
      </c>
      <c r="CZ31" s="15">
        <v>1E-3</v>
      </c>
      <c r="DA31" s="15">
        <v>1E-3</v>
      </c>
      <c r="DB31" s="15">
        <v>1E-3</v>
      </c>
      <c r="DC31" s="15">
        <v>1E-3</v>
      </c>
      <c r="DD31" s="15">
        <v>1E-3</v>
      </c>
      <c r="DE31" s="15">
        <v>1E-3</v>
      </c>
      <c r="DF31" s="15">
        <v>1E-3</v>
      </c>
      <c r="DG31" s="15">
        <v>1E-3</v>
      </c>
      <c r="DH31" s="15">
        <v>1E-3</v>
      </c>
      <c r="DI31" s="15">
        <v>1E-3</v>
      </c>
      <c r="DJ31" s="15">
        <v>1E-3</v>
      </c>
      <c r="DK31" s="15">
        <v>1E-3</v>
      </c>
      <c r="DL31" s="38"/>
    </row>
    <row r="32" spans="1:116" ht="15.75" x14ac:dyDescent="0.25">
      <c r="A32" s="12">
        <f t="shared" si="23"/>
        <v>27</v>
      </c>
      <c r="B32" s="13" t="s">
        <v>31</v>
      </c>
      <c r="C32" s="30">
        <v>20000000</v>
      </c>
      <c r="D32" s="15"/>
      <c r="E32" s="30">
        <v>20000000</v>
      </c>
      <c r="F32" s="15"/>
      <c r="G32" s="30">
        <v>20000000</v>
      </c>
      <c r="H32" s="15"/>
      <c r="I32" s="30">
        <v>20000000</v>
      </c>
      <c r="J32" s="22"/>
      <c r="K32" s="30">
        <v>20000000</v>
      </c>
      <c r="L32" s="22"/>
      <c r="M32" s="30">
        <v>20000000</v>
      </c>
      <c r="N32" s="22"/>
      <c r="O32" s="30">
        <v>20000000</v>
      </c>
      <c r="P32" s="22"/>
      <c r="Q32" s="30">
        <v>20000000</v>
      </c>
      <c r="R32" s="22"/>
      <c r="S32" s="30">
        <v>20000000</v>
      </c>
      <c r="T32" s="22"/>
      <c r="U32" s="30">
        <v>20000000</v>
      </c>
      <c r="V32" s="22"/>
      <c r="W32" s="15"/>
      <c r="X32" s="22"/>
      <c r="Y32" s="15"/>
      <c r="Z32" s="22"/>
      <c r="AA32" s="15"/>
      <c r="AB32" s="22"/>
      <c r="AC32" s="15"/>
      <c r="AD32" s="22"/>
      <c r="AE32" s="15"/>
      <c r="AF32" s="22"/>
      <c r="AG32" s="18">
        <v>1408</v>
      </c>
      <c r="AH32" s="18">
        <v>1482</v>
      </c>
      <c r="AI32" s="18">
        <v>1121</v>
      </c>
      <c r="AJ32" s="18">
        <v>1328</v>
      </c>
      <c r="AK32" s="18">
        <v>1284</v>
      </c>
      <c r="AL32" s="18">
        <v>1095</v>
      </c>
      <c r="AM32" s="18">
        <v>1393</v>
      </c>
      <c r="AN32" s="18">
        <v>1219</v>
      </c>
      <c r="AO32" s="18">
        <v>1159</v>
      </c>
      <c r="AP32" s="18">
        <v>1227</v>
      </c>
      <c r="AQ32" s="18">
        <v>834</v>
      </c>
      <c r="AR32" s="18">
        <v>0</v>
      </c>
      <c r="AS32" s="18">
        <v>0</v>
      </c>
      <c r="AT32" s="18">
        <v>0</v>
      </c>
      <c r="AU32" s="18">
        <v>696</v>
      </c>
      <c r="AV32" s="18">
        <v>716</v>
      </c>
      <c r="AW32" s="18">
        <v>731</v>
      </c>
      <c r="AX32" s="18">
        <v>1099</v>
      </c>
      <c r="AY32" s="18">
        <v>985</v>
      </c>
      <c r="AZ32" s="18">
        <v>1027</v>
      </c>
      <c r="BA32" s="18">
        <v>1648</v>
      </c>
      <c r="BB32" s="18">
        <v>1556</v>
      </c>
      <c r="BC32" s="18">
        <v>1257</v>
      </c>
      <c r="BD32" s="18">
        <v>1872</v>
      </c>
      <c r="BE32" s="18">
        <v>1618</v>
      </c>
      <c r="BF32" s="18">
        <v>1998</v>
      </c>
      <c r="BG32" s="18">
        <v>1912</v>
      </c>
      <c r="BH32" s="18">
        <v>1756</v>
      </c>
      <c r="BI32" s="18">
        <v>1842</v>
      </c>
      <c r="BJ32" s="18">
        <v>1949</v>
      </c>
      <c r="BK32" s="18">
        <v>1316</v>
      </c>
      <c r="BL32" s="18">
        <v>1736</v>
      </c>
      <c r="BM32" s="18">
        <v>2095</v>
      </c>
      <c r="BN32" s="18">
        <v>2440</v>
      </c>
      <c r="BO32" s="18">
        <v>2561</v>
      </c>
      <c r="BP32" s="18">
        <v>2649</v>
      </c>
      <c r="BQ32" s="18">
        <v>2647</v>
      </c>
      <c r="BR32" s="18">
        <v>2666</v>
      </c>
      <c r="BS32" s="18">
        <v>2510</v>
      </c>
      <c r="BT32" s="18">
        <v>4442</v>
      </c>
      <c r="BU32" s="18">
        <v>3824</v>
      </c>
      <c r="BV32" s="18">
        <v>2148</v>
      </c>
      <c r="BW32" s="18">
        <v>1861</v>
      </c>
      <c r="BX32" s="18">
        <v>2617</v>
      </c>
      <c r="BY32" s="18">
        <v>2278</v>
      </c>
      <c r="BZ32" s="18">
        <v>8317</v>
      </c>
      <c r="CA32" s="18">
        <v>6169</v>
      </c>
      <c r="CB32" s="18">
        <v>6432</v>
      </c>
      <c r="CC32" s="18">
        <v>6525</v>
      </c>
      <c r="CD32" s="18">
        <v>6525</v>
      </c>
      <c r="CE32" s="18">
        <v>6392</v>
      </c>
      <c r="CF32" s="18">
        <v>4526</v>
      </c>
      <c r="CG32" s="18">
        <v>5462</v>
      </c>
      <c r="CH32" s="18">
        <v>2964</v>
      </c>
      <c r="CI32" s="18">
        <v>1645</v>
      </c>
      <c r="CJ32" s="18">
        <v>1849</v>
      </c>
      <c r="CK32" s="18">
        <v>2070</v>
      </c>
      <c r="CL32" s="18">
        <v>2020</v>
      </c>
      <c r="CM32" s="18">
        <v>2284</v>
      </c>
      <c r="CN32" s="18">
        <v>2324</v>
      </c>
      <c r="CO32" s="18">
        <v>2929</v>
      </c>
      <c r="CP32" s="18">
        <v>2927</v>
      </c>
      <c r="CQ32" s="18">
        <v>3097</v>
      </c>
      <c r="CR32" s="18">
        <v>2787</v>
      </c>
      <c r="CS32" s="18">
        <v>2695</v>
      </c>
      <c r="CT32" s="18">
        <v>1988</v>
      </c>
      <c r="CU32" s="18">
        <v>2695</v>
      </c>
      <c r="CV32" s="18">
        <v>2987</v>
      </c>
      <c r="CW32" s="18">
        <v>2748</v>
      </c>
      <c r="CX32" s="18">
        <v>2882</v>
      </c>
      <c r="CY32" s="18">
        <v>3818</v>
      </c>
      <c r="CZ32" s="18">
        <v>3949</v>
      </c>
      <c r="DA32" s="18">
        <v>3837</v>
      </c>
      <c r="DB32" s="18">
        <v>3494</v>
      </c>
      <c r="DC32" s="18">
        <v>2904</v>
      </c>
      <c r="DD32" s="18">
        <v>3370</v>
      </c>
      <c r="DE32" s="18">
        <v>3259</v>
      </c>
      <c r="DF32" s="18">
        <v>4371</v>
      </c>
      <c r="DG32" s="18">
        <v>3758</v>
      </c>
      <c r="DH32" s="18">
        <v>3524</v>
      </c>
      <c r="DI32" s="18">
        <v>3711</v>
      </c>
      <c r="DJ32" s="18">
        <v>4208</v>
      </c>
      <c r="DK32" s="18">
        <v>3598</v>
      </c>
      <c r="DL32" s="46"/>
    </row>
    <row r="33" spans="1:116" ht="15.75" x14ac:dyDescent="0.25">
      <c r="A33" s="12">
        <f t="shared" si="23"/>
        <v>28</v>
      </c>
      <c r="B33" s="13" t="s">
        <v>32</v>
      </c>
      <c r="C33" s="30">
        <v>13140390</v>
      </c>
      <c r="D33" s="15"/>
      <c r="E33" s="31">
        <v>26682621</v>
      </c>
      <c r="F33" s="15"/>
      <c r="G33" s="32">
        <v>22993962</v>
      </c>
      <c r="H33" s="15"/>
      <c r="I33" s="32">
        <v>13159650</v>
      </c>
      <c r="J33" s="22"/>
      <c r="K33" s="33">
        <v>16820343.77</v>
      </c>
      <c r="L33" s="22"/>
      <c r="M33" s="33">
        <v>15179848.41</v>
      </c>
      <c r="N33" s="22"/>
      <c r="O33" s="33">
        <v>14047989.15</v>
      </c>
      <c r="P33" s="22"/>
      <c r="Q33" s="34">
        <v>19528733.683000013</v>
      </c>
      <c r="R33" s="22"/>
      <c r="S33" s="34">
        <v>19921313.993800003</v>
      </c>
      <c r="T33" s="22"/>
      <c r="U33" s="34">
        <v>17553627.127600003</v>
      </c>
      <c r="V33" s="22"/>
      <c r="W33" s="15"/>
      <c r="X33" s="22"/>
      <c r="Y33" s="15"/>
      <c r="Z33" s="22"/>
      <c r="AA33" s="15"/>
      <c r="AB33" s="22"/>
      <c r="AC33" s="15"/>
      <c r="AD33" s="22"/>
      <c r="AE33" s="15"/>
      <c r="AF33" s="22"/>
      <c r="AG33" s="18">
        <v>132</v>
      </c>
      <c r="AH33" s="18">
        <v>127</v>
      </c>
      <c r="AI33" s="18">
        <v>114</v>
      </c>
      <c r="AJ33" s="18">
        <v>99</v>
      </c>
      <c r="AK33" s="18">
        <v>102</v>
      </c>
      <c r="AL33" s="18">
        <v>35</v>
      </c>
      <c r="AM33" s="18">
        <v>27</v>
      </c>
      <c r="AN33" s="18">
        <v>24</v>
      </c>
      <c r="AO33" s="18">
        <v>5</v>
      </c>
      <c r="AP33" s="18">
        <v>26</v>
      </c>
      <c r="AQ33" s="18">
        <v>8</v>
      </c>
      <c r="AR33" s="18">
        <v>0</v>
      </c>
      <c r="AS33" s="18">
        <v>0</v>
      </c>
      <c r="AT33" s="18">
        <v>0</v>
      </c>
      <c r="AU33" s="18">
        <v>67</v>
      </c>
      <c r="AV33" s="18">
        <v>63</v>
      </c>
      <c r="AW33" s="18">
        <v>43</v>
      </c>
      <c r="AX33" s="18">
        <v>12</v>
      </c>
      <c r="AY33" s="18">
        <v>23</v>
      </c>
      <c r="AZ33" s="18">
        <v>1</v>
      </c>
      <c r="BA33" s="18">
        <v>6</v>
      </c>
      <c r="BB33" s="18">
        <v>0</v>
      </c>
      <c r="BC33" s="18">
        <v>12</v>
      </c>
      <c r="BD33" s="18">
        <v>13</v>
      </c>
      <c r="BE33" s="18">
        <v>15</v>
      </c>
      <c r="BF33" s="18">
        <v>42</v>
      </c>
      <c r="BG33" s="18">
        <v>14</v>
      </c>
      <c r="BH33" s="18">
        <v>6</v>
      </c>
      <c r="BI33" s="18">
        <v>3</v>
      </c>
      <c r="BJ33" s="18">
        <v>2</v>
      </c>
      <c r="BK33" s="18">
        <v>1</v>
      </c>
      <c r="BL33" s="18">
        <v>0</v>
      </c>
      <c r="BM33" s="18">
        <v>0</v>
      </c>
      <c r="BN33" s="18">
        <v>0</v>
      </c>
      <c r="BO33" s="18">
        <v>0</v>
      </c>
      <c r="BP33" s="18">
        <v>0</v>
      </c>
      <c r="BQ33" s="18">
        <v>0</v>
      </c>
      <c r="BR33" s="18">
        <v>0</v>
      </c>
      <c r="BS33" s="18">
        <v>0</v>
      </c>
      <c r="BT33" s="18">
        <v>0</v>
      </c>
      <c r="BU33" s="18">
        <v>0</v>
      </c>
      <c r="BV33" s="18">
        <v>0</v>
      </c>
      <c r="BW33" s="18">
        <v>0</v>
      </c>
      <c r="BX33" s="18">
        <v>0</v>
      </c>
      <c r="BY33" s="18">
        <v>0</v>
      </c>
      <c r="BZ33" s="18">
        <v>0</v>
      </c>
      <c r="CA33" s="18">
        <v>0</v>
      </c>
      <c r="CB33" s="18">
        <v>6</v>
      </c>
      <c r="CC33" s="18">
        <v>0</v>
      </c>
      <c r="CD33" s="18">
        <v>0</v>
      </c>
      <c r="CE33" s="18">
        <v>0</v>
      </c>
      <c r="CF33" s="18">
        <v>0</v>
      </c>
      <c r="CG33" s="18">
        <v>0</v>
      </c>
      <c r="CH33" s="18">
        <v>0</v>
      </c>
      <c r="CI33" s="18">
        <v>0</v>
      </c>
      <c r="CJ33" s="18">
        <v>0</v>
      </c>
      <c r="CK33" s="18">
        <v>0</v>
      </c>
      <c r="CL33" s="18">
        <v>0</v>
      </c>
      <c r="CM33" s="18">
        <v>0</v>
      </c>
      <c r="CN33" s="18">
        <v>0</v>
      </c>
      <c r="CO33" s="18">
        <v>0</v>
      </c>
      <c r="CP33" s="18">
        <v>0</v>
      </c>
      <c r="CQ33" s="18">
        <v>0</v>
      </c>
      <c r="CR33" s="18">
        <v>0</v>
      </c>
      <c r="CS33" s="18">
        <v>0</v>
      </c>
      <c r="CT33" s="18">
        <v>0</v>
      </c>
      <c r="CU33" s="18">
        <v>0</v>
      </c>
      <c r="CV33" s="18">
        <v>0</v>
      </c>
      <c r="CW33" s="18">
        <v>0</v>
      </c>
      <c r="CX33" s="18">
        <v>0</v>
      </c>
      <c r="CY33" s="18">
        <v>0</v>
      </c>
      <c r="CZ33" s="18">
        <v>0</v>
      </c>
      <c r="DA33" s="18">
        <v>0</v>
      </c>
      <c r="DB33" s="18">
        <v>0</v>
      </c>
      <c r="DC33" s="18">
        <v>0</v>
      </c>
      <c r="DD33" s="18">
        <v>0</v>
      </c>
      <c r="DE33" s="18">
        <v>0</v>
      </c>
      <c r="DF33" s="18">
        <v>0</v>
      </c>
      <c r="DG33" s="18">
        <v>0</v>
      </c>
      <c r="DH33" s="18">
        <v>0</v>
      </c>
      <c r="DI33" s="18">
        <v>0</v>
      </c>
      <c r="DJ33" s="18">
        <v>0</v>
      </c>
      <c r="DK33" s="18">
        <v>3</v>
      </c>
      <c r="DL33" s="47"/>
    </row>
    <row r="34" spans="1:116" ht="15.75" x14ac:dyDescent="0.25">
      <c r="A34" s="12">
        <f t="shared" si="23"/>
        <v>29</v>
      </c>
      <c r="B34" s="13" t="s">
        <v>33</v>
      </c>
      <c r="C34" s="30"/>
      <c r="D34" s="15"/>
      <c r="E34" s="31"/>
      <c r="F34" s="15"/>
      <c r="G34" s="32"/>
      <c r="H34" s="15"/>
      <c r="I34" s="32"/>
      <c r="J34" s="22"/>
      <c r="K34" s="33"/>
      <c r="L34" s="22"/>
      <c r="M34" s="33"/>
      <c r="N34" s="22"/>
      <c r="O34" s="33"/>
      <c r="P34" s="22"/>
      <c r="Q34" s="34"/>
      <c r="R34" s="22"/>
      <c r="S34" s="34"/>
      <c r="T34" s="22"/>
      <c r="U34" s="34"/>
      <c r="V34" s="22"/>
      <c r="W34" s="15"/>
      <c r="X34" s="22"/>
      <c r="Y34" s="15"/>
      <c r="Z34" s="22"/>
      <c r="AA34" s="15"/>
      <c r="AB34" s="22"/>
      <c r="AC34" s="15"/>
      <c r="AD34" s="22"/>
      <c r="AE34" s="15"/>
      <c r="AF34" s="22"/>
      <c r="AG34" s="18">
        <v>1276</v>
      </c>
      <c r="AH34" s="18">
        <v>1355</v>
      </c>
      <c r="AI34" s="18">
        <v>1007</v>
      </c>
      <c r="AJ34" s="18">
        <v>1229</v>
      </c>
      <c r="AK34" s="18">
        <v>1182</v>
      </c>
      <c r="AL34" s="18">
        <v>1060</v>
      </c>
      <c r="AM34" s="18">
        <v>1366</v>
      </c>
      <c r="AN34" s="18">
        <f t="shared" ref="AN34:AS34" si="258">AN32-AN33</f>
        <v>1195</v>
      </c>
      <c r="AO34" s="18">
        <f t="shared" si="258"/>
        <v>1154</v>
      </c>
      <c r="AP34" s="18">
        <f t="shared" si="258"/>
        <v>1201</v>
      </c>
      <c r="AQ34" s="18">
        <f t="shared" si="258"/>
        <v>826</v>
      </c>
      <c r="AR34" s="18">
        <f t="shared" si="258"/>
        <v>0</v>
      </c>
      <c r="AS34" s="18">
        <f t="shared" si="258"/>
        <v>0</v>
      </c>
      <c r="AT34" s="18">
        <f t="shared" ref="AT34:AZ34" si="259">AT32-AT33</f>
        <v>0</v>
      </c>
      <c r="AU34" s="18">
        <f t="shared" si="259"/>
        <v>629</v>
      </c>
      <c r="AV34" s="18">
        <f t="shared" si="259"/>
        <v>653</v>
      </c>
      <c r="AW34" s="18">
        <f t="shared" si="259"/>
        <v>688</v>
      </c>
      <c r="AX34" s="18">
        <f t="shared" si="259"/>
        <v>1087</v>
      </c>
      <c r="AY34" s="18">
        <f t="shared" si="259"/>
        <v>962</v>
      </c>
      <c r="AZ34" s="18">
        <f t="shared" si="259"/>
        <v>1026</v>
      </c>
      <c r="BA34" s="18">
        <f t="shared" ref="BA34:BH34" si="260">BA32-BA33</f>
        <v>1642</v>
      </c>
      <c r="BB34" s="18">
        <f t="shared" si="260"/>
        <v>1556</v>
      </c>
      <c r="BC34" s="18">
        <f t="shared" si="260"/>
        <v>1245</v>
      </c>
      <c r="BD34" s="18">
        <f t="shared" si="260"/>
        <v>1859</v>
      </c>
      <c r="BE34" s="18">
        <f t="shared" si="260"/>
        <v>1603</v>
      </c>
      <c r="BF34" s="18">
        <f t="shared" si="260"/>
        <v>1956</v>
      </c>
      <c r="BG34" s="18">
        <f t="shared" si="260"/>
        <v>1898</v>
      </c>
      <c r="BH34" s="18">
        <f t="shared" si="260"/>
        <v>1750</v>
      </c>
      <c r="BI34" s="18">
        <f t="shared" ref="BI34:BO34" si="261">BI32-BI33</f>
        <v>1839</v>
      </c>
      <c r="BJ34" s="18">
        <f t="shared" si="261"/>
        <v>1947</v>
      </c>
      <c r="BK34" s="18">
        <f t="shared" si="261"/>
        <v>1315</v>
      </c>
      <c r="BL34" s="18">
        <f t="shared" si="261"/>
        <v>1736</v>
      </c>
      <c r="BM34" s="18">
        <f t="shared" si="261"/>
        <v>2095</v>
      </c>
      <c r="BN34" s="18">
        <f t="shared" si="261"/>
        <v>2440</v>
      </c>
      <c r="BO34" s="18">
        <f t="shared" si="261"/>
        <v>2561</v>
      </c>
      <c r="BP34" s="18">
        <f t="shared" ref="BP34:BV34" si="262">BP32-BP33</f>
        <v>2649</v>
      </c>
      <c r="BQ34" s="18">
        <f t="shared" si="262"/>
        <v>2647</v>
      </c>
      <c r="BR34" s="18">
        <f t="shared" si="262"/>
        <v>2666</v>
      </c>
      <c r="BS34" s="18">
        <f t="shared" si="262"/>
        <v>2510</v>
      </c>
      <c r="BT34" s="18">
        <f t="shared" si="262"/>
        <v>4442</v>
      </c>
      <c r="BU34" s="18">
        <f t="shared" si="262"/>
        <v>3824</v>
      </c>
      <c r="BV34" s="18">
        <f t="shared" si="262"/>
        <v>2148</v>
      </c>
      <c r="BW34" s="18">
        <f t="shared" ref="BW34:CB34" si="263">BW32-BW33</f>
        <v>1861</v>
      </c>
      <c r="BX34" s="18">
        <f t="shared" si="263"/>
        <v>2617</v>
      </c>
      <c r="BY34" s="18">
        <f t="shared" si="263"/>
        <v>2278</v>
      </c>
      <c r="BZ34" s="18">
        <f t="shared" si="263"/>
        <v>8317</v>
      </c>
      <c r="CA34" s="18">
        <f t="shared" si="263"/>
        <v>6169</v>
      </c>
      <c r="CB34" s="18">
        <f t="shared" si="263"/>
        <v>6426</v>
      </c>
      <c r="CC34" s="18">
        <f t="shared" ref="CC34:CD34" si="264">CC32-CC33</f>
        <v>6525</v>
      </c>
      <c r="CD34" s="18">
        <f t="shared" si="264"/>
        <v>6525</v>
      </c>
      <c r="CE34" s="18">
        <f t="shared" ref="CE34:CF34" si="265">CE32-CE33</f>
        <v>6392</v>
      </c>
      <c r="CF34" s="18">
        <f t="shared" si="265"/>
        <v>4526</v>
      </c>
      <c r="CG34" s="18">
        <f t="shared" ref="CG34:CH34" si="266">CG32-CG33</f>
        <v>5462</v>
      </c>
      <c r="CH34" s="18">
        <f t="shared" si="266"/>
        <v>2964</v>
      </c>
      <c r="CI34" s="18">
        <f t="shared" ref="CI34:CJ34" si="267">CI32-CI33</f>
        <v>1645</v>
      </c>
      <c r="CJ34" s="18">
        <f t="shared" si="267"/>
        <v>1849</v>
      </c>
      <c r="CK34" s="18">
        <f t="shared" ref="CK34" si="268">CK32-CK33</f>
        <v>2070</v>
      </c>
      <c r="CL34" s="18">
        <f t="shared" ref="CL34:CM34" si="269">CL32-CL33</f>
        <v>2020</v>
      </c>
      <c r="CM34" s="18">
        <f t="shared" si="269"/>
        <v>2284</v>
      </c>
      <c r="CN34" s="18">
        <f t="shared" ref="CN34:CP34" si="270">CN32-CN33</f>
        <v>2324</v>
      </c>
      <c r="CO34" s="18">
        <f t="shared" si="270"/>
        <v>2929</v>
      </c>
      <c r="CP34" s="18">
        <f t="shared" si="270"/>
        <v>2927</v>
      </c>
      <c r="CQ34" s="18">
        <f t="shared" ref="CQ34:CR34" si="271">CQ32-CQ33</f>
        <v>3097</v>
      </c>
      <c r="CR34" s="18">
        <f t="shared" si="271"/>
        <v>2787</v>
      </c>
      <c r="CS34" s="18">
        <f t="shared" ref="CS34:CT34" si="272">CS32-CS33</f>
        <v>2695</v>
      </c>
      <c r="CT34" s="18">
        <f t="shared" si="272"/>
        <v>1988</v>
      </c>
      <c r="CU34" s="18">
        <f t="shared" ref="CU34:CV34" si="273">CU32-CU33</f>
        <v>2695</v>
      </c>
      <c r="CV34" s="18">
        <f t="shared" si="273"/>
        <v>2987</v>
      </c>
      <c r="CW34" s="18">
        <f t="shared" ref="CW34:CX34" si="274">CW32-CW33</f>
        <v>2748</v>
      </c>
      <c r="CX34" s="18">
        <f t="shared" si="274"/>
        <v>2882</v>
      </c>
      <c r="CY34" s="18">
        <f t="shared" ref="CY34:CZ34" si="275">CY32-CY33</f>
        <v>3818</v>
      </c>
      <c r="CZ34" s="18">
        <f t="shared" si="275"/>
        <v>3949</v>
      </c>
      <c r="DA34" s="18">
        <f t="shared" ref="DA34:DB34" si="276">DA32-DA33</f>
        <v>3837</v>
      </c>
      <c r="DB34" s="18">
        <f t="shared" si="276"/>
        <v>3494</v>
      </c>
      <c r="DC34" s="18">
        <f t="shared" ref="DC34:DD34" si="277">DC32-DC33</f>
        <v>2904</v>
      </c>
      <c r="DD34" s="18">
        <f t="shared" si="277"/>
        <v>3370</v>
      </c>
      <c r="DE34" s="18">
        <f t="shared" ref="DE34:DF34" si="278">DE32-DE33</f>
        <v>3259</v>
      </c>
      <c r="DF34" s="18">
        <f t="shared" si="278"/>
        <v>4371</v>
      </c>
      <c r="DG34" s="18">
        <f t="shared" ref="DG34:DH34" si="279">DG32-DG33</f>
        <v>3758</v>
      </c>
      <c r="DH34" s="18">
        <f t="shared" si="279"/>
        <v>3524</v>
      </c>
      <c r="DI34" s="18">
        <f t="shared" ref="DI34:DJ34" si="280">DI32-DI33</f>
        <v>3711</v>
      </c>
      <c r="DJ34" s="18">
        <f t="shared" si="280"/>
        <v>4208</v>
      </c>
      <c r="DK34" s="18">
        <f t="shared" ref="DK34" si="281">DK32-DK33</f>
        <v>3595</v>
      </c>
      <c r="DL34" s="47"/>
    </row>
    <row r="35" spans="1:116" ht="15.75" x14ac:dyDescent="0.25">
      <c r="A35" s="12">
        <f t="shared" si="23"/>
        <v>30</v>
      </c>
      <c r="B35" s="23" t="s">
        <v>34</v>
      </c>
      <c r="C35" s="30"/>
      <c r="D35" s="15"/>
      <c r="E35" s="31"/>
      <c r="F35" s="15"/>
      <c r="G35" s="32"/>
      <c r="H35" s="15"/>
      <c r="I35" s="32"/>
      <c r="J35" s="22"/>
      <c r="K35" s="33"/>
      <c r="L35" s="22"/>
      <c r="M35" s="33"/>
      <c r="N35" s="22"/>
      <c r="O35" s="33"/>
      <c r="P35" s="22"/>
      <c r="Q35" s="34"/>
      <c r="R35" s="22"/>
      <c r="S35" s="34"/>
      <c r="T35" s="22"/>
      <c r="U35" s="34"/>
      <c r="V35" s="22"/>
      <c r="W35" s="15"/>
      <c r="X35" s="22"/>
      <c r="Y35" s="15"/>
      <c r="Z35" s="22"/>
      <c r="AA35" s="15"/>
      <c r="AB35" s="22"/>
      <c r="AC35" s="15"/>
      <c r="AD35" s="22"/>
      <c r="AE35" s="15"/>
      <c r="AF35" s="22"/>
      <c r="AG35" s="15">
        <f>AG34/AG32</f>
        <v>0.90625</v>
      </c>
      <c r="AH35" s="15">
        <f>AH34/AH32</f>
        <v>0.9143049932523617</v>
      </c>
      <c r="AI35" s="15">
        <f>AI34/AI32</f>
        <v>0.89830508474576276</v>
      </c>
      <c r="AJ35" s="15">
        <f>AJ34/AJ32</f>
        <v>0.92545180722891562</v>
      </c>
      <c r="AK35" s="15">
        <f>AK34/AK32</f>
        <v>0.92056074766355145</v>
      </c>
      <c r="AL35" s="15">
        <v>0.96799999999999997</v>
      </c>
      <c r="AM35" s="15">
        <v>0.98061737257717152</v>
      </c>
      <c r="AN35" s="15">
        <f>AN34/AN32</f>
        <v>0.98031173092698931</v>
      </c>
      <c r="AO35" s="15">
        <f>AO34/AO32</f>
        <v>0.99568593615185508</v>
      </c>
      <c r="AP35" s="15">
        <f>AP34/AP32</f>
        <v>0.97881010594947027</v>
      </c>
      <c r="AQ35" s="15">
        <f>AQ34/AQ32</f>
        <v>0.99040767386091122</v>
      </c>
      <c r="AR35" s="15">
        <v>0</v>
      </c>
      <c r="AS35" s="15">
        <v>0</v>
      </c>
      <c r="AT35" s="15">
        <v>0</v>
      </c>
      <c r="AU35" s="15">
        <f t="shared" ref="AU35:BA35" si="282">AU34/AU32</f>
        <v>0.90373563218390807</v>
      </c>
      <c r="AV35" s="15">
        <f t="shared" si="282"/>
        <v>0.91201117318435754</v>
      </c>
      <c r="AW35" s="15">
        <f t="shared" si="282"/>
        <v>0.94117647058823528</v>
      </c>
      <c r="AX35" s="15">
        <f t="shared" si="282"/>
        <v>0.98908098271155598</v>
      </c>
      <c r="AY35" s="15">
        <f t="shared" si="282"/>
        <v>0.97664974619289335</v>
      </c>
      <c r="AZ35" s="15">
        <f t="shared" si="282"/>
        <v>0.99902629016553068</v>
      </c>
      <c r="BA35" s="15">
        <f t="shared" si="282"/>
        <v>0.99635922330097082</v>
      </c>
      <c r="BB35" s="15">
        <f t="shared" ref="BB35:BH35" si="283">BB34/BB32</f>
        <v>1</v>
      </c>
      <c r="BC35" s="15">
        <f t="shared" si="283"/>
        <v>0.99045346062052508</v>
      </c>
      <c r="BD35" s="15">
        <f t="shared" si="283"/>
        <v>0.99305555555555558</v>
      </c>
      <c r="BE35" s="15">
        <f t="shared" si="283"/>
        <v>0.99072929542645238</v>
      </c>
      <c r="BF35" s="15">
        <f t="shared" si="283"/>
        <v>0.97897897897897901</v>
      </c>
      <c r="BG35" s="15">
        <f t="shared" si="283"/>
        <v>0.99267782426778239</v>
      </c>
      <c r="BH35" s="15">
        <f t="shared" si="283"/>
        <v>0.99658314350797261</v>
      </c>
      <c r="BI35" s="15">
        <f t="shared" ref="BI35:BO35" si="284">BI34/BI32</f>
        <v>0.99837133550488599</v>
      </c>
      <c r="BJ35" s="15">
        <f t="shared" si="284"/>
        <v>0.99897383273473572</v>
      </c>
      <c r="BK35" s="15">
        <f t="shared" si="284"/>
        <v>0.99924012158054709</v>
      </c>
      <c r="BL35" s="15">
        <f t="shared" si="284"/>
        <v>1</v>
      </c>
      <c r="BM35" s="15">
        <f t="shared" si="284"/>
        <v>1</v>
      </c>
      <c r="BN35" s="15">
        <f t="shared" si="284"/>
        <v>1</v>
      </c>
      <c r="BO35" s="15">
        <f t="shared" si="284"/>
        <v>1</v>
      </c>
      <c r="BP35" s="15">
        <f t="shared" ref="BP35:BV35" si="285">BP34/BP32</f>
        <v>1</v>
      </c>
      <c r="BQ35" s="15">
        <f t="shared" si="285"/>
        <v>1</v>
      </c>
      <c r="BR35" s="15">
        <f t="shared" si="285"/>
        <v>1</v>
      </c>
      <c r="BS35" s="15">
        <f t="shared" si="285"/>
        <v>1</v>
      </c>
      <c r="BT35" s="15">
        <f t="shared" si="285"/>
        <v>1</v>
      </c>
      <c r="BU35" s="15">
        <f t="shared" si="285"/>
        <v>1</v>
      </c>
      <c r="BV35" s="15">
        <f t="shared" si="285"/>
        <v>1</v>
      </c>
      <c r="BW35" s="15">
        <f t="shared" ref="BW35:CB35" si="286">BW34/BW32</f>
        <v>1</v>
      </c>
      <c r="BX35" s="15">
        <f t="shared" si="286"/>
        <v>1</v>
      </c>
      <c r="BY35" s="15">
        <f t="shared" si="286"/>
        <v>1</v>
      </c>
      <c r="BZ35" s="15">
        <f t="shared" si="286"/>
        <v>1</v>
      </c>
      <c r="CA35" s="15">
        <f t="shared" si="286"/>
        <v>1</v>
      </c>
      <c r="CB35" s="15">
        <f t="shared" si="286"/>
        <v>0.99906716417910446</v>
      </c>
      <c r="CC35" s="15">
        <f t="shared" ref="CC35:CD35" si="287">CC34/CC32</f>
        <v>1</v>
      </c>
      <c r="CD35" s="15">
        <f t="shared" si="287"/>
        <v>1</v>
      </c>
      <c r="CE35" s="15">
        <f t="shared" ref="CE35:CF35" si="288">CE34/CE32</f>
        <v>1</v>
      </c>
      <c r="CF35" s="15">
        <f t="shared" si="288"/>
        <v>1</v>
      </c>
      <c r="CG35" s="15">
        <f t="shared" ref="CG35:CH35" si="289">CG34/CG32</f>
        <v>1</v>
      </c>
      <c r="CH35" s="15">
        <f t="shared" si="289"/>
        <v>1</v>
      </c>
      <c r="CI35" s="15">
        <f t="shared" ref="CI35:CJ35" si="290">CI34/CI32</f>
        <v>1</v>
      </c>
      <c r="CJ35" s="15">
        <f t="shared" si="290"/>
        <v>1</v>
      </c>
      <c r="CK35" s="15">
        <f t="shared" ref="CK35" si="291">CK34/CK32</f>
        <v>1</v>
      </c>
      <c r="CL35" s="15">
        <f t="shared" ref="CL35:CM35" si="292">CL34/CL32</f>
        <v>1</v>
      </c>
      <c r="CM35" s="15">
        <f t="shared" si="292"/>
        <v>1</v>
      </c>
      <c r="CN35" s="15">
        <f t="shared" ref="CN35:CP35" si="293">CN34/CN32</f>
        <v>1</v>
      </c>
      <c r="CO35" s="15">
        <f t="shared" si="293"/>
        <v>1</v>
      </c>
      <c r="CP35" s="15">
        <f t="shared" si="293"/>
        <v>1</v>
      </c>
      <c r="CQ35" s="15">
        <f t="shared" ref="CQ35:CR35" si="294">CQ34/CQ32</f>
        <v>1</v>
      </c>
      <c r="CR35" s="15">
        <f t="shared" si="294"/>
        <v>1</v>
      </c>
      <c r="CS35" s="15">
        <f t="shared" ref="CS35:CT35" si="295">CS34/CS32</f>
        <v>1</v>
      </c>
      <c r="CT35" s="15">
        <f t="shared" si="295"/>
        <v>1</v>
      </c>
      <c r="CU35" s="15">
        <f t="shared" ref="CU35:CV35" si="296">CU34/CU32</f>
        <v>1</v>
      </c>
      <c r="CV35" s="15">
        <f t="shared" si="296"/>
        <v>1</v>
      </c>
      <c r="CW35" s="15">
        <f t="shared" ref="CW35:CX35" si="297">CW34/CW32</f>
        <v>1</v>
      </c>
      <c r="CX35" s="15">
        <f t="shared" si="297"/>
        <v>1</v>
      </c>
      <c r="CY35" s="15">
        <f t="shared" ref="CY35:CZ35" si="298">CY34/CY32</f>
        <v>1</v>
      </c>
      <c r="CZ35" s="15">
        <f t="shared" si="298"/>
        <v>1</v>
      </c>
      <c r="DA35" s="15">
        <f t="shared" ref="DA35:DB35" si="299">DA34/DA32</f>
        <v>1</v>
      </c>
      <c r="DB35" s="15">
        <f t="shared" si="299"/>
        <v>1</v>
      </c>
      <c r="DC35" s="15">
        <f t="shared" ref="DC35:DD35" si="300">DC34/DC32</f>
        <v>1</v>
      </c>
      <c r="DD35" s="15">
        <f t="shared" si="300"/>
        <v>1</v>
      </c>
      <c r="DE35" s="15">
        <f t="shared" ref="DE35:DF35" si="301">DE34/DE32</f>
        <v>1</v>
      </c>
      <c r="DF35" s="15">
        <f t="shared" si="301"/>
        <v>1</v>
      </c>
      <c r="DG35" s="15">
        <f t="shared" ref="DG35:DH35" si="302">DG34/DG32</f>
        <v>1</v>
      </c>
      <c r="DH35" s="15">
        <f t="shared" si="302"/>
        <v>1</v>
      </c>
      <c r="DI35" s="15">
        <f t="shared" ref="DI35:DJ35" si="303">DI34/DI32</f>
        <v>1</v>
      </c>
      <c r="DJ35" s="15">
        <f t="shared" si="303"/>
        <v>1</v>
      </c>
      <c r="DK35" s="15">
        <f t="shared" ref="DK35" si="304">DK34/DK32</f>
        <v>0.99916620344635909</v>
      </c>
      <c r="DL35" s="47"/>
    </row>
    <row r="36" spans="1:116" ht="15.75" x14ac:dyDescent="0.25">
      <c r="A36" s="12">
        <f t="shared" si="23"/>
        <v>31</v>
      </c>
      <c r="B36" s="13" t="s">
        <v>35</v>
      </c>
      <c r="C36" s="25">
        <v>0</v>
      </c>
      <c r="D36" s="15"/>
      <c r="E36" s="25">
        <v>0</v>
      </c>
      <c r="F36" s="15"/>
      <c r="G36" s="25">
        <v>0</v>
      </c>
      <c r="H36" s="15"/>
      <c r="I36" s="25">
        <v>0</v>
      </c>
      <c r="J36" s="22"/>
      <c r="K36" s="25">
        <v>0</v>
      </c>
      <c r="L36" s="22"/>
      <c r="M36" s="25">
        <v>0</v>
      </c>
      <c r="N36" s="22"/>
      <c r="O36" s="25">
        <v>0</v>
      </c>
      <c r="P36" s="22"/>
      <c r="Q36" s="25">
        <v>0</v>
      </c>
      <c r="R36" s="22"/>
      <c r="S36" s="25">
        <v>0</v>
      </c>
      <c r="T36" s="22"/>
      <c r="U36" s="25">
        <v>0</v>
      </c>
      <c r="V36" s="22"/>
      <c r="W36" s="15"/>
      <c r="X36" s="22"/>
      <c r="Y36" s="15"/>
      <c r="Z36" s="22"/>
      <c r="AA36" s="15"/>
      <c r="AB36" s="22"/>
      <c r="AC36" s="15"/>
      <c r="AD36" s="22"/>
      <c r="AE36" s="15"/>
      <c r="AF36" s="22"/>
      <c r="AG36" s="21">
        <v>4504</v>
      </c>
      <c r="AH36" s="21">
        <v>5033</v>
      </c>
      <c r="AI36" s="21">
        <v>2201</v>
      </c>
      <c r="AJ36" s="21">
        <v>5222</v>
      </c>
      <c r="AK36" s="21">
        <v>3605</v>
      </c>
      <c r="AL36" s="21">
        <v>2023</v>
      </c>
      <c r="AM36" s="21">
        <v>1938</v>
      </c>
      <c r="AN36" s="21">
        <v>1976</v>
      </c>
      <c r="AO36" s="21">
        <v>1722</v>
      </c>
      <c r="AP36" s="21">
        <v>1872</v>
      </c>
      <c r="AQ36" s="21">
        <v>1684</v>
      </c>
      <c r="AR36" s="21">
        <v>0</v>
      </c>
      <c r="AS36" s="21">
        <v>0</v>
      </c>
      <c r="AT36" s="21">
        <v>0</v>
      </c>
      <c r="AU36" s="21">
        <v>8040</v>
      </c>
      <c r="AV36" s="21">
        <v>2977</v>
      </c>
      <c r="AW36" s="21">
        <v>1832</v>
      </c>
      <c r="AX36" s="21">
        <v>2854</v>
      </c>
      <c r="AY36" s="21">
        <v>2636</v>
      </c>
      <c r="AZ36" s="21">
        <v>2980</v>
      </c>
      <c r="BA36" s="21">
        <v>4154</v>
      </c>
      <c r="BB36" s="21">
        <v>5226</v>
      </c>
      <c r="BC36" s="21">
        <v>6395</v>
      </c>
      <c r="BD36" s="21">
        <v>7959</v>
      </c>
      <c r="BE36" s="21">
        <v>3993</v>
      </c>
      <c r="BF36" s="21">
        <v>2330</v>
      </c>
      <c r="BG36" s="21">
        <v>3988</v>
      </c>
      <c r="BH36" s="21">
        <v>2044</v>
      </c>
      <c r="BI36" s="21">
        <v>3705</v>
      </c>
      <c r="BJ36" s="21">
        <v>6872</v>
      </c>
      <c r="BK36" s="21">
        <v>6786</v>
      </c>
      <c r="BL36" s="21">
        <v>8278</v>
      </c>
      <c r="BM36" s="21">
        <v>8961</v>
      </c>
      <c r="BN36" s="21">
        <v>7829</v>
      </c>
      <c r="BO36" s="21">
        <v>10768</v>
      </c>
      <c r="BP36" s="21">
        <v>2725</v>
      </c>
      <c r="BQ36" s="21">
        <v>1991</v>
      </c>
      <c r="BR36" s="21">
        <v>981</v>
      </c>
      <c r="BS36" s="21">
        <v>2510</v>
      </c>
      <c r="BT36" s="21">
        <v>8985</v>
      </c>
      <c r="BU36" s="21">
        <v>6529</v>
      </c>
      <c r="BV36" s="21">
        <v>4467</v>
      </c>
      <c r="BW36" s="21">
        <v>8078</v>
      </c>
      <c r="BX36" s="21">
        <v>11584</v>
      </c>
      <c r="BY36" s="21">
        <v>8261</v>
      </c>
      <c r="BZ36" s="21">
        <v>16980</v>
      </c>
      <c r="CA36" s="21">
        <v>27218</v>
      </c>
      <c r="CB36" s="21">
        <v>26936</v>
      </c>
      <c r="CC36" s="21">
        <v>8659</v>
      </c>
      <c r="CD36" s="21">
        <v>10569</v>
      </c>
      <c r="CE36" s="21">
        <v>9546</v>
      </c>
      <c r="CF36" s="21">
        <v>8569</v>
      </c>
      <c r="CG36" s="21">
        <v>11568</v>
      </c>
      <c r="CH36" s="21">
        <v>1434</v>
      </c>
      <c r="CI36" s="21">
        <v>1176</v>
      </c>
      <c r="CJ36" s="21">
        <v>1681</v>
      </c>
      <c r="CK36" s="21">
        <v>1395</v>
      </c>
      <c r="CL36" s="21">
        <v>2083</v>
      </c>
      <c r="CM36" s="21">
        <v>2361</v>
      </c>
      <c r="CN36" s="21">
        <v>2208</v>
      </c>
      <c r="CO36" s="21">
        <v>2346</v>
      </c>
      <c r="CP36" s="21">
        <v>2442</v>
      </c>
      <c r="CQ36" s="21">
        <v>2049</v>
      </c>
      <c r="CR36" s="21">
        <v>2303</v>
      </c>
      <c r="CS36" s="21">
        <v>2096</v>
      </c>
      <c r="CT36" s="21">
        <v>1931</v>
      </c>
      <c r="CU36" s="21">
        <v>1792</v>
      </c>
      <c r="CV36" s="21">
        <v>1919</v>
      </c>
      <c r="CW36" s="21">
        <v>2856</v>
      </c>
      <c r="CX36" s="21">
        <v>3706</v>
      </c>
      <c r="CY36" s="21">
        <v>3383</v>
      </c>
      <c r="CZ36" s="21">
        <v>3039</v>
      </c>
      <c r="DA36" s="21">
        <v>4429</v>
      </c>
      <c r="DB36" s="21">
        <v>3671</v>
      </c>
      <c r="DC36" s="21">
        <v>3460</v>
      </c>
      <c r="DD36" s="21">
        <v>3323</v>
      </c>
      <c r="DE36" s="21">
        <v>3426</v>
      </c>
      <c r="DF36" s="21">
        <v>2974</v>
      </c>
      <c r="DG36" s="21">
        <v>2909</v>
      </c>
      <c r="DH36" s="21">
        <v>2854</v>
      </c>
      <c r="DI36" s="21">
        <v>3190</v>
      </c>
      <c r="DJ36" s="21">
        <v>3912</v>
      </c>
      <c r="DK36" s="21">
        <v>3350</v>
      </c>
      <c r="DL36" s="47"/>
    </row>
    <row r="37" spans="1:116" ht="15.75" x14ac:dyDescent="0.25">
      <c r="A37" s="12">
        <f t="shared" si="23"/>
        <v>32</v>
      </c>
      <c r="B37" s="13" t="s">
        <v>36</v>
      </c>
      <c r="C37" s="25"/>
      <c r="D37" s="15"/>
      <c r="E37" s="25"/>
      <c r="F37" s="15"/>
      <c r="G37" s="25"/>
      <c r="H37" s="15"/>
      <c r="I37" s="25"/>
      <c r="J37" s="22"/>
      <c r="K37" s="25"/>
      <c r="L37" s="22"/>
      <c r="M37" s="25"/>
      <c r="N37" s="22"/>
      <c r="O37" s="25"/>
      <c r="P37" s="22"/>
      <c r="Q37" s="25"/>
      <c r="R37" s="22"/>
      <c r="S37" s="25"/>
      <c r="T37" s="22"/>
      <c r="U37" s="25"/>
      <c r="V37" s="22"/>
      <c r="W37" s="15"/>
      <c r="X37" s="22"/>
      <c r="Y37" s="15"/>
      <c r="Z37" s="22"/>
      <c r="AA37" s="15"/>
      <c r="AB37" s="22"/>
      <c r="AC37" s="15"/>
      <c r="AD37" s="22"/>
      <c r="AE37" s="15"/>
      <c r="AF37" s="22"/>
      <c r="AG37" s="21">
        <v>2.9307282415630551</v>
      </c>
      <c r="AH37" s="21">
        <v>2.5233459169481423</v>
      </c>
      <c r="AI37" s="21">
        <v>5.1794638800545201</v>
      </c>
      <c r="AJ37" s="21">
        <v>1.8958253542703947</v>
      </c>
      <c r="AK37" s="21">
        <v>2.8294036061026353</v>
      </c>
      <c r="AL37" s="21">
        <v>1.73</v>
      </c>
      <c r="AM37" s="21">
        <v>1.39</v>
      </c>
      <c r="AN37" s="21">
        <v>1.21</v>
      </c>
      <c r="AO37" s="21">
        <v>0.28999999999999998</v>
      </c>
      <c r="AP37" s="21">
        <v>0.48</v>
      </c>
      <c r="AQ37" s="21">
        <v>0.28999999999999998</v>
      </c>
      <c r="AR37" s="21">
        <v>0</v>
      </c>
      <c r="AS37" s="21">
        <v>0</v>
      </c>
      <c r="AT37" s="21">
        <v>0</v>
      </c>
      <c r="AU37" s="21">
        <v>0.83</v>
      </c>
      <c r="AV37" s="21">
        <v>2.12</v>
      </c>
      <c r="AW37" s="21">
        <v>2.35</v>
      </c>
      <c r="AX37" s="21">
        <v>2.35</v>
      </c>
      <c r="AY37" s="21">
        <v>0.87</v>
      </c>
      <c r="AZ37" s="21">
        <v>0.03</v>
      </c>
      <c r="BA37" s="21">
        <v>0.14000000000000001</v>
      </c>
      <c r="BB37" s="21">
        <v>0</v>
      </c>
      <c r="BC37" s="21">
        <v>0.2</v>
      </c>
      <c r="BD37" s="21">
        <v>0.16</v>
      </c>
      <c r="BE37" s="21">
        <v>0.38</v>
      </c>
      <c r="BF37" s="21">
        <v>0.38</v>
      </c>
      <c r="BG37" s="21">
        <v>0.38</v>
      </c>
      <c r="BH37" s="21">
        <v>0.38</v>
      </c>
      <c r="BI37" s="21">
        <v>0.38</v>
      </c>
      <c r="BJ37" s="21">
        <v>0.38</v>
      </c>
      <c r="BK37" s="21">
        <v>0.38</v>
      </c>
      <c r="BL37" s="21">
        <v>0</v>
      </c>
      <c r="BM37" s="21">
        <v>0</v>
      </c>
      <c r="BN37" s="21">
        <v>0</v>
      </c>
      <c r="BO37" s="21">
        <v>0</v>
      </c>
      <c r="BP37" s="21">
        <v>0</v>
      </c>
      <c r="BQ37" s="21">
        <v>0</v>
      </c>
      <c r="BR37" s="21">
        <v>0</v>
      </c>
      <c r="BS37" s="21">
        <v>0</v>
      </c>
      <c r="BT37" s="21">
        <v>0</v>
      </c>
      <c r="BU37" s="21">
        <v>0</v>
      </c>
      <c r="BV37" s="21">
        <v>0</v>
      </c>
      <c r="BW37" s="21">
        <v>0</v>
      </c>
      <c r="BX37" s="21">
        <v>0</v>
      </c>
      <c r="BY37" s="21">
        <v>0</v>
      </c>
      <c r="BZ37" s="21">
        <v>0</v>
      </c>
      <c r="CA37" s="21">
        <v>0</v>
      </c>
      <c r="CB37" s="21">
        <v>0.15</v>
      </c>
      <c r="CC37" s="21">
        <v>0</v>
      </c>
      <c r="CD37" s="21">
        <v>0</v>
      </c>
      <c r="CE37" s="21">
        <v>0</v>
      </c>
      <c r="CF37" s="21">
        <v>0</v>
      </c>
      <c r="CG37" s="21">
        <v>0</v>
      </c>
      <c r="CH37" s="21">
        <v>0</v>
      </c>
      <c r="CI37" s="21">
        <v>0</v>
      </c>
      <c r="CJ37" s="21">
        <v>0</v>
      </c>
      <c r="CK37" s="21">
        <v>0</v>
      </c>
      <c r="CL37" s="21">
        <v>0</v>
      </c>
      <c r="CM37" s="21">
        <v>0</v>
      </c>
      <c r="CN37" s="21">
        <v>0</v>
      </c>
      <c r="CO37" s="21">
        <v>0</v>
      </c>
      <c r="CP37" s="21">
        <v>0</v>
      </c>
      <c r="CQ37" s="21">
        <v>0</v>
      </c>
      <c r="CR37" s="21">
        <v>0</v>
      </c>
      <c r="CS37" s="21">
        <v>0</v>
      </c>
      <c r="CT37" s="21">
        <v>0</v>
      </c>
      <c r="CU37" s="21">
        <v>0</v>
      </c>
      <c r="CV37" s="21">
        <v>0</v>
      </c>
      <c r="CW37" s="21">
        <v>0</v>
      </c>
      <c r="CX37" s="21">
        <v>0</v>
      </c>
      <c r="CY37" s="21">
        <v>0</v>
      </c>
      <c r="CZ37" s="21">
        <v>0</v>
      </c>
      <c r="DA37" s="21">
        <v>0</v>
      </c>
      <c r="DB37" s="21">
        <v>0</v>
      </c>
      <c r="DC37" s="21">
        <v>0</v>
      </c>
      <c r="DD37" s="21">
        <v>0</v>
      </c>
      <c r="DE37" s="21">
        <v>0</v>
      </c>
      <c r="DF37" s="21">
        <v>0</v>
      </c>
      <c r="DG37" s="21">
        <v>0</v>
      </c>
      <c r="DH37" s="21">
        <v>0</v>
      </c>
      <c r="DI37" s="21">
        <v>0</v>
      </c>
      <c r="DJ37" s="21">
        <v>0</v>
      </c>
      <c r="DK37" s="21">
        <v>0.09</v>
      </c>
      <c r="DL37" s="47"/>
    </row>
    <row r="38" spans="1:116" ht="15.75" x14ac:dyDescent="0.25">
      <c r="A38" s="12">
        <f t="shared" si="23"/>
        <v>33</v>
      </c>
      <c r="B38" s="13" t="s">
        <v>37</v>
      </c>
      <c r="C38" s="25"/>
      <c r="D38" s="15"/>
      <c r="E38" s="25"/>
      <c r="F38" s="15"/>
      <c r="G38" s="25"/>
      <c r="H38" s="15"/>
      <c r="I38" s="25"/>
      <c r="J38" s="22"/>
      <c r="K38" s="25"/>
      <c r="L38" s="22"/>
      <c r="M38" s="25"/>
      <c r="N38" s="22"/>
      <c r="O38" s="25"/>
      <c r="P38" s="22"/>
      <c r="Q38" s="25"/>
      <c r="R38" s="22"/>
      <c r="S38" s="25"/>
      <c r="T38" s="22"/>
      <c r="U38" s="25"/>
      <c r="V38" s="22"/>
      <c r="W38" s="15"/>
      <c r="X38" s="22"/>
      <c r="Y38" s="15"/>
      <c r="Z38" s="22"/>
      <c r="AA38" s="15"/>
      <c r="AB38" s="22"/>
      <c r="AC38" s="15"/>
      <c r="AD38" s="22"/>
      <c r="AE38" s="15"/>
      <c r="AF38" s="22"/>
      <c r="AG38" s="21">
        <v>4501.069271758437</v>
      </c>
      <c r="AH38" s="21">
        <v>5030.4766540830515</v>
      </c>
      <c r="AI38" s="21">
        <v>2195.8205361199457</v>
      </c>
      <c r="AJ38" s="21">
        <v>5220.1041746457295</v>
      </c>
      <c r="AK38" s="21">
        <v>3602.1705963938975</v>
      </c>
      <c r="AL38" s="21">
        <v>2021.27</v>
      </c>
      <c r="AM38" s="21">
        <v>1936.61</v>
      </c>
      <c r="AN38" s="21">
        <f t="shared" ref="AN38:AS38" si="305">AN36-AN37</f>
        <v>1974.79</v>
      </c>
      <c r="AO38" s="21">
        <f t="shared" si="305"/>
        <v>1721.71</v>
      </c>
      <c r="AP38" s="21">
        <f t="shared" si="305"/>
        <v>1871.52</v>
      </c>
      <c r="AQ38" s="21">
        <f t="shared" si="305"/>
        <v>1683.71</v>
      </c>
      <c r="AR38" s="21">
        <f t="shared" si="305"/>
        <v>0</v>
      </c>
      <c r="AS38" s="21">
        <f t="shared" si="305"/>
        <v>0</v>
      </c>
      <c r="AT38" s="21">
        <f t="shared" ref="AT38:AZ38" si="306">AT36-AT37</f>
        <v>0</v>
      </c>
      <c r="AU38" s="21">
        <f t="shared" si="306"/>
        <v>8039.17</v>
      </c>
      <c r="AV38" s="21">
        <f t="shared" si="306"/>
        <v>2974.88</v>
      </c>
      <c r="AW38" s="21">
        <f t="shared" si="306"/>
        <v>1829.65</v>
      </c>
      <c r="AX38" s="21">
        <f t="shared" si="306"/>
        <v>2851.65</v>
      </c>
      <c r="AY38" s="21">
        <f t="shared" si="306"/>
        <v>2635.13</v>
      </c>
      <c r="AZ38" s="21">
        <f t="shared" si="306"/>
        <v>2979.97</v>
      </c>
      <c r="BA38" s="21">
        <f t="shared" ref="BA38:BH38" si="307">BA36-BA37</f>
        <v>4153.8599999999997</v>
      </c>
      <c r="BB38" s="21">
        <f t="shared" si="307"/>
        <v>5226</v>
      </c>
      <c r="BC38" s="21">
        <f t="shared" si="307"/>
        <v>6394.8</v>
      </c>
      <c r="BD38" s="21">
        <f t="shared" si="307"/>
        <v>7958.84</v>
      </c>
      <c r="BE38" s="21">
        <f t="shared" si="307"/>
        <v>3992.62</v>
      </c>
      <c r="BF38" s="21">
        <f t="shared" si="307"/>
        <v>2329.62</v>
      </c>
      <c r="BG38" s="21">
        <f t="shared" si="307"/>
        <v>3987.62</v>
      </c>
      <c r="BH38" s="21">
        <f t="shared" si="307"/>
        <v>2043.62</v>
      </c>
      <c r="BI38" s="21">
        <f t="shared" ref="BI38:BO38" si="308">BI36-BI37</f>
        <v>3704.62</v>
      </c>
      <c r="BJ38" s="21">
        <f t="shared" si="308"/>
        <v>6871.62</v>
      </c>
      <c r="BK38" s="21">
        <f t="shared" si="308"/>
        <v>6785.62</v>
      </c>
      <c r="BL38" s="21">
        <f t="shared" si="308"/>
        <v>8278</v>
      </c>
      <c r="BM38" s="21">
        <f t="shared" si="308"/>
        <v>8961</v>
      </c>
      <c r="BN38" s="21">
        <f t="shared" si="308"/>
        <v>7829</v>
      </c>
      <c r="BO38" s="21">
        <f t="shared" si="308"/>
        <v>10768</v>
      </c>
      <c r="BP38" s="21">
        <f t="shared" ref="BP38:BV38" si="309">BP36-BP37</f>
        <v>2725</v>
      </c>
      <c r="BQ38" s="21">
        <f t="shared" si="309"/>
        <v>1991</v>
      </c>
      <c r="BR38" s="21">
        <f t="shared" si="309"/>
        <v>981</v>
      </c>
      <c r="BS38" s="21">
        <f t="shared" si="309"/>
        <v>2510</v>
      </c>
      <c r="BT38" s="21">
        <f t="shared" si="309"/>
        <v>8985</v>
      </c>
      <c r="BU38" s="21">
        <f t="shared" si="309"/>
        <v>6529</v>
      </c>
      <c r="BV38" s="21">
        <f t="shared" si="309"/>
        <v>4467</v>
      </c>
      <c r="BW38" s="21">
        <f t="shared" ref="BW38:CB38" si="310">BW36-BW37</f>
        <v>8078</v>
      </c>
      <c r="BX38" s="21">
        <f t="shared" si="310"/>
        <v>11584</v>
      </c>
      <c r="BY38" s="21">
        <f t="shared" si="310"/>
        <v>8261</v>
      </c>
      <c r="BZ38" s="21">
        <f t="shared" si="310"/>
        <v>16980</v>
      </c>
      <c r="CA38" s="21">
        <f t="shared" si="310"/>
        <v>27218</v>
      </c>
      <c r="CB38" s="21">
        <f t="shared" si="310"/>
        <v>26935.85</v>
      </c>
      <c r="CC38" s="21">
        <f t="shared" ref="CC38:CD38" si="311">CC36-CC37</f>
        <v>8659</v>
      </c>
      <c r="CD38" s="21">
        <f t="shared" si="311"/>
        <v>10569</v>
      </c>
      <c r="CE38" s="21">
        <f t="shared" ref="CE38:CF38" si="312">CE36-CE37</f>
        <v>9546</v>
      </c>
      <c r="CF38" s="21">
        <f t="shared" si="312"/>
        <v>8569</v>
      </c>
      <c r="CG38" s="21">
        <f t="shared" ref="CG38:CH38" si="313">CG36-CG37</f>
        <v>11568</v>
      </c>
      <c r="CH38" s="21">
        <f t="shared" si="313"/>
        <v>1434</v>
      </c>
      <c r="CI38" s="21">
        <f t="shared" ref="CI38:CJ38" si="314">CI36-CI37</f>
        <v>1176</v>
      </c>
      <c r="CJ38" s="21">
        <f t="shared" si="314"/>
        <v>1681</v>
      </c>
      <c r="CK38" s="21">
        <f t="shared" ref="CK38" si="315">CK36-CK37</f>
        <v>1395</v>
      </c>
      <c r="CL38" s="21">
        <f t="shared" ref="CL38:CM38" si="316">CL36-CL37</f>
        <v>2083</v>
      </c>
      <c r="CM38" s="21">
        <f t="shared" si="316"/>
        <v>2361</v>
      </c>
      <c r="CN38" s="21">
        <f t="shared" ref="CN38:CP38" si="317">CN36-CN37</f>
        <v>2208</v>
      </c>
      <c r="CO38" s="21">
        <f t="shared" si="317"/>
        <v>2346</v>
      </c>
      <c r="CP38" s="21">
        <f t="shared" si="317"/>
        <v>2442</v>
      </c>
      <c r="CQ38" s="21">
        <f t="shared" ref="CQ38:CR38" si="318">CQ36-CQ37</f>
        <v>2049</v>
      </c>
      <c r="CR38" s="21">
        <f t="shared" si="318"/>
        <v>2303</v>
      </c>
      <c r="CS38" s="21">
        <f t="shared" ref="CS38:CT38" si="319">CS36-CS37</f>
        <v>2096</v>
      </c>
      <c r="CT38" s="21">
        <f t="shared" si="319"/>
        <v>1931</v>
      </c>
      <c r="CU38" s="21">
        <f t="shared" ref="CU38:CV38" si="320">CU36-CU37</f>
        <v>1792</v>
      </c>
      <c r="CV38" s="21">
        <f t="shared" si="320"/>
        <v>1919</v>
      </c>
      <c r="CW38" s="21">
        <f t="shared" ref="CW38:CX38" si="321">CW36-CW37</f>
        <v>2856</v>
      </c>
      <c r="CX38" s="21">
        <f t="shared" si="321"/>
        <v>3706</v>
      </c>
      <c r="CY38" s="21">
        <f t="shared" ref="CY38:CZ38" si="322">CY36-CY37</f>
        <v>3383</v>
      </c>
      <c r="CZ38" s="21">
        <f t="shared" si="322"/>
        <v>3039</v>
      </c>
      <c r="DA38" s="21">
        <f t="shared" ref="DA38:DB38" si="323">DA36-DA37</f>
        <v>4429</v>
      </c>
      <c r="DB38" s="21">
        <f t="shared" si="323"/>
        <v>3671</v>
      </c>
      <c r="DC38" s="21">
        <f t="shared" ref="DC38:DD38" si="324">DC36-DC37</f>
        <v>3460</v>
      </c>
      <c r="DD38" s="21">
        <f t="shared" si="324"/>
        <v>3323</v>
      </c>
      <c r="DE38" s="21">
        <f t="shared" ref="DE38:DF38" si="325">DE36-DE37</f>
        <v>3426</v>
      </c>
      <c r="DF38" s="21">
        <f t="shared" si="325"/>
        <v>2974</v>
      </c>
      <c r="DG38" s="21">
        <f t="shared" ref="DG38:DH38" si="326">DG36-DG37</f>
        <v>2909</v>
      </c>
      <c r="DH38" s="21">
        <f t="shared" si="326"/>
        <v>2854</v>
      </c>
      <c r="DI38" s="21">
        <f t="shared" ref="DI38:DJ38" si="327">DI36-DI37</f>
        <v>3190</v>
      </c>
      <c r="DJ38" s="21">
        <f t="shared" si="327"/>
        <v>3912</v>
      </c>
      <c r="DK38" s="21">
        <f t="shared" ref="DK38" si="328">DK36-DK37</f>
        <v>3349.91</v>
      </c>
      <c r="DL38" s="47"/>
    </row>
    <row r="39" spans="1:116" ht="15.75" x14ac:dyDescent="0.25">
      <c r="A39" s="12">
        <f t="shared" si="23"/>
        <v>34</v>
      </c>
      <c r="B39" s="23" t="s">
        <v>38</v>
      </c>
      <c r="C39" s="25"/>
      <c r="D39" s="15"/>
      <c r="E39" s="25"/>
      <c r="F39" s="15"/>
      <c r="G39" s="25"/>
      <c r="H39" s="15"/>
      <c r="I39" s="25"/>
      <c r="J39" s="22"/>
      <c r="K39" s="25"/>
      <c r="L39" s="22"/>
      <c r="M39" s="25"/>
      <c r="N39" s="22"/>
      <c r="O39" s="25"/>
      <c r="P39" s="22"/>
      <c r="Q39" s="25"/>
      <c r="R39" s="22"/>
      <c r="S39" s="25"/>
      <c r="T39" s="22"/>
      <c r="U39" s="25"/>
      <c r="V39" s="22"/>
      <c r="W39" s="15"/>
      <c r="X39" s="22"/>
      <c r="Y39" s="15"/>
      <c r="Z39" s="22"/>
      <c r="AA39" s="15"/>
      <c r="AB39" s="22"/>
      <c r="AC39" s="15"/>
      <c r="AD39" s="22"/>
      <c r="AE39" s="15"/>
      <c r="AF39" s="22"/>
      <c r="AG39" s="15">
        <f>AG38/AG36</f>
        <v>0.99934930545258371</v>
      </c>
      <c r="AH39" s="15">
        <f>AH38/AH36</f>
        <v>0.99949863979397013</v>
      </c>
      <c r="AI39" s="15">
        <f>AI38/AI36</f>
        <v>0.99764676788729922</v>
      </c>
      <c r="AJ39" s="15">
        <f>AJ38/AJ36</f>
        <v>0.99963695416425302</v>
      </c>
      <c r="AK39" s="15">
        <f>AK38/AK36</f>
        <v>0.99921514463076211</v>
      </c>
      <c r="AL39" s="15">
        <v>0.99909999999999999</v>
      </c>
      <c r="AM39" s="15">
        <v>0.999282765737874</v>
      </c>
      <c r="AN39" s="15">
        <f>AN38/AN36</f>
        <v>0.99938765182186229</v>
      </c>
      <c r="AO39" s="15">
        <f>AO38/AO36</f>
        <v>0.99983159117305465</v>
      </c>
      <c r="AP39" s="15">
        <f>AP38/AP36</f>
        <v>0.99974358974358979</v>
      </c>
      <c r="AQ39" s="15">
        <f>AQ38/AQ36</f>
        <v>0.99982779097387176</v>
      </c>
      <c r="AR39" s="15">
        <v>0</v>
      </c>
      <c r="AS39" s="15">
        <v>0</v>
      </c>
      <c r="AT39" s="15">
        <v>0</v>
      </c>
      <c r="AU39" s="15">
        <f t="shared" ref="AU39:BA39" si="329">AU38/AU36</f>
        <v>0.99989676616915424</v>
      </c>
      <c r="AV39" s="15">
        <f t="shared" si="329"/>
        <v>0.99928787369835403</v>
      </c>
      <c r="AW39" s="15">
        <f t="shared" si="329"/>
        <v>0.99871724890829694</v>
      </c>
      <c r="AX39" s="15">
        <f t="shared" si="329"/>
        <v>0.99917659425367911</v>
      </c>
      <c r="AY39" s="15">
        <f t="shared" si="329"/>
        <v>0.99966995447647955</v>
      </c>
      <c r="AZ39" s="15">
        <f t="shared" si="329"/>
        <v>0.99998993288590599</v>
      </c>
      <c r="BA39" s="15">
        <f t="shared" si="329"/>
        <v>0.99996629754453525</v>
      </c>
      <c r="BB39" s="15">
        <f t="shared" ref="BB39:BH39" si="330">BB38/BB36</f>
        <v>1</v>
      </c>
      <c r="BC39" s="15">
        <f t="shared" si="330"/>
        <v>0.99996872556684913</v>
      </c>
      <c r="BD39" s="15">
        <f t="shared" si="330"/>
        <v>0.99997989697198142</v>
      </c>
      <c r="BE39" s="15">
        <f t="shared" si="330"/>
        <v>0.99990483345855241</v>
      </c>
      <c r="BF39" s="15">
        <f t="shared" si="330"/>
        <v>0.99983690987124463</v>
      </c>
      <c r="BG39" s="15">
        <f t="shared" si="330"/>
        <v>0.99990471414242721</v>
      </c>
      <c r="BH39" s="15">
        <f t="shared" si="330"/>
        <v>0.99981409001956945</v>
      </c>
      <c r="BI39" s="15">
        <f t="shared" ref="BI39:BO39" si="331">BI38/BI36</f>
        <v>0.99989743589743585</v>
      </c>
      <c r="BJ39" s="15">
        <f t="shared" si="331"/>
        <v>0.99994470314318973</v>
      </c>
      <c r="BK39" s="15">
        <f t="shared" si="331"/>
        <v>0.99994400235779546</v>
      </c>
      <c r="BL39" s="15">
        <f t="shared" si="331"/>
        <v>1</v>
      </c>
      <c r="BM39" s="15">
        <f t="shared" si="331"/>
        <v>1</v>
      </c>
      <c r="BN39" s="15">
        <f t="shared" si="331"/>
        <v>1</v>
      </c>
      <c r="BO39" s="15">
        <f t="shared" si="331"/>
        <v>1</v>
      </c>
      <c r="BP39" s="15">
        <f t="shared" ref="BP39:BV39" si="332">BP38/BP36</f>
        <v>1</v>
      </c>
      <c r="BQ39" s="15">
        <f t="shared" si="332"/>
        <v>1</v>
      </c>
      <c r="BR39" s="15">
        <f t="shared" si="332"/>
        <v>1</v>
      </c>
      <c r="BS39" s="15">
        <f t="shared" si="332"/>
        <v>1</v>
      </c>
      <c r="BT39" s="15">
        <f t="shared" si="332"/>
        <v>1</v>
      </c>
      <c r="BU39" s="15">
        <f t="shared" si="332"/>
        <v>1</v>
      </c>
      <c r="BV39" s="15">
        <f t="shared" si="332"/>
        <v>1</v>
      </c>
      <c r="BW39" s="15">
        <f t="shared" ref="BW39:CB39" si="333">BW38/BW36</f>
        <v>1</v>
      </c>
      <c r="BX39" s="15">
        <f t="shared" si="333"/>
        <v>1</v>
      </c>
      <c r="BY39" s="15">
        <f t="shared" si="333"/>
        <v>1</v>
      </c>
      <c r="BZ39" s="15">
        <f t="shared" si="333"/>
        <v>1</v>
      </c>
      <c r="CA39" s="15">
        <f t="shared" si="333"/>
        <v>1</v>
      </c>
      <c r="CB39" s="15">
        <f t="shared" si="333"/>
        <v>0.99999443124443121</v>
      </c>
      <c r="CC39" s="15">
        <f t="shared" ref="CC39:CD39" si="334">CC38/CC36</f>
        <v>1</v>
      </c>
      <c r="CD39" s="15">
        <f t="shared" si="334"/>
        <v>1</v>
      </c>
      <c r="CE39" s="15">
        <f t="shared" ref="CE39:CF39" si="335">CE38/CE36</f>
        <v>1</v>
      </c>
      <c r="CF39" s="15">
        <f t="shared" si="335"/>
        <v>1</v>
      </c>
      <c r="CG39" s="15">
        <f t="shared" ref="CG39:CH39" si="336">CG38/CG36</f>
        <v>1</v>
      </c>
      <c r="CH39" s="15">
        <f t="shared" si="336"/>
        <v>1</v>
      </c>
      <c r="CI39" s="15">
        <f t="shared" ref="CI39:CJ39" si="337">CI38/CI36</f>
        <v>1</v>
      </c>
      <c r="CJ39" s="15">
        <f t="shared" si="337"/>
        <v>1</v>
      </c>
      <c r="CK39" s="15">
        <f t="shared" ref="CK39" si="338">CK38/CK36</f>
        <v>1</v>
      </c>
      <c r="CL39" s="15">
        <f t="shared" ref="CL39:CM39" si="339">CL38/CL36</f>
        <v>1</v>
      </c>
      <c r="CM39" s="15">
        <f t="shared" si="339"/>
        <v>1</v>
      </c>
      <c r="CN39" s="15">
        <f t="shared" ref="CN39:CP39" si="340">CN38/CN36</f>
        <v>1</v>
      </c>
      <c r="CO39" s="15">
        <f t="shared" si="340"/>
        <v>1</v>
      </c>
      <c r="CP39" s="15">
        <f t="shared" si="340"/>
        <v>1</v>
      </c>
      <c r="CQ39" s="15">
        <f t="shared" ref="CQ39:CR39" si="341">CQ38/CQ36</f>
        <v>1</v>
      </c>
      <c r="CR39" s="15">
        <f t="shared" si="341"/>
        <v>1</v>
      </c>
      <c r="CS39" s="15">
        <f t="shared" ref="CS39:CT39" si="342">CS38/CS36</f>
        <v>1</v>
      </c>
      <c r="CT39" s="15">
        <f t="shared" si="342"/>
        <v>1</v>
      </c>
      <c r="CU39" s="15">
        <f t="shared" ref="CU39:CV39" si="343">CU38/CU36</f>
        <v>1</v>
      </c>
      <c r="CV39" s="15">
        <f t="shared" si="343"/>
        <v>1</v>
      </c>
      <c r="CW39" s="15">
        <f t="shared" ref="CW39:CX39" si="344">CW38/CW36</f>
        <v>1</v>
      </c>
      <c r="CX39" s="15">
        <f t="shared" si="344"/>
        <v>1</v>
      </c>
      <c r="CY39" s="15">
        <f t="shared" ref="CY39:CZ39" si="345">CY38/CY36</f>
        <v>1</v>
      </c>
      <c r="CZ39" s="15">
        <f t="shared" si="345"/>
        <v>1</v>
      </c>
      <c r="DA39" s="15">
        <f t="shared" ref="DA39:DB39" si="346">DA38/DA36</f>
        <v>1</v>
      </c>
      <c r="DB39" s="15">
        <f t="shared" si="346"/>
        <v>1</v>
      </c>
      <c r="DC39" s="15">
        <f t="shared" ref="DC39:DD39" si="347">DC38/DC36</f>
        <v>1</v>
      </c>
      <c r="DD39" s="15">
        <f t="shared" si="347"/>
        <v>1</v>
      </c>
      <c r="DE39" s="15">
        <f t="shared" ref="DE39:DF39" si="348">DE38/DE36</f>
        <v>1</v>
      </c>
      <c r="DF39" s="15">
        <f t="shared" si="348"/>
        <v>1</v>
      </c>
      <c r="DG39" s="15">
        <f t="shared" ref="DG39:DH39" si="349">DG38/DG36</f>
        <v>1</v>
      </c>
      <c r="DH39" s="15">
        <f t="shared" si="349"/>
        <v>1</v>
      </c>
      <c r="DI39" s="15">
        <f t="shared" ref="DI39:DJ39" si="350">DI38/DI36</f>
        <v>1</v>
      </c>
      <c r="DJ39" s="15">
        <f t="shared" si="350"/>
        <v>1</v>
      </c>
      <c r="DK39" s="15">
        <f t="shared" ref="DK39" si="351">DK38/DK36</f>
        <v>0.99997313432835822</v>
      </c>
      <c r="DL39" s="48"/>
    </row>
  </sheetData>
  <mergeCells count="3">
    <mergeCell ref="A3:A4"/>
    <mergeCell ref="B4:B5"/>
    <mergeCell ref="DL32:DL39"/>
  </mergeCells>
  <hyperlinks>
    <hyperlink ref="A1" location="'KPI-SLA Tracker - Ops'!A1" display="'KPI-SLA Tracker - Ops'!A1"/>
  </hyperlinks>
  <pageMargins left="0.7" right="0.7" top="0.75" bottom="0.75" header="0.3" footer="0.3"/>
  <pageSetup paperSize="9" orientation="portrait" r:id="rId1"/>
  <headerFooter>
    <oddHeader>&amp;C&amp;"Calibri"&amp;10&amp;K000000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headerFooter>
    <oddHeader>&amp;C&amp;"Calibri"&amp;10&amp;K000000 Internal&amp;1#_x000D_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headerFooter>
    <oddHeader>&amp;C&amp;"Calibri"&amp;10&amp;K000000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AMOL</dc:creator>
  <cp:keywords/>
  <dc:description/>
  <cp:lastModifiedBy>Sonal Deore</cp:lastModifiedBy>
  <cp:revision/>
  <dcterms:created xsi:type="dcterms:W3CDTF">2020-02-04T14:33:41Z</dcterms:created>
  <dcterms:modified xsi:type="dcterms:W3CDTF">2026-06-22T07:33:43Z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9778cf-0fe9-42c9-91e8-a999b94bbe98_Enabled">
    <vt:lpwstr>true</vt:lpwstr>
  </property>
  <property fmtid="{D5CDD505-2E9C-101B-9397-08002B2CF9AE}" pid="3" name="MSIP_Label_0c9778cf-0fe9-42c9-91e8-a999b94bbe98_SetDate">
    <vt:lpwstr>2023-11-07T13:03:10Z</vt:lpwstr>
  </property>
  <property fmtid="{D5CDD505-2E9C-101B-9397-08002B2CF9AE}" pid="4" name="MSIP_Label_0c9778cf-0fe9-42c9-91e8-a999b94bbe98_Method">
    <vt:lpwstr>Standard</vt:lpwstr>
  </property>
  <property fmtid="{D5CDD505-2E9C-101B-9397-08002B2CF9AE}" pid="5" name="MSIP_Label_0c9778cf-0fe9-42c9-91e8-a999b94bbe98_Name">
    <vt:lpwstr>Internal-O365</vt:lpwstr>
  </property>
  <property fmtid="{D5CDD505-2E9C-101B-9397-08002B2CF9AE}" pid="6" name="MSIP_Label_0c9778cf-0fe9-42c9-91e8-a999b94bbe98_SiteId">
    <vt:lpwstr>d44ff723-4fa7-405e-afc0-43c21e573043</vt:lpwstr>
  </property>
  <property fmtid="{D5CDD505-2E9C-101B-9397-08002B2CF9AE}" pid="7" name="MSIP_Label_0c9778cf-0fe9-42c9-91e8-a999b94bbe98_ActionId">
    <vt:lpwstr>cc7f6aad-419e-4db9-9016-382d2023d822</vt:lpwstr>
  </property>
  <property fmtid="{D5CDD505-2E9C-101B-9397-08002B2CF9AE}" pid="8" name="MSIP_Label_0c9778cf-0fe9-42c9-91e8-a999b94bbe98_ContentBits">
    <vt:lpwstr>1</vt:lpwstr>
  </property>
</Properties>
</file>