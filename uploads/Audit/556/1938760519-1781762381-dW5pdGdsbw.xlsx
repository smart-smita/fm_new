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Osram\"/>
    </mc:Choice>
  </mc:AlternateContent>
  <bookViews>
    <workbookView xWindow="0" yWindow="0" windowWidth="20490" windowHeight="7530" activeTab="1"/>
  </bookViews>
  <sheets>
    <sheet name="Apr-26" sheetId="1" r:id="rId1"/>
    <sheet name="May-26" sheetId="2" r:id="rId2"/>
  </sheets>
  <definedNames>
    <definedName name="_xlnm._FilterDatabase" localSheetId="1" hidden="1">'May-26'!$F$1:$G$157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7" i="2" l="1"/>
  <c r="D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G3" i="2"/>
  <c r="G157" i="2" s="1"/>
  <c r="A3" i="2"/>
  <c r="G2" i="2"/>
</calcChain>
</file>

<file path=xl/sharedStrings.xml><?xml version="1.0" encoding="utf-8"?>
<sst xmlns="http://schemas.openxmlformats.org/spreadsheetml/2006/main" count="1247" uniqueCount="368">
  <si>
    <t>Osram  Inventory_A06-FM Mumbai_30-April-26</t>
  </si>
  <si>
    <t>Sr. No.</t>
  </si>
  <si>
    <t>Material</t>
  </si>
  <si>
    <t>Plant</t>
  </si>
  <si>
    <t>SLoc</t>
  </si>
  <si>
    <t>Material Description</t>
  </si>
  <si>
    <t>BUn</t>
  </si>
  <si>
    <t>UR 
Stocks</t>
  </si>
  <si>
    <t>Physical Qty</t>
  </si>
  <si>
    <t>Difference</t>
  </si>
  <si>
    <t>Remarks</t>
  </si>
  <si>
    <t>A35291719DC</t>
  </si>
  <si>
    <t>D984</t>
  </si>
  <si>
    <t>0001</t>
  </si>
  <si>
    <t>62337RV 35/35W 12V P15D-25-1100X1FCOSRAM</t>
  </si>
  <si>
    <t>PCE</t>
  </si>
  <si>
    <t>A35321506DC</t>
  </si>
  <si>
    <t>62327 35/35W 12V BA20D 10XBD10X1 FCOSRAM</t>
  </si>
  <si>
    <t>A35499616DC</t>
  </si>
  <si>
    <t>62347 35/35W 12V P15D-25-3 100X1 FCOSRAM</t>
  </si>
  <si>
    <t>A35502A16DC</t>
  </si>
  <si>
    <t>62335RV 25/25W 12V P15D-25-1100X1FCOSRAM</t>
  </si>
  <si>
    <t>A3643801172</t>
  </si>
  <si>
    <t>5007 5W 12V BA15S 8X100 LF TR      OSRAM</t>
  </si>
  <si>
    <t>A36439D0972</t>
  </si>
  <si>
    <t>5008 10W 12V BA15S 8X100 LF TR     OSRAM</t>
  </si>
  <si>
    <t>A36439D1572</t>
  </si>
  <si>
    <t>A3892410772</t>
  </si>
  <si>
    <t>2825 5W 12V W2.1X9.5D 8X500 TR   OSOSRAM</t>
  </si>
  <si>
    <t>A38990703EC</t>
  </si>
  <si>
    <t>3930 4W 24V BA9S 8X450 LF TR       OSRAM</t>
  </si>
  <si>
    <t>A40661E04EC</t>
  </si>
  <si>
    <t>3893 4W 12V BA9S 8X450 LF TR       OSRAM</t>
  </si>
  <si>
    <t>A4122430672</t>
  </si>
  <si>
    <t>5008L 10W 12V BA15S 8X100 LF TR    OSRAM</t>
  </si>
  <si>
    <t>A4122840272</t>
  </si>
  <si>
    <t>5627 5W 24V BA15S 8X100 LF TR      OSRAM</t>
  </si>
  <si>
    <t>A41230D0272</t>
  </si>
  <si>
    <t>5637 10W 24V BA15S 8X100 LF TR     OSRAM</t>
  </si>
  <si>
    <t>A41823F09DC</t>
  </si>
  <si>
    <t>62204SB 100/90W 12V P43T 10X10X1 FCOSRAM</t>
  </si>
  <si>
    <t>A41841B07DC</t>
  </si>
  <si>
    <t>62249RL 130/100W 24V P43T 10X10X1FCOSRAM</t>
  </si>
  <si>
    <t>A45262712DC</t>
  </si>
  <si>
    <t>62201RL 100W 12V PK22S 10X10X1 FC  OSRAM</t>
  </si>
  <si>
    <t>A45263324DC</t>
  </si>
  <si>
    <t>64156 70W 24V PK22S 10X10X1 FC     OSRAM</t>
  </si>
  <si>
    <t>A51046606DC</t>
  </si>
  <si>
    <t>62218RL 130/100W 12V P43T 10X10X1FCOSRAM</t>
  </si>
  <si>
    <t>A53775001F1</t>
  </si>
  <si>
    <t>9005WXP 60W 12V P20D VS200PPL      SYL</t>
  </si>
  <si>
    <t>A55182802DC</t>
  </si>
  <si>
    <t>64193L 60/55W 12V P43TVS200PPLTROEMOSRAM</t>
  </si>
  <si>
    <t>A56738A04EC</t>
  </si>
  <si>
    <t>921 16W 12VW2.1X9.5DVS1000PPLPTRSYLOSRAM</t>
  </si>
  <si>
    <t>A56947502DC</t>
  </si>
  <si>
    <t>62204CB-HCB 100/90W 12V P43T 10X2FCOSRAM</t>
  </si>
  <si>
    <t>A57077E04DC</t>
  </si>
  <si>
    <t>62327SVS-01B35/35W12VBA20D10XBLI1FCOSRAM</t>
  </si>
  <si>
    <t>A57079603DC</t>
  </si>
  <si>
    <t>62327CB-01B35/35W12VBA20D10XBLI1FC OSRAM</t>
  </si>
  <si>
    <t>A60478606DC</t>
  </si>
  <si>
    <t>64185 35/35W 12V PX43T VS200 EN    OSRAM</t>
  </si>
  <si>
    <t>A60500207DC</t>
  </si>
  <si>
    <t>64185 35/35W 12V PX43TVS200PPLTROEMOSRAM</t>
  </si>
  <si>
    <t>A60501F05DC</t>
  </si>
  <si>
    <t>64193 60/55W 12V P43T VS200PPLTROEMOSRAM</t>
  </si>
  <si>
    <t>A62178C00F1</t>
  </si>
  <si>
    <t>9005LL 60W 12V P20D VS200PPL       SYL</t>
  </si>
  <si>
    <t>A73599F0072</t>
  </si>
  <si>
    <t>6418RD 5W 12V SV8.5-8 8X250 LF TR  OSRAM</t>
  </si>
  <si>
    <t>A73886306DC</t>
  </si>
  <si>
    <t>64185SVS-01B35/35W12VPX43T10XBLI1FCOSRAM</t>
  </si>
  <si>
    <t>A74274E02DC</t>
  </si>
  <si>
    <t>64185CBM-01B35/35W12VPX43T10XBLI1FCOSRAM</t>
  </si>
  <si>
    <t>A74275A01DC</t>
  </si>
  <si>
    <t>64196 75/70W 24VP43TVS200PPLENTROEMOSRAM</t>
  </si>
  <si>
    <t>A74681E35HO</t>
  </si>
  <si>
    <t>7528 21/5W 12V BAY15D 10XFS10 FC   OSRAM</t>
  </si>
  <si>
    <t>AA3094602DC</t>
  </si>
  <si>
    <t>64210 55W 12V PX26D VS180PPL TR OEMOSRAM</t>
  </si>
  <si>
    <t>AA3112006DC</t>
  </si>
  <si>
    <t>64150 55W 12V P14.5SVS320PPLTRNBOEMOSRAM</t>
  </si>
  <si>
    <t>AA3112102DC</t>
  </si>
  <si>
    <t>64150L 55W 12V P14.5S VS320PPLTROEMOSRAM</t>
  </si>
  <si>
    <t>AA3112233DC</t>
  </si>
  <si>
    <t>64150 55W 12V P14.5S 10X10X1 FC    OSRAM</t>
  </si>
  <si>
    <t>AA3112511DC</t>
  </si>
  <si>
    <t>62200RL 100W 12V P14.5S 10X10X1 FC OSRAM</t>
  </si>
  <si>
    <t>AA3112634DC</t>
  </si>
  <si>
    <t>64155 70W 24V P14.5SVS320PPLTRNBOEMOSRAM</t>
  </si>
  <si>
    <t>AA3590602DC</t>
  </si>
  <si>
    <t>64185ALS-01B35/35W12VPX43T10XBLI12FOSRAM</t>
  </si>
  <si>
    <t>AA3592101DC</t>
  </si>
  <si>
    <t>64210L 55W 12V PX26D VS180PPL TROEMOSRAM</t>
  </si>
  <si>
    <t>AA3636316HO</t>
  </si>
  <si>
    <t>5008 10W 12V BA15S 10XFS10 FC      OSRAM</t>
  </si>
  <si>
    <t>AA393943402</t>
  </si>
  <si>
    <t>64196TSP 75/70W 24V P43T 10X10X1 1AOSRAM</t>
  </si>
  <si>
    <t>AA417660072</t>
  </si>
  <si>
    <t>5637TSP 10W 24V BA15S 8X100 LF TR  OSRAM</t>
  </si>
  <si>
    <t>AA507170002</t>
  </si>
  <si>
    <t>64215TSP 70W 24V PX26D VS180PPL TR OSRAM</t>
  </si>
  <si>
    <t>AA5207617CL</t>
  </si>
  <si>
    <t>64151 55W 12V PK22S 10X10X1 FC     OSRAM</t>
  </si>
  <si>
    <t>AA5209401CL</t>
  </si>
  <si>
    <t>60112 60/55W 12V P43T 10XBD10X1    DELA</t>
  </si>
  <si>
    <t>AA5209611CL</t>
  </si>
  <si>
    <t>64198 60/55W 12V P45T 10X10X1 FC   OSRAM</t>
  </si>
  <si>
    <t>AA5209822CL</t>
  </si>
  <si>
    <t>62204 100/90W 12V P43T 10X10X1 FC  OSRAM</t>
  </si>
  <si>
    <t>AA5210517CL</t>
  </si>
  <si>
    <t>62248 100/90W 24V P43T 10X10X1 FC  OSRAM</t>
  </si>
  <si>
    <t>AA5210711CL</t>
  </si>
  <si>
    <t>62245 100/90W 24V P45T 10X10X1 FC  OSRAM</t>
  </si>
  <si>
    <t>AA5210905CL</t>
  </si>
  <si>
    <t>64196 75/70W 24V P43T 10X10X1 FC   OSRAM</t>
  </si>
  <si>
    <t>AA5281109H8</t>
  </si>
  <si>
    <t>64185 35/35W 12V PX43T 10X10X1 FC  OSRAM</t>
  </si>
  <si>
    <t>AA5627804HO</t>
  </si>
  <si>
    <t>5637 10W 24V BA15S 10XFS10 FC      OSRAM</t>
  </si>
  <si>
    <t>AA6201400DC</t>
  </si>
  <si>
    <t>64185RD 35/35W12VPX43TVS200PPLTROEMOSRAM</t>
  </si>
  <si>
    <t>AA6230705HO</t>
  </si>
  <si>
    <t>7506 21W 12V BA15S 10XFS10 FC      OSRAM</t>
  </si>
  <si>
    <t>AA6230905HO</t>
  </si>
  <si>
    <t>7511 21W 24V BA15S 10XFS10 FC      OSRAM</t>
  </si>
  <si>
    <t>AA643080504</t>
  </si>
  <si>
    <t>66240CLC 35W P32D-2 4X1 2F         OSRAM</t>
  </si>
  <si>
    <t>AA6588804CL</t>
  </si>
  <si>
    <t>64215 70W 24V PX26D 10X10X1 FC     OSRAM</t>
  </si>
  <si>
    <t>AA724580102</t>
  </si>
  <si>
    <t>64210L+ 55W 12V PX26D VS180PPL TR  OSRAM</t>
  </si>
  <si>
    <t>AA765310202</t>
  </si>
  <si>
    <t>64219L+ 19W 12V PGJ19-3 VS140PPL TROSRAM</t>
  </si>
  <si>
    <t>AB3769206DC</t>
  </si>
  <si>
    <t>62222 100W 12V PX26D 10X10X1 FC    OSRAM</t>
  </si>
  <si>
    <t>AB414020602</t>
  </si>
  <si>
    <t>62204ALL-01B100/90W12VP43T10XBLI1FCOSRAM</t>
  </si>
  <si>
    <t>AB4149502DC</t>
  </si>
  <si>
    <t>64212 35W 12V PGJ19-1 VS140 TROEMVGOSRAM</t>
  </si>
  <si>
    <t>AB4569302CL</t>
  </si>
  <si>
    <t>64185 35/35W 12V PX43TVS200PPLOEMINOSRAM</t>
  </si>
  <si>
    <t>AM050960002</t>
  </si>
  <si>
    <t>64176 15/55W 12V PGJ23T-1VS144PPLTROSRAM</t>
  </si>
  <si>
    <t>AM072410002</t>
  </si>
  <si>
    <t>64181L 60/55W 12V PU43T-3VS200PPLTROSRAM</t>
  </si>
  <si>
    <t>AM090861602</t>
  </si>
  <si>
    <t>64211NL-HCB 55W 12V PGJ19-25X2BOX4FOSRAM</t>
  </si>
  <si>
    <t>AM094200172</t>
  </si>
  <si>
    <t>2845 5W 24V W2.1X9.5D 8X500 TR   OSOSRAM</t>
  </si>
  <si>
    <t>AM1545603DC</t>
  </si>
  <si>
    <t>64151 55W 12V PK22S VS245PPLTRNBOEMOSRAM</t>
  </si>
  <si>
    <t>AM1805500EC</t>
  </si>
  <si>
    <t>7511 21W 24V BA15S VS420PPL TR     OSRAM</t>
  </si>
  <si>
    <t>AM2695902CL</t>
  </si>
  <si>
    <t>62249 130/100W 24V P43T 10X10X1BIFCOSRAM</t>
  </si>
  <si>
    <t>AM2696400DC</t>
  </si>
  <si>
    <t>64185LL 35/35W 12V PX43T VS200TROEMOSRAM</t>
  </si>
  <si>
    <t>AM2865905DC</t>
  </si>
  <si>
    <t>64211 55W 12V PGJ19-2 10X10X1 FC   OSRAM</t>
  </si>
  <si>
    <t>AM3030401DC</t>
  </si>
  <si>
    <t>64193SVS-01B 60/55W12VP43T10XBLI1FCOSRAM</t>
  </si>
  <si>
    <t>AM3219600EC</t>
  </si>
  <si>
    <t>921NA 16W12VW2.1X9.5DVS1000PPLTRPOSOSRAM</t>
  </si>
  <si>
    <t>AM344110155</t>
  </si>
  <si>
    <t>OTI200 TYREINFLATE 200 4X1         OSRAM</t>
  </si>
  <si>
    <t>AM3448000EC</t>
  </si>
  <si>
    <t>7225L 21/4W 12V BAZ15D XVS420PPL TROSRAM</t>
  </si>
  <si>
    <t>AM3448202EC</t>
  </si>
  <si>
    <t>7506 21W 12V BA15S XVS420PPL TR    OSRAM</t>
  </si>
  <si>
    <t>AM3451000EC</t>
  </si>
  <si>
    <t>7506L 21W 12V BA15S XVS420PPL TR   OSRAM</t>
  </si>
  <si>
    <t>AM3451402EC</t>
  </si>
  <si>
    <t>7507 21W 12V NZL X VS420PPL TR     OSRAM</t>
  </si>
  <si>
    <t>AM3451606EC</t>
  </si>
  <si>
    <t>7507L 21W 12V NZL X VS420PPL TR    OSRAM</t>
  </si>
  <si>
    <t>AM3452900EC</t>
  </si>
  <si>
    <t>7528 21/5W 12V BAY15D XVS420PPL TR OSRAM</t>
  </si>
  <si>
    <t>AM3453200EC</t>
  </si>
  <si>
    <t>7528L 21/5W 12V BAY15D XVS420PPL TROSRAM</t>
  </si>
  <si>
    <t>AM3466201DC</t>
  </si>
  <si>
    <t>62185RL 45/40W 12V PX43T 10XBLI1 FCOSRAM</t>
  </si>
  <si>
    <t>AM3788301DC</t>
  </si>
  <si>
    <t>64210 55W 12V PX26D 10X10X1 FC     OSRAM</t>
  </si>
  <si>
    <t>AM3880700DC</t>
  </si>
  <si>
    <t>62204HWSVS 100/90W 12VP43T10XBLI1FCOSRAM</t>
  </si>
  <si>
    <t>AM3918401DC</t>
  </si>
  <si>
    <t>64212 35W 12V PGJ19-1 10X10X1 FC   OSRAM</t>
  </si>
  <si>
    <t>AM4072801DC</t>
  </si>
  <si>
    <t>64193 60/55W 12V P43T 10X10X1 FC   OSRAM</t>
  </si>
  <si>
    <t>AM4156203DC</t>
  </si>
  <si>
    <t>64155TSP70W24VP14.5SVS320PPLTRNBOEMOSRAM</t>
  </si>
  <si>
    <t>AM4290200DC</t>
  </si>
  <si>
    <t>7485CW 8/12W 12V PX43T 12XBLI1 FC  OSRAM</t>
  </si>
  <si>
    <t>AM4608000VN</t>
  </si>
  <si>
    <t>OSCB12 5XBLI1                      OSRAM</t>
  </si>
  <si>
    <t>AM4608100VN</t>
  </si>
  <si>
    <t>OSCB13 5XBLI1                      OSRAM</t>
  </si>
  <si>
    <t>AM4608200VN</t>
  </si>
  <si>
    <t>OSCB14 5XBLI1                      OSRAM</t>
  </si>
  <si>
    <t>AM4608300VN</t>
  </si>
  <si>
    <t>OSCB16 5XBLI1                      OSRAM</t>
  </si>
  <si>
    <t>AM4608400VN</t>
  </si>
  <si>
    <t>OSCB17 5XBLI1                      OSRAM</t>
  </si>
  <si>
    <t>AM4608500VN</t>
  </si>
  <si>
    <t>OSCB18 5XBLI1                      OSRAM</t>
  </si>
  <si>
    <t>AM4608600VN</t>
  </si>
  <si>
    <t>OSCB19 5XBLI1                      OSRAM</t>
  </si>
  <si>
    <t>AM4608700VN</t>
  </si>
  <si>
    <t>OSCB20 5XBLI1                      OSRAM</t>
  </si>
  <si>
    <t>AM4608800VN</t>
  </si>
  <si>
    <t>OSCB21 5XBLI1                      OSRAM</t>
  </si>
  <si>
    <t>AM4608900VN</t>
  </si>
  <si>
    <t>OSCB22 5XBLI1                      OSRAM</t>
  </si>
  <si>
    <t>AM4609000VN</t>
  </si>
  <si>
    <t>OSCB24 5XBLI1                      OSRAM</t>
  </si>
  <si>
    <t>AM4609100VN</t>
  </si>
  <si>
    <t>OSCB26 5XBLI1                      OSRAM</t>
  </si>
  <si>
    <t>AM4609200VN</t>
  </si>
  <si>
    <t>OSFB14 5XBLI1                      OSRAM</t>
  </si>
  <si>
    <t>AM4609400VN</t>
  </si>
  <si>
    <t>OSFB16 5XBLI1                      OSRAM</t>
  </si>
  <si>
    <t>AM4609600VN</t>
  </si>
  <si>
    <t>OSFB18 5XBLI1                      OSRAM</t>
  </si>
  <si>
    <t>AM4609900VN</t>
  </si>
  <si>
    <t>OSFB21 5XBLI1                      OSRAM</t>
  </si>
  <si>
    <t>AM4610000VN</t>
  </si>
  <si>
    <t>OSFB22 5XBLI1                      OSRAM</t>
  </si>
  <si>
    <t>AM4610100VN</t>
  </si>
  <si>
    <t>OSFB24 5XBLI1                      OSRAM</t>
  </si>
  <si>
    <t>AM4631001DC</t>
  </si>
  <si>
    <t>7285CW 5/5.5W 12V PX43T12XBLI1VERFCOSRAM</t>
  </si>
  <si>
    <t>AM4812700DC</t>
  </si>
  <si>
    <t>64185SB 35/35W 12V PX43T 10X10X1 FCOSRAM</t>
  </si>
  <si>
    <t>AM4823000WE</t>
  </si>
  <si>
    <t>12V H4 HEADLAMPWIRINGHARNESSKIT20X1OSRAM</t>
  </si>
  <si>
    <t>AM4962603JG</t>
  </si>
  <si>
    <t>881 27W 12V PGJ13 10XBD10X1 1A     OSRAM</t>
  </si>
  <si>
    <t>AM497760055</t>
  </si>
  <si>
    <t>OHS70 12V 60X1                     OSRAM</t>
  </si>
  <si>
    <t>AM497770055</t>
  </si>
  <si>
    <t>OHS80 12V 60X1                     OSRAM</t>
  </si>
  <si>
    <t>AM497780055</t>
  </si>
  <si>
    <t>OHS90 12V 60X1                     OSRAM</t>
  </si>
  <si>
    <t>AM497800055</t>
  </si>
  <si>
    <t>OHT88 12V 20X1 SET                 OSRAM</t>
  </si>
  <si>
    <t>AM497840055</t>
  </si>
  <si>
    <t>OHC125 24V 10X1 SET                OSRAM</t>
  </si>
  <si>
    <t>AM497860055</t>
  </si>
  <si>
    <t>OHC130 24V 10X1 SET                OSRAM</t>
  </si>
  <si>
    <t>AM498280055</t>
  </si>
  <si>
    <t>2825DW4.0 1W 12V W2.1X9.5D 10XBLI2 OSRAM</t>
  </si>
  <si>
    <t>AM499560055</t>
  </si>
  <si>
    <t>LEDPES115-BK RHD 12V 4X2           OSRAM</t>
  </si>
  <si>
    <t>AM502840002</t>
  </si>
  <si>
    <t>64211C 55W 12V PGJ19-2VS140PPLTROEMOSRAM</t>
  </si>
  <si>
    <t>AM506330055</t>
  </si>
  <si>
    <t>H6150CW 80W 12V P14.5S 3XFS10X2 4F OSRAM</t>
  </si>
  <si>
    <t>AM506340055</t>
  </si>
  <si>
    <t>H5210CW 80W 12V PX26D 3XFS10X2 4F  OSRAM</t>
  </si>
  <si>
    <t>AM506350055</t>
  </si>
  <si>
    <t>H6211CW 80W 12V PGJ19-X 3XFS10X2 4FOSRAM</t>
  </si>
  <si>
    <t>AM506360055</t>
  </si>
  <si>
    <t>H9005/6CW 80W 12V P20/22D3XFS10X24FOSRAM</t>
  </si>
  <si>
    <t>AM506370055</t>
  </si>
  <si>
    <t>H9012CW 80W 12V PX22D 3XFS10X2 4F  OSRAM</t>
  </si>
  <si>
    <t>AM506380055</t>
  </si>
  <si>
    <t>H6204CW 80W 12V P43T 3XFS10X2 4F   OSRAM</t>
  </si>
  <si>
    <t>AM5065100EC</t>
  </si>
  <si>
    <t>2825L 5W 12V W2.1X9.5D 8X500 TR  OSOSRAM</t>
  </si>
  <si>
    <t>AM5065601EC</t>
  </si>
  <si>
    <t>2827NA 5W 12V W2.1X9.5D 8X500 TR OSOSRAM</t>
  </si>
  <si>
    <t>AM506870055</t>
  </si>
  <si>
    <t>I5210CW 50W 12V PX26D 3XFS10X2 4F  OSRAM</t>
  </si>
  <si>
    <t>AM506880055</t>
  </si>
  <si>
    <t>I6211CW 50W 12V PGJ19-X 3XFS10X2 4FOSRAM</t>
  </si>
  <si>
    <t>AM506890055</t>
  </si>
  <si>
    <t>I9005/6CW 50W 12V P20/22D3XFS10X24FOSRAM</t>
  </si>
  <si>
    <t>AM506910055</t>
  </si>
  <si>
    <t>I6204CW 50W 12V P43T 3XFS10X2 4F   OSRAM</t>
  </si>
  <si>
    <t>AM5090300EC</t>
  </si>
  <si>
    <t>7510TSP 21W 24V BAU15S VS420PPL TR OSRAM</t>
  </si>
  <si>
    <t>AM5090400EC</t>
  </si>
  <si>
    <t>7511TSP 21W 24V BA15S VS420PPL TR  OSRAM</t>
  </si>
  <si>
    <t>AM515290055</t>
  </si>
  <si>
    <t>H4 RELAY KIT 50X1                  OSRAM</t>
  </si>
  <si>
    <t>AM5169500DC</t>
  </si>
  <si>
    <t>9012LL 55W 12V PX22DVS160PPLTROEMIROSRAM</t>
  </si>
  <si>
    <t>AM519470055</t>
  </si>
  <si>
    <t>H5210WW 80W 12V PX26D 3XFS10X2 4F  OSRAM</t>
  </si>
  <si>
    <t>AM519480055</t>
  </si>
  <si>
    <t>H6211WW 80W 12V PGJ19-X 3XFS10X2 4FOSRAM</t>
  </si>
  <si>
    <t>AM519490055</t>
  </si>
  <si>
    <t>H9005/6WW 80W 12V P20/22D3XFS10X24FOSRAM</t>
  </si>
  <si>
    <t>AM519500055</t>
  </si>
  <si>
    <t>H6204WW 80W 12V P43T 3XFS10X2 4F   OSRAM</t>
  </si>
  <si>
    <t>AM519510055</t>
  </si>
  <si>
    <t>I5210WW 50W 12V PX26D 3XFS10X2 4F  OSRAM</t>
  </si>
  <si>
    <t>AM519520055</t>
  </si>
  <si>
    <t>I6211WW 50W 12V PGJ19-X 3XFS10X2 4FOSRAM</t>
  </si>
  <si>
    <t>AM519530055</t>
  </si>
  <si>
    <t>I9005/6WW 50W 12V P20/22D3XFS10X24FOSRAM</t>
  </si>
  <si>
    <t>AM519540055</t>
  </si>
  <si>
    <t>I6204WW 50W 12V P43T 3XFS10X2 4F   OSRAM</t>
  </si>
  <si>
    <t>AM5349800DC</t>
  </si>
  <si>
    <t>7685CW 10/10W 12V PX43T12XBLI1VERFCOSRAM</t>
  </si>
  <si>
    <t>AM5352200DC</t>
  </si>
  <si>
    <t>6411DW1.0 12V1W VS100 TR OEM       OSRAM</t>
  </si>
  <si>
    <t>BL01</t>
  </si>
  <si>
    <t>AM4609500VN</t>
  </si>
  <si>
    <t>OSFB17 5XBLI1                      OSRAM</t>
  </si>
  <si>
    <t>AM4609700VN</t>
  </si>
  <si>
    <t>OSFB19 5XBLI1                      OSRAM</t>
  </si>
  <si>
    <t>AM4609800VN</t>
  </si>
  <si>
    <t>OSFB20 5XBLI1                      OSRAM</t>
  </si>
  <si>
    <t>BL02</t>
  </si>
  <si>
    <t>BL04</t>
  </si>
  <si>
    <t>AA435221402</t>
  </si>
  <si>
    <t>62204RL 100/90W 12V P43T 10X10X1 FCOSRAM</t>
  </si>
  <si>
    <t>AM2696002CL</t>
  </si>
  <si>
    <t>62218 130/100W 12V P43T 10X10X1 FC OSRAM</t>
  </si>
  <si>
    <t>AM4962602JG</t>
  </si>
  <si>
    <t>AM5087900HO</t>
  </si>
  <si>
    <t>AM5088000HO</t>
  </si>
  <si>
    <t>AM5088100HO</t>
  </si>
  <si>
    <t>BL05</t>
  </si>
  <si>
    <t>Sr No</t>
  </si>
  <si>
    <t xml:space="preserve">      Unrestricted</t>
  </si>
  <si>
    <t>FM WMS</t>
  </si>
  <si>
    <t>Diff</t>
  </si>
  <si>
    <t>A41857F09DC</t>
  </si>
  <si>
    <t>62248RL 100/90W 24V P43T 10X10X1 FCOSRAM</t>
  </si>
  <si>
    <t>A72177201EC</t>
  </si>
  <si>
    <t>921K 16W12VW2.1X9.5DVS1000PPLTRPSYLOSRAM</t>
  </si>
  <si>
    <t>AA303340802</t>
  </si>
  <si>
    <t>64219L+ 19W 12V PGJ19-3 10X10X1 1A OSRAM</t>
  </si>
  <si>
    <t>AA3112712DC</t>
  </si>
  <si>
    <t>62241RL 100W 24V P14.5S 10X10X1 FC OSRAM</t>
  </si>
  <si>
    <t>AA4236600F1</t>
  </si>
  <si>
    <t>9005HL+ 60W 12V P20D VS200PPL      SYL</t>
  </si>
  <si>
    <t>AM090841702</t>
  </si>
  <si>
    <t>64193NL-HCB 60/55W 12V P43T5X2BOX4FOSRAM</t>
  </si>
  <si>
    <t>AM094220372</t>
  </si>
  <si>
    <t>2845 5W 24V W2.1X9.5D 5XFS10 FC    OSRAM</t>
  </si>
  <si>
    <t>AM2774400HQ</t>
  </si>
  <si>
    <t>LEDPES104 LHD 12V VS12             OSRAM</t>
  </si>
  <si>
    <t>AM291620172</t>
  </si>
  <si>
    <t>5009NA 10W 12V BAU15S 8X100 TR     OSRAM</t>
  </si>
  <si>
    <t>AM3453400EC</t>
  </si>
  <si>
    <t>7537 21/5W 24V BAY15D XVS420PPL TR OSRAM</t>
  </si>
  <si>
    <t>AM3855000EC</t>
  </si>
  <si>
    <t>7507 21W 12V BAU15S 5XFS10 1A      OSRAM</t>
  </si>
  <si>
    <t>AM5052000EC</t>
  </si>
  <si>
    <t>AM5052101EC</t>
  </si>
  <si>
    <t>2825 5W 12V W2.1X9.5D 5XFS10 FC    OSRAM</t>
  </si>
  <si>
    <t>AM5058508DC</t>
  </si>
  <si>
    <t>9005 60W 12V P20D 10X10X1 FC       OSRAM</t>
  </si>
  <si>
    <t>AM5058608DC</t>
  </si>
  <si>
    <t>9006 51W 12V P22D 10X10X1 FC       OSRAM</t>
  </si>
  <si>
    <t>AM507030055</t>
  </si>
  <si>
    <t>J5210CW40W12VPX26D/PY26D13XFS10X2FBOSRAM</t>
  </si>
  <si>
    <t>AM507040055</t>
  </si>
  <si>
    <t>J6211CW 40W 12V PGJ19-X 3XFS10X2 FBOSRAM</t>
  </si>
  <si>
    <t>AM507050055</t>
  </si>
  <si>
    <t>J9005/6CW 40W 12V P20/22D3XFS10X2FBOSRAM</t>
  </si>
  <si>
    <t>AM5319600DC</t>
  </si>
  <si>
    <t>9012 55W 12V PX22D VS160 TR OEM IR OSRAM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</si>
</sst>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_ * #,##0.00_ ;_ * \-#,##0.00_ ;_ * &quot;-&quot;??_ ;_ @_ "/>
    <numFmt numFmtId="168" formatCode="_(* #,##0_);_(* \(#,##0\);_(* &quot;-&quot;??_);_(@_)"/>
    <numFmt numFmtId="169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20">
    <xf numFmtId="0" fontId="0" fillId="0" borderId="0" xfId="0"/>
    <xf numFmtId="0" fontId="6" fillId="5" borderId="2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8" fontId="5" fillId="2" borderId="1" xfId="1" applyNumberFormat="1" applyFont="1" applyFill="1" applyBorder="1" applyAlignment="1">
      <alignment horizontal="center" vertical="center" wrapText="1"/>
    </xf>
    <xf numFmtId="168" fontId="3" fillId="2" borderId="1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/>
    <xf numFmtId="169" fontId="0" fillId="0" borderId="2" xfId="1" applyNumberFormat="1" applyFont="1" applyBorder="1"/>
    <xf numFmtId="168" fontId="1" fillId="4" borderId="1" xfId="1" applyNumberFormat="1" applyFill="1" applyBorder="1" applyAlignment="1">
      <alignment horizontal="center" vertical="center" wrapText="1"/>
    </xf>
    <xf numFmtId="0" fontId="3" fillId="2" borderId="2" xfId="0" applyFont="1" applyFill="1" applyBorder="1"/>
    <xf numFmtId="169" fontId="3" fillId="2" borderId="2" xfId="0" applyNumberFormat="1" applyFont="1" applyFill="1" applyBorder="1"/>
    <xf numFmtId="0" fontId="3" fillId="0" borderId="0" xfId="0" applyFont="1"/>
    <xf numFmtId="169" fontId="0" fillId="3" borderId="2" xfId="0" applyNumberFormat="1" applyFill="1" applyBorder="1"/>
    <xf numFmtId="3" fontId="0" fillId="0" borderId="2" xfId="0" applyNumberFormat="1" applyBorder="1" applyAlignment="1">
      <alignment horizontal="right" vertical="top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Views>
    <sheetView workbookViewId="0">
      <selection sqref="A1:K187"/>
    </sheetView>
  </sheetViews>
  <sheetFormatPr defaultRowHeight="15" x14ac:dyDescent="0.25"/>
  <sheetData>
    <row r="1" spans="1:11" ht="15.75" x14ac:dyDescent="0.25">
      <c r="A1" s="3" t="s">
        <v>0</v>
      </c>
      <c r="B1" s="2"/>
      <c r="C1" s="2"/>
      <c r="D1" s="4"/>
      <c r="E1" s="2"/>
      <c r="F1" s="2"/>
      <c r="G1" s="4"/>
      <c r="H1" s="2"/>
      <c r="I1" s="2"/>
      <c r="J1" s="2"/>
      <c r="K1" s="2"/>
    </row>
    <row r="2" spans="1:11" ht="4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2"/>
      <c r="I2" s="11" t="s">
        <v>8</v>
      </c>
      <c r="J2" s="7" t="s">
        <v>9</v>
      </c>
      <c r="K2" s="7" t="s">
        <v>10</v>
      </c>
    </row>
    <row r="3" spans="1:11" x14ac:dyDescent="0.25">
      <c r="A3" s="8">
        <v>1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16">
        <v>13500</v>
      </c>
      <c r="H3" s="2"/>
      <c r="I3" s="15">
        <v>13500</v>
      </c>
      <c r="J3" s="10">
        <v>0</v>
      </c>
      <c r="K3" s="9"/>
    </row>
    <row r="4" spans="1:11" x14ac:dyDescent="0.25">
      <c r="A4" s="8">
        <v>2</v>
      </c>
      <c r="B4" s="9" t="s">
        <v>16</v>
      </c>
      <c r="C4" s="9" t="s">
        <v>12</v>
      </c>
      <c r="D4" s="9" t="s">
        <v>13</v>
      </c>
      <c r="E4" s="9" t="s">
        <v>17</v>
      </c>
      <c r="F4" s="9" t="s">
        <v>15</v>
      </c>
      <c r="G4" s="16">
        <v>156800</v>
      </c>
      <c r="H4" s="2"/>
      <c r="I4" s="15">
        <v>156800</v>
      </c>
      <c r="J4" s="10">
        <v>0</v>
      </c>
      <c r="K4" s="9"/>
    </row>
    <row r="5" spans="1:11" x14ac:dyDescent="0.25">
      <c r="A5" s="8">
        <v>3</v>
      </c>
      <c r="B5" s="9" t="s">
        <v>18</v>
      </c>
      <c r="C5" s="9" t="s">
        <v>12</v>
      </c>
      <c r="D5" s="9" t="s">
        <v>13</v>
      </c>
      <c r="E5" s="9" t="s">
        <v>19</v>
      </c>
      <c r="F5" s="9" t="s">
        <v>15</v>
      </c>
      <c r="G5" s="16">
        <v>10200</v>
      </c>
      <c r="H5" s="2"/>
      <c r="I5" s="15">
        <v>10200</v>
      </c>
      <c r="J5" s="10">
        <v>0</v>
      </c>
      <c r="K5" s="9"/>
    </row>
    <row r="6" spans="1:11" x14ac:dyDescent="0.25">
      <c r="A6" s="8">
        <v>4</v>
      </c>
      <c r="B6" s="9" t="s">
        <v>20</v>
      </c>
      <c r="C6" s="9" t="s">
        <v>12</v>
      </c>
      <c r="D6" s="9" t="s">
        <v>13</v>
      </c>
      <c r="E6" s="9" t="s">
        <v>21</v>
      </c>
      <c r="F6" s="9" t="s">
        <v>15</v>
      </c>
      <c r="G6" s="16">
        <v>1600</v>
      </c>
      <c r="H6" s="2"/>
      <c r="I6" s="15">
        <v>1600</v>
      </c>
      <c r="J6" s="10">
        <v>0</v>
      </c>
      <c r="K6" s="9"/>
    </row>
    <row r="7" spans="1:11" x14ac:dyDescent="0.25">
      <c r="A7" s="8">
        <v>5</v>
      </c>
      <c r="B7" s="9" t="s">
        <v>22</v>
      </c>
      <c r="C7" s="9" t="s">
        <v>12</v>
      </c>
      <c r="D7" s="9" t="s">
        <v>13</v>
      </c>
      <c r="E7" s="9" t="s">
        <v>23</v>
      </c>
      <c r="F7" s="9" t="s">
        <v>15</v>
      </c>
      <c r="G7" s="16">
        <v>12000</v>
      </c>
      <c r="H7" s="2"/>
      <c r="I7" s="15">
        <v>12000</v>
      </c>
      <c r="J7" s="10">
        <v>0</v>
      </c>
      <c r="K7" s="9"/>
    </row>
    <row r="8" spans="1:11" x14ac:dyDescent="0.25">
      <c r="A8" s="8">
        <v>6</v>
      </c>
      <c r="B8" s="9" t="s">
        <v>24</v>
      </c>
      <c r="C8" s="9" t="s">
        <v>12</v>
      </c>
      <c r="D8" s="9" t="s">
        <v>13</v>
      </c>
      <c r="E8" s="9" t="s">
        <v>25</v>
      </c>
      <c r="F8" s="9" t="s">
        <v>15</v>
      </c>
      <c r="G8" s="16">
        <v>1600</v>
      </c>
      <c r="H8" s="2"/>
      <c r="I8" s="15">
        <v>1600</v>
      </c>
      <c r="J8" s="10">
        <v>0</v>
      </c>
      <c r="K8" s="9"/>
    </row>
    <row r="9" spans="1:11" x14ac:dyDescent="0.25">
      <c r="A9" s="8">
        <v>7</v>
      </c>
      <c r="B9" s="9" t="s">
        <v>26</v>
      </c>
      <c r="C9" s="9" t="s">
        <v>12</v>
      </c>
      <c r="D9" s="9" t="s">
        <v>13</v>
      </c>
      <c r="E9" s="9" t="s">
        <v>25</v>
      </c>
      <c r="F9" s="9" t="s">
        <v>15</v>
      </c>
      <c r="G9" s="16">
        <v>58400</v>
      </c>
      <c r="H9" s="2"/>
      <c r="I9" s="15">
        <v>58400</v>
      </c>
      <c r="J9" s="10">
        <v>0</v>
      </c>
      <c r="K9" s="9"/>
    </row>
    <row r="10" spans="1:11" x14ac:dyDescent="0.25">
      <c r="A10" s="8">
        <v>8</v>
      </c>
      <c r="B10" s="9" t="s">
        <v>27</v>
      </c>
      <c r="C10" s="9" t="s">
        <v>12</v>
      </c>
      <c r="D10" s="9" t="s">
        <v>13</v>
      </c>
      <c r="E10" s="9" t="s">
        <v>28</v>
      </c>
      <c r="F10" s="9" t="s">
        <v>15</v>
      </c>
      <c r="G10" s="16">
        <v>440000</v>
      </c>
      <c r="H10" s="2"/>
      <c r="I10" s="15">
        <v>440000</v>
      </c>
      <c r="J10" s="10">
        <v>0</v>
      </c>
      <c r="K10" s="9"/>
    </row>
    <row r="11" spans="1:11" x14ac:dyDescent="0.25">
      <c r="A11" s="8">
        <v>9</v>
      </c>
      <c r="B11" s="9" t="s">
        <v>29</v>
      </c>
      <c r="C11" s="9" t="s">
        <v>12</v>
      </c>
      <c r="D11" s="9" t="s">
        <v>13</v>
      </c>
      <c r="E11" s="9" t="s">
        <v>30</v>
      </c>
      <c r="F11" s="9" t="s">
        <v>15</v>
      </c>
      <c r="G11" s="16">
        <v>3600</v>
      </c>
      <c r="H11" s="2"/>
      <c r="I11" s="15">
        <v>3600</v>
      </c>
      <c r="J11" s="10">
        <v>0</v>
      </c>
      <c r="K11" s="9"/>
    </row>
    <row r="12" spans="1:11" x14ac:dyDescent="0.25">
      <c r="A12" s="8">
        <v>10</v>
      </c>
      <c r="B12" s="9" t="s">
        <v>31</v>
      </c>
      <c r="C12" s="9" t="s">
        <v>12</v>
      </c>
      <c r="D12" s="9" t="s">
        <v>13</v>
      </c>
      <c r="E12" s="9" t="s">
        <v>32</v>
      </c>
      <c r="F12" s="9" t="s">
        <v>15</v>
      </c>
      <c r="G12" s="16">
        <v>7200</v>
      </c>
      <c r="H12" s="2"/>
      <c r="I12" s="15">
        <v>7200</v>
      </c>
      <c r="J12" s="10">
        <v>0</v>
      </c>
      <c r="K12" s="9"/>
    </row>
    <row r="13" spans="1:11" x14ac:dyDescent="0.25">
      <c r="A13" s="8">
        <v>11</v>
      </c>
      <c r="B13" s="9" t="s">
        <v>33</v>
      </c>
      <c r="C13" s="9" t="s">
        <v>12</v>
      </c>
      <c r="D13" s="9" t="s">
        <v>13</v>
      </c>
      <c r="E13" s="9" t="s">
        <v>34</v>
      </c>
      <c r="F13" s="9" t="s">
        <v>15</v>
      </c>
      <c r="G13" s="16">
        <v>15200</v>
      </c>
      <c r="H13" s="2"/>
      <c r="I13" s="15">
        <v>15200</v>
      </c>
      <c r="J13" s="10">
        <v>0</v>
      </c>
      <c r="K13" s="9"/>
    </row>
    <row r="14" spans="1:11" x14ac:dyDescent="0.25">
      <c r="A14" s="8">
        <v>12</v>
      </c>
      <c r="B14" s="9" t="s">
        <v>35</v>
      </c>
      <c r="C14" s="9" t="s">
        <v>12</v>
      </c>
      <c r="D14" s="9" t="s">
        <v>13</v>
      </c>
      <c r="E14" s="9" t="s">
        <v>36</v>
      </c>
      <c r="F14" s="9" t="s">
        <v>15</v>
      </c>
      <c r="G14" s="16">
        <v>4000</v>
      </c>
      <c r="H14" s="2"/>
      <c r="I14" s="15">
        <v>4000</v>
      </c>
      <c r="J14" s="10">
        <v>0</v>
      </c>
      <c r="K14" s="9"/>
    </row>
    <row r="15" spans="1:11" x14ac:dyDescent="0.25">
      <c r="A15" s="8">
        <v>13</v>
      </c>
      <c r="B15" s="9" t="s">
        <v>37</v>
      </c>
      <c r="C15" s="9" t="s">
        <v>12</v>
      </c>
      <c r="D15" s="9" t="s">
        <v>13</v>
      </c>
      <c r="E15" s="9" t="s">
        <v>38</v>
      </c>
      <c r="F15" s="9" t="s">
        <v>15</v>
      </c>
      <c r="G15" s="16">
        <v>4000</v>
      </c>
      <c r="H15" s="2"/>
      <c r="I15" s="15">
        <v>4000</v>
      </c>
      <c r="J15" s="10">
        <v>0</v>
      </c>
      <c r="K15" s="9"/>
    </row>
    <row r="16" spans="1:11" x14ac:dyDescent="0.25">
      <c r="A16" s="8">
        <v>14</v>
      </c>
      <c r="B16" s="9" t="s">
        <v>39</v>
      </c>
      <c r="C16" s="9" t="s">
        <v>12</v>
      </c>
      <c r="D16" s="9" t="s">
        <v>13</v>
      </c>
      <c r="E16" s="9" t="s">
        <v>40</v>
      </c>
      <c r="F16" s="9" t="s">
        <v>15</v>
      </c>
      <c r="G16" s="16">
        <v>18600</v>
      </c>
      <c r="H16" s="2"/>
      <c r="I16" s="15">
        <v>18600</v>
      </c>
      <c r="J16" s="10">
        <v>0</v>
      </c>
      <c r="K16" s="9"/>
    </row>
    <row r="17" spans="1:11" x14ac:dyDescent="0.25">
      <c r="A17" s="8">
        <v>15</v>
      </c>
      <c r="B17" s="9" t="s">
        <v>41</v>
      </c>
      <c r="C17" s="9" t="s">
        <v>12</v>
      </c>
      <c r="D17" s="9" t="s">
        <v>13</v>
      </c>
      <c r="E17" s="9" t="s">
        <v>42</v>
      </c>
      <c r="F17" s="9" t="s">
        <v>15</v>
      </c>
      <c r="G17" s="16">
        <v>3000</v>
      </c>
      <c r="H17" s="2"/>
      <c r="I17" s="15">
        <v>3000</v>
      </c>
      <c r="J17" s="10">
        <v>0</v>
      </c>
      <c r="K17" s="9"/>
    </row>
    <row r="18" spans="1:11" x14ac:dyDescent="0.25">
      <c r="A18" s="8">
        <v>16</v>
      </c>
      <c r="B18" s="9" t="s">
        <v>43</v>
      </c>
      <c r="C18" s="9" t="s">
        <v>12</v>
      </c>
      <c r="D18" s="9" t="s">
        <v>13</v>
      </c>
      <c r="E18" s="9" t="s">
        <v>44</v>
      </c>
      <c r="F18" s="9" t="s">
        <v>15</v>
      </c>
      <c r="G18" s="16">
        <v>6800</v>
      </c>
      <c r="H18" s="2"/>
      <c r="I18" s="15">
        <v>6800</v>
      </c>
      <c r="J18" s="10">
        <v>0</v>
      </c>
      <c r="K18" s="9"/>
    </row>
    <row r="19" spans="1:11" x14ac:dyDescent="0.25">
      <c r="A19" s="8">
        <v>17</v>
      </c>
      <c r="B19" s="9" t="s">
        <v>45</v>
      </c>
      <c r="C19" s="9" t="s">
        <v>12</v>
      </c>
      <c r="D19" s="9" t="s">
        <v>13</v>
      </c>
      <c r="E19" s="9" t="s">
        <v>46</v>
      </c>
      <c r="F19" s="9" t="s">
        <v>15</v>
      </c>
      <c r="G19" s="16">
        <v>22000</v>
      </c>
      <c r="H19" s="2"/>
      <c r="I19" s="15">
        <v>22000</v>
      </c>
      <c r="J19" s="10">
        <v>0</v>
      </c>
      <c r="K19" s="9"/>
    </row>
    <row r="20" spans="1:11" x14ac:dyDescent="0.25">
      <c r="A20" s="8">
        <v>18</v>
      </c>
      <c r="B20" s="9" t="s">
        <v>47</v>
      </c>
      <c r="C20" s="9" t="s">
        <v>12</v>
      </c>
      <c r="D20" s="9" t="s">
        <v>13</v>
      </c>
      <c r="E20" s="9" t="s">
        <v>48</v>
      </c>
      <c r="F20" s="9" t="s">
        <v>15</v>
      </c>
      <c r="G20" s="16">
        <v>34300</v>
      </c>
      <c r="H20" s="2"/>
      <c r="I20" s="15">
        <v>34300</v>
      </c>
      <c r="J20" s="10">
        <v>0</v>
      </c>
      <c r="K20" s="9"/>
    </row>
    <row r="21" spans="1:11" x14ac:dyDescent="0.25">
      <c r="A21" s="8">
        <v>19</v>
      </c>
      <c r="B21" s="9" t="s">
        <v>49</v>
      </c>
      <c r="C21" s="9" t="s">
        <v>12</v>
      </c>
      <c r="D21" s="9" t="s">
        <v>13</v>
      </c>
      <c r="E21" s="9" t="s">
        <v>50</v>
      </c>
      <c r="F21" s="9" t="s">
        <v>15</v>
      </c>
      <c r="G21" s="16">
        <v>6800</v>
      </c>
      <c r="H21" s="2"/>
      <c r="I21" s="15">
        <v>6800</v>
      </c>
      <c r="J21" s="10">
        <v>0</v>
      </c>
      <c r="K21" s="9"/>
    </row>
    <row r="22" spans="1:11" x14ac:dyDescent="0.25">
      <c r="A22" s="8">
        <v>20</v>
      </c>
      <c r="B22" s="9" t="s">
        <v>51</v>
      </c>
      <c r="C22" s="9" t="s">
        <v>12</v>
      </c>
      <c r="D22" s="9" t="s">
        <v>13</v>
      </c>
      <c r="E22" s="9" t="s">
        <v>52</v>
      </c>
      <c r="F22" s="9" t="s">
        <v>15</v>
      </c>
      <c r="G22" s="16">
        <v>24400</v>
      </c>
      <c r="H22" s="2"/>
      <c r="I22" s="15">
        <v>24400</v>
      </c>
      <c r="J22" s="10">
        <v>0</v>
      </c>
      <c r="K22" s="9"/>
    </row>
    <row r="23" spans="1:11" x14ac:dyDescent="0.25">
      <c r="A23" s="8">
        <v>21</v>
      </c>
      <c r="B23" s="9" t="s">
        <v>53</v>
      </c>
      <c r="C23" s="9" t="s">
        <v>12</v>
      </c>
      <c r="D23" s="9" t="s">
        <v>13</v>
      </c>
      <c r="E23" s="9" t="s">
        <v>54</v>
      </c>
      <c r="F23" s="9" t="s">
        <v>15</v>
      </c>
      <c r="G23" s="16">
        <v>83000</v>
      </c>
      <c r="H23" s="2"/>
      <c r="I23" s="15">
        <v>83000</v>
      </c>
      <c r="J23" s="10">
        <v>0</v>
      </c>
      <c r="K23" s="9"/>
    </row>
    <row r="24" spans="1:11" x14ac:dyDescent="0.25">
      <c r="A24" s="8">
        <v>22</v>
      </c>
      <c r="B24" s="9" t="s">
        <v>55</v>
      </c>
      <c r="C24" s="9" t="s">
        <v>12</v>
      </c>
      <c r="D24" s="9" t="s">
        <v>13</v>
      </c>
      <c r="E24" s="9" t="s">
        <v>56</v>
      </c>
      <c r="F24" s="9" t="s">
        <v>15</v>
      </c>
      <c r="G24" s="16">
        <v>2020</v>
      </c>
      <c r="H24" s="2"/>
      <c r="I24" s="15">
        <v>2020</v>
      </c>
      <c r="J24" s="10">
        <v>0</v>
      </c>
      <c r="K24" s="9"/>
    </row>
    <row r="25" spans="1:11" x14ac:dyDescent="0.25">
      <c r="A25" s="8">
        <v>23</v>
      </c>
      <c r="B25" s="9" t="s">
        <v>57</v>
      </c>
      <c r="C25" s="9" t="s">
        <v>12</v>
      </c>
      <c r="D25" s="9" t="s">
        <v>13</v>
      </c>
      <c r="E25" s="9" t="s">
        <v>58</v>
      </c>
      <c r="F25" s="9" t="s">
        <v>15</v>
      </c>
      <c r="G25" s="16">
        <v>2490</v>
      </c>
      <c r="H25" s="2"/>
      <c r="I25" s="15">
        <v>2490</v>
      </c>
      <c r="J25" s="10">
        <v>0</v>
      </c>
      <c r="K25" s="9"/>
    </row>
    <row r="26" spans="1:11" x14ac:dyDescent="0.25">
      <c r="A26" s="8">
        <v>24</v>
      </c>
      <c r="B26" s="9" t="s">
        <v>59</v>
      </c>
      <c r="C26" s="9" t="s">
        <v>12</v>
      </c>
      <c r="D26" s="9" t="s">
        <v>13</v>
      </c>
      <c r="E26" s="9" t="s">
        <v>60</v>
      </c>
      <c r="F26" s="9" t="s">
        <v>15</v>
      </c>
      <c r="G26" s="16">
        <v>5400</v>
      </c>
      <c r="H26" s="2"/>
      <c r="I26" s="15">
        <v>5400</v>
      </c>
      <c r="J26" s="10">
        <v>0</v>
      </c>
      <c r="K26" s="9"/>
    </row>
    <row r="27" spans="1:11" x14ac:dyDescent="0.25">
      <c r="A27" s="8">
        <v>25</v>
      </c>
      <c r="B27" s="9" t="s">
        <v>61</v>
      </c>
      <c r="C27" s="9" t="s">
        <v>12</v>
      </c>
      <c r="D27" s="9" t="s">
        <v>13</v>
      </c>
      <c r="E27" s="9" t="s">
        <v>62</v>
      </c>
      <c r="F27" s="9" t="s">
        <v>15</v>
      </c>
      <c r="G27" s="16">
        <v>4000</v>
      </c>
      <c r="H27" s="2"/>
      <c r="I27" s="15">
        <v>4000</v>
      </c>
      <c r="J27" s="10">
        <v>0</v>
      </c>
      <c r="K27" s="9"/>
    </row>
    <row r="28" spans="1:11" x14ac:dyDescent="0.25">
      <c r="A28" s="8">
        <v>26</v>
      </c>
      <c r="B28" s="9" t="s">
        <v>63</v>
      </c>
      <c r="C28" s="9" t="s">
        <v>12</v>
      </c>
      <c r="D28" s="9" t="s">
        <v>13</v>
      </c>
      <c r="E28" s="9" t="s">
        <v>64</v>
      </c>
      <c r="F28" s="9" t="s">
        <v>15</v>
      </c>
      <c r="G28" s="16">
        <v>47997</v>
      </c>
      <c r="H28" s="2"/>
      <c r="I28" s="15">
        <v>47997</v>
      </c>
      <c r="J28" s="10">
        <v>0</v>
      </c>
      <c r="K28" s="9"/>
    </row>
    <row r="29" spans="1:11" x14ac:dyDescent="0.25">
      <c r="A29" s="8">
        <v>27</v>
      </c>
      <c r="B29" s="9" t="s">
        <v>65</v>
      </c>
      <c r="C29" s="9" t="s">
        <v>12</v>
      </c>
      <c r="D29" s="9" t="s">
        <v>13</v>
      </c>
      <c r="E29" s="9" t="s">
        <v>66</v>
      </c>
      <c r="F29" s="9" t="s">
        <v>15</v>
      </c>
      <c r="G29" s="16">
        <v>76400</v>
      </c>
      <c r="H29" s="2"/>
      <c r="I29" s="15">
        <v>76400</v>
      </c>
      <c r="J29" s="10">
        <v>0</v>
      </c>
      <c r="K29" s="9"/>
    </row>
    <row r="30" spans="1:11" x14ac:dyDescent="0.25">
      <c r="A30" s="8">
        <v>28</v>
      </c>
      <c r="B30" s="9" t="s">
        <v>67</v>
      </c>
      <c r="C30" s="9" t="s">
        <v>12</v>
      </c>
      <c r="D30" s="9" t="s">
        <v>13</v>
      </c>
      <c r="E30" s="9" t="s">
        <v>68</v>
      </c>
      <c r="F30" s="9" t="s">
        <v>15</v>
      </c>
      <c r="G30" s="16">
        <v>3600</v>
      </c>
      <c r="H30" s="2"/>
      <c r="I30" s="15">
        <v>3600</v>
      </c>
      <c r="J30" s="10">
        <v>0</v>
      </c>
      <c r="K30" s="9"/>
    </row>
    <row r="31" spans="1:11" x14ac:dyDescent="0.25">
      <c r="A31" s="8">
        <v>29</v>
      </c>
      <c r="B31" s="9" t="s">
        <v>69</v>
      </c>
      <c r="C31" s="9" t="s">
        <v>12</v>
      </c>
      <c r="D31" s="9" t="s">
        <v>13</v>
      </c>
      <c r="E31" s="9" t="s">
        <v>70</v>
      </c>
      <c r="F31" s="9" t="s">
        <v>15</v>
      </c>
      <c r="G31" s="16">
        <v>295</v>
      </c>
      <c r="H31" s="2"/>
      <c r="I31" s="15">
        <v>295</v>
      </c>
      <c r="J31" s="10">
        <v>0</v>
      </c>
      <c r="K31" s="9"/>
    </row>
    <row r="32" spans="1:11" x14ac:dyDescent="0.25">
      <c r="A32" s="8">
        <v>30</v>
      </c>
      <c r="B32" s="9" t="s">
        <v>71</v>
      </c>
      <c r="C32" s="9" t="s">
        <v>12</v>
      </c>
      <c r="D32" s="9" t="s">
        <v>13</v>
      </c>
      <c r="E32" s="9" t="s">
        <v>72</v>
      </c>
      <c r="F32" s="9" t="s">
        <v>15</v>
      </c>
      <c r="G32" s="16">
        <v>125280</v>
      </c>
      <c r="H32" s="2"/>
      <c r="I32" s="15">
        <v>125280</v>
      </c>
      <c r="J32" s="10">
        <v>0</v>
      </c>
      <c r="K32" s="9"/>
    </row>
    <row r="33" spans="1:11" x14ac:dyDescent="0.25">
      <c r="A33" s="8">
        <v>31</v>
      </c>
      <c r="B33" s="9" t="s">
        <v>73</v>
      </c>
      <c r="C33" s="9" t="s">
        <v>12</v>
      </c>
      <c r="D33" s="9" t="s">
        <v>13</v>
      </c>
      <c r="E33" s="9" t="s">
        <v>74</v>
      </c>
      <c r="F33" s="9" t="s">
        <v>15</v>
      </c>
      <c r="G33" s="16">
        <v>2400</v>
      </c>
      <c r="H33" s="2"/>
      <c r="I33" s="15">
        <v>2400</v>
      </c>
      <c r="J33" s="10">
        <v>0</v>
      </c>
      <c r="K33" s="9"/>
    </row>
    <row r="34" spans="1:11" x14ac:dyDescent="0.25">
      <c r="A34" s="8">
        <v>32</v>
      </c>
      <c r="B34" s="9" t="s">
        <v>75</v>
      </c>
      <c r="C34" s="9" t="s">
        <v>12</v>
      </c>
      <c r="D34" s="9" t="s">
        <v>13</v>
      </c>
      <c r="E34" s="9" t="s">
        <v>76</v>
      </c>
      <c r="F34" s="9" t="s">
        <v>15</v>
      </c>
      <c r="G34" s="16">
        <v>23200</v>
      </c>
      <c r="H34" s="2"/>
      <c r="I34" s="15">
        <v>23200</v>
      </c>
      <c r="J34" s="10">
        <v>0</v>
      </c>
      <c r="K34" s="9"/>
    </row>
    <row r="35" spans="1:11" x14ac:dyDescent="0.25">
      <c r="A35" s="8">
        <v>33</v>
      </c>
      <c r="B35" s="9" t="s">
        <v>77</v>
      </c>
      <c r="C35" s="9" t="s">
        <v>12</v>
      </c>
      <c r="D35" s="9" t="s">
        <v>13</v>
      </c>
      <c r="E35" s="9" t="s">
        <v>78</v>
      </c>
      <c r="F35" s="9" t="s">
        <v>15</v>
      </c>
      <c r="G35" s="16">
        <v>505100</v>
      </c>
      <c r="H35" s="2"/>
      <c r="I35" s="15">
        <v>505100</v>
      </c>
      <c r="J35" s="10">
        <v>0</v>
      </c>
      <c r="K35" s="9"/>
    </row>
    <row r="36" spans="1:11" x14ac:dyDescent="0.25">
      <c r="A36" s="8">
        <v>34</v>
      </c>
      <c r="B36" s="9" t="s">
        <v>79</v>
      </c>
      <c r="C36" s="9" t="s">
        <v>12</v>
      </c>
      <c r="D36" s="9" t="s">
        <v>13</v>
      </c>
      <c r="E36" s="9" t="s">
        <v>80</v>
      </c>
      <c r="F36" s="9" t="s">
        <v>15</v>
      </c>
      <c r="G36" s="16">
        <v>72540</v>
      </c>
      <c r="H36" s="2"/>
      <c r="I36" s="15">
        <v>72540</v>
      </c>
      <c r="J36" s="10">
        <v>0</v>
      </c>
      <c r="K36" s="9"/>
    </row>
    <row r="37" spans="1:11" x14ac:dyDescent="0.25">
      <c r="A37" s="8">
        <v>35</v>
      </c>
      <c r="B37" s="9" t="s">
        <v>81</v>
      </c>
      <c r="C37" s="9" t="s">
        <v>12</v>
      </c>
      <c r="D37" s="9" t="s">
        <v>13</v>
      </c>
      <c r="E37" s="9" t="s">
        <v>82</v>
      </c>
      <c r="F37" s="9" t="s">
        <v>15</v>
      </c>
      <c r="G37" s="16">
        <v>81075</v>
      </c>
      <c r="H37" s="2"/>
      <c r="I37" s="15">
        <v>81075</v>
      </c>
      <c r="J37" s="10">
        <v>0</v>
      </c>
      <c r="K37" s="9"/>
    </row>
    <row r="38" spans="1:11" x14ac:dyDescent="0.25">
      <c r="A38" s="8">
        <v>36</v>
      </c>
      <c r="B38" s="9" t="s">
        <v>83</v>
      </c>
      <c r="C38" s="9" t="s">
        <v>12</v>
      </c>
      <c r="D38" s="9" t="s">
        <v>13</v>
      </c>
      <c r="E38" s="9" t="s">
        <v>84</v>
      </c>
      <c r="F38" s="9" t="s">
        <v>15</v>
      </c>
      <c r="G38" s="16">
        <v>18880</v>
      </c>
      <c r="H38" s="2"/>
      <c r="I38" s="15">
        <v>18880</v>
      </c>
      <c r="J38" s="10">
        <v>0</v>
      </c>
      <c r="K38" s="9"/>
    </row>
    <row r="39" spans="1:11" x14ac:dyDescent="0.25">
      <c r="A39" s="8">
        <v>37</v>
      </c>
      <c r="B39" s="9" t="s">
        <v>85</v>
      </c>
      <c r="C39" s="9" t="s">
        <v>12</v>
      </c>
      <c r="D39" s="9" t="s">
        <v>13</v>
      </c>
      <c r="E39" s="9" t="s">
        <v>86</v>
      </c>
      <c r="F39" s="9" t="s">
        <v>15</v>
      </c>
      <c r="G39" s="16">
        <v>10300</v>
      </c>
      <c r="H39" s="2"/>
      <c r="I39" s="15">
        <v>10300</v>
      </c>
      <c r="J39" s="10">
        <v>0</v>
      </c>
      <c r="K39" s="9"/>
    </row>
    <row r="40" spans="1:11" x14ac:dyDescent="0.25">
      <c r="A40" s="8">
        <v>38</v>
      </c>
      <c r="B40" s="9" t="s">
        <v>87</v>
      </c>
      <c r="C40" s="9" t="s">
        <v>12</v>
      </c>
      <c r="D40" s="9" t="s">
        <v>13</v>
      </c>
      <c r="E40" s="9" t="s">
        <v>88</v>
      </c>
      <c r="F40" s="9" t="s">
        <v>15</v>
      </c>
      <c r="G40" s="16">
        <v>9400</v>
      </c>
      <c r="H40" s="2"/>
      <c r="I40" s="15">
        <v>9400</v>
      </c>
      <c r="J40" s="10">
        <v>0</v>
      </c>
      <c r="K40" s="9"/>
    </row>
    <row r="41" spans="1:11" x14ac:dyDescent="0.25">
      <c r="A41" s="8">
        <v>39</v>
      </c>
      <c r="B41" s="9" t="s">
        <v>89</v>
      </c>
      <c r="C41" s="9" t="s">
        <v>12</v>
      </c>
      <c r="D41" s="9" t="s">
        <v>13</v>
      </c>
      <c r="E41" s="9" t="s">
        <v>90</v>
      </c>
      <c r="F41" s="9" t="s">
        <v>15</v>
      </c>
      <c r="G41" s="16">
        <v>7680</v>
      </c>
      <c r="H41" s="2"/>
      <c r="I41" s="15">
        <v>7680</v>
      </c>
      <c r="J41" s="10">
        <v>0</v>
      </c>
      <c r="K41" s="9"/>
    </row>
    <row r="42" spans="1:11" x14ac:dyDescent="0.25">
      <c r="A42" s="8">
        <v>40</v>
      </c>
      <c r="B42" s="9" t="s">
        <v>91</v>
      </c>
      <c r="C42" s="9" t="s">
        <v>12</v>
      </c>
      <c r="D42" s="9" t="s">
        <v>13</v>
      </c>
      <c r="E42" s="9" t="s">
        <v>92</v>
      </c>
      <c r="F42" s="9" t="s">
        <v>15</v>
      </c>
      <c r="G42" s="16">
        <v>1440</v>
      </c>
      <c r="H42" s="2"/>
      <c r="I42" s="15">
        <v>1440</v>
      </c>
      <c r="J42" s="10">
        <v>0</v>
      </c>
      <c r="K42" s="9"/>
    </row>
    <row r="43" spans="1:11" x14ac:dyDescent="0.25">
      <c r="A43" s="8">
        <v>41</v>
      </c>
      <c r="B43" s="9" t="s">
        <v>93</v>
      </c>
      <c r="C43" s="9" t="s">
        <v>12</v>
      </c>
      <c r="D43" s="9" t="s">
        <v>13</v>
      </c>
      <c r="E43" s="9" t="s">
        <v>94</v>
      </c>
      <c r="F43" s="9" t="s">
        <v>15</v>
      </c>
      <c r="G43" s="16">
        <v>44280</v>
      </c>
      <c r="H43" s="2"/>
      <c r="I43" s="15">
        <v>44280</v>
      </c>
      <c r="J43" s="10">
        <v>0</v>
      </c>
      <c r="K43" s="9"/>
    </row>
    <row r="44" spans="1:11" x14ac:dyDescent="0.25">
      <c r="A44" s="8">
        <v>42</v>
      </c>
      <c r="B44" s="9" t="s">
        <v>95</v>
      </c>
      <c r="C44" s="9" t="s">
        <v>12</v>
      </c>
      <c r="D44" s="9" t="s">
        <v>13</v>
      </c>
      <c r="E44" s="9" t="s">
        <v>96</v>
      </c>
      <c r="F44" s="9" t="s">
        <v>15</v>
      </c>
      <c r="G44" s="16">
        <v>61000</v>
      </c>
      <c r="H44" s="2"/>
      <c r="I44" s="15">
        <v>61000</v>
      </c>
      <c r="J44" s="10">
        <v>0</v>
      </c>
      <c r="K44" s="9"/>
    </row>
    <row r="45" spans="1:11" x14ac:dyDescent="0.25">
      <c r="A45" s="8">
        <v>43</v>
      </c>
      <c r="B45" s="9" t="s">
        <v>97</v>
      </c>
      <c r="C45" s="9" t="s">
        <v>12</v>
      </c>
      <c r="D45" s="9" t="s">
        <v>13</v>
      </c>
      <c r="E45" s="9" t="s">
        <v>98</v>
      </c>
      <c r="F45" s="9" t="s">
        <v>15</v>
      </c>
      <c r="G45" s="16">
        <v>10</v>
      </c>
      <c r="H45" s="2"/>
      <c r="I45" s="15">
        <v>10</v>
      </c>
      <c r="J45" s="10">
        <v>0</v>
      </c>
      <c r="K45" s="9"/>
    </row>
    <row r="46" spans="1:11" x14ac:dyDescent="0.25">
      <c r="A46" s="8">
        <v>44</v>
      </c>
      <c r="B46" s="9" t="s">
        <v>99</v>
      </c>
      <c r="C46" s="9" t="s">
        <v>12</v>
      </c>
      <c r="D46" s="9" t="s">
        <v>13</v>
      </c>
      <c r="E46" s="9" t="s">
        <v>100</v>
      </c>
      <c r="F46" s="9" t="s">
        <v>15</v>
      </c>
      <c r="G46" s="16">
        <v>1600</v>
      </c>
      <c r="H46" s="2"/>
      <c r="I46" s="15">
        <v>1600</v>
      </c>
      <c r="J46" s="10">
        <v>0</v>
      </c>
      <c r="K46" s="9"/>
    </row>
    <row r="47" spans="1:11" x14ac:dyDescent="0.25">
      <c r="A47" s="8">
        <v>45</v>
      </c>
      <c r="B47" s="9" t="s">
        <v>101</v>
      </c>
      <c r="C47" s="9" t="s">
        <v>12</v>
      </c>
      <c r="D47" s="9" t="s">
        <v>13</v>
      </c>
      <c r="E47" s="9" t="s">
        <v>102</v>
      </c>
      <c r="F47" s="9" t="s">
        <v>15</v>
      </c>
      <c r="G47" s="16">
        <v>11700</v>
      </c>
      <c r="H47" s="2"/>
      <c r="I47" s="15">
        <v>11700</v>
      </c>
      <c r="J47" s="10">
        <v>0</v>
      </c>
      <c r="K47" s="9"/>
    </row>
    <row r="48" spans="1:11" x14ac:dyDescent="0.25">
      <c r="A48" s="8">
        <v>46</v>
      </c>
      <c r="B48" s="9" t="s">
        <v>103</v>
      </c>
      <c r="C48" s="9" t="s">
        <v>12</v>
      </c>
      <c r="D48" s="9" t="s">
        <v>13</v>
      </c>
      <c r="E48" s="9" t="s">
        <v>104</v>
      </c>
      <c r="F48" s="9" t="s">
        <v>15</v>
      </c>
      <c r="G48" s="16">
        <v>13300</v>
      </c>
      <c r="H48" s="2"/>
      <c r="I48" s="15">
        <v>13300</v>
      </c>
      <c r="J48" s="10">
        <v>0</v>
      </c>
      <c r="K48" s="9"/>
    </row>
    <row r="49" spans="1:11" x14ac:dyDescent="0.25">
      <c r="A49" s="8">
        <v>47</v>
      </c>
      <c r="B49" s="9" t="s">
        <v>105</v>
      </c>
      <c r="C49" s="9" t="s">
        <v>12</v>
      </c>
      <c r="D49" s="9" t="s">
        <v>13</v>
      </c>
      <c r="E49" s="9" t="s">
        <v>106</v>
      </c>
      <c r="F49" s="9" t="s">
        <v>15</v>
      </c>
      <c r="G49" s="16">
        <v>300</v>
      </c>
      <c r="H49" s="2"/>
      <c r="I49" s="15">
        <v>300</v>
      </c>
      <c r="J49" s="10">
        <v>0</v>
      </c>
      <c r="K49" s="9"/>
    </row>
    <row r="50" spans="1:11" x14ac:dyDescent="0.25">
      <c r="A50" s="8">
        <v>48</v>
      </c>
      <c r="B50" s="9" t="s">
        <v>107</v>
      </c>
      <c r="C50" s="9" t="s">
        <v>12</v>
      </c>
      <c r="D50" s="9" t="s">
        <v>13</v>
      </c>
      <c r="E50" s="9" t="s">
        <v>108</v>
      </c>
      <c r="F50" s="9" t="s">
        <v>15</v>
      </c>
      <c r="G50" s="16">
        <v>395</v>
      </c>
      <c r="H50" s="2"/>
      <c r="I50" s="15">
        <v>395</v>
      </c>
      <c r="J50" s="10">
        <v>0</v>
      </c>
      <c r="K50" s="9"/>
    </row>
    <row r="51" spans="1:11" x14ac:dyDescent="0.25">
      <c r="A51" s="8">
        <v>49</v>
      </c>
      <c r="B51" s="9" t="s">
        <v>109</v>
      </c>
      <c r="C51" s="9" t="s">
        <v>12</v>
      </c>
      <c r="D51" s="9" t="s">
        <v>13</v>
      </c>
      <c r="E51" s="9" t="s">
        <v>110</v>
      </c>
      <c r="F51" s="9" t="s">
        <v>15</v>
      </c>
      <c r="G51" s="16">
        <v>166600</v>
      </c>
      <c r="H51" s="2"/>
      <c r="I51" s="15">
        <v>166600</v>
      </c>
      <c r="J51" s="10">
        <v>0</v>
      </c>
      <c r="K51" s="9"/>
    </row>
    <row r="52" spans="1:11" x14ac:dyDescent="0.25">
      <c r="A52" s="8">
        <v>50</v>
      </c>
      <c r="B52" s="9" t="s">
        <v>111</v>
      </c>
      <c r="C52" s="9" t="s">
        <v>12</v>
      </c>
      <c r="D52" s="9" t="s">
        <v>13</v>
      </c>
      <c r="E52" s="9" t="s">
        <v>112</v>
      </c>
      <c r="F52" s="9" t="s">
        <v>15</v>
      </c>
      <c r="G52" s="16">
        <v>6000</v>
      </c>
      <c r="H52" s="2"/>
      <c r="I52" s="15">
        <v>6000</v>
      </c>
      <c r="J52" s="10">
        <v>0</v>
      </c>
      <c r="K52" s="9"/>
    </row>
    <row r="53" spans="1:11" x14ac:dyDescent="0.25">
      <c r="A53" s="8">
        <v>51</v>
      </c>
      <c r="B53" s="9" t="s">
        <v>113</v>
      </c>
      <c r="C53" s="9" t="s">
        <v>12</v>
      </c>
      <c r="D53" s="9" t="s">
        <v>13</v>
      </c>
      <c r="E53" s="9" t="s">
        <v>114</v>
      </c>
      <c r="F53" s="9" t="s">
        <v>15</v>
      </c>
      <c r="G53" s="16">
        <v>200</v>
      </c>
      <c r="H53" s="2"/>
      <c r="I53" s="15">
        <v>200</v>
      </c>
      <c r="J53" s="10">
        <v>0</v>
      </c>
      <c r="K53" s="9"/>
    </row>
    <row r="54" spans="1:11" x14ac:dyDescent="0.25">
      <c r="A54" s="8">
        <v>52</v>
      </c>
      <c r="B54" s="9" t="s">
        <v>115</v>
      </c>
      <c r="C54" s="9" t="s">
        <v>12</v>
      </c>
      <c r="D54" s="9" t="s">
        <v>13</v>
      </c>
      <c r="E54" s="9" t="s">
        <v>116</v>
      </c>
      <c r="F54" s="9" t="s">
        <v>15</v>
      </c>
      <c r="G54" s="16">
        <v>100</v>
      </c>
      <c r="H54" s="2"/>
      <c r="I54" s="15">
        <v>100</v>
      </c>
      <c r="J54" s="10">
        <v>0</v>
      </c>
      <c r="K54" s="9"/>
    </row>
    <row r="55" spans="1:11" x14ac:dyDescent="0.25">
      <c r="A55" s="8">
        <v>53</v>
      </c>
      <c r="B55" s="9" t="s">
        <v>117</v>
      </c>
      <c r="C55" s="9" t="s">
        <v>12</v>
      </c>
      <c r="D55" s="9" t="s">
        <v>13</v>
      </c>
      <c r="E55" s="9" t="s">
        <v>118</v>
      </c>
      <c r="F55" s="9" t="s">
        <v>15</v>
      </c>
      <c r="G55" s="16">
        <v>40320</v>
      </c>
      <c r="H55" s="2"/>
      <c r="I55" s="15">
        <v>40320</v>
      </c>
      <c r="J55" s="10">
        <v>0</v>
      </c>
      <c r="K55" s="9"/>
    </row>
    <row r="56" spans="1:11" x14ac:dyDescent="0.25">
      <c r="A56" s="8">
        <v>54</v>
      </c>
      <c r="B56" s="9" t="s">
        <v>119</v>
      </c>
      <c r="C56" s="9" t="s">
        <v>12</v>
      </c>
      <c r="D56" s="9" t="s">
        <v>13</v>
      </c>
      <c r="E56" s="9" t="s">
        <v>120</v>
      </c>
      <c r="F56" s="9" t="s">
        <v>15</v>
      </c>
      <c r="G56" s="16">
        <v>1300</v>
      </c>
      <c r="H56" s="2"/>
      <c r="I56" s="15">
        <v>1300</v>
      </c>
      <c r="J56" s="10">
        <v>0</v>
      </c>
      <c r="K56" s="9"/>
    </row>
    <row r="57" spans="1:11" x14ac:dyDescent="0.25">
      <c r="A57" s="8">
        <v>55</v>
      </c>
      <c r="B57" s="9" t="s">
        <v>121</v>
      </c>
      <c r="C57" s="9" t="s">
        <v>12</v>
      </c>
      <c r="D57" s="9" t="s">
        <v>13</v>
      </c>
      <c r="E57" s="9" t="s">
        <v>122</v>
      </c>
      <c r="F57" s="9" t="s">
        <v>15</v>
      </c>
      <c r="G57" s="16">
        <v>10000</v>
      </c>
      <c r="H57" s="2"/>
      <c r="I57" s="15">
        <v>10000</v>
      </c>
      <c r="J57" s="10">
        <v>0</v>
      </c>
      <c r="K57" s="9"/>
    </row>
    <row r="58" spans="1:11" x14ac:dyDescent="0.25">
      <c r="A58" s="8">
        <v>56</v>
      </c>
      <c r="B58" s="9" t="s">
        <v>123</v>
      </c>
      <c r="C58" s="9" t="s">
        <v>12</v>
      </c>
      <c r="D58" s="9" t="s">
        <v>13</v>
      </c>
      <c r="E58" s="9" t="s">
        <v>124</v>
      </c>
      <c r="F58" s="9" t="s">
        <v>15</v>
      </c>
      <c r="G58" s="16">
        <v>38500</v>
      </c>
      <c r="H58" s="2"/>
      <c r="I58" s="15">
        <v>38500</v>
      </c>
      <c r="J58" s="10">
        <v>0</v>
      </c>
      <c r="K58" s="9"/>
    </row>
    <row r="59" spans="1:11" x14ac:dyDescent="0.25">
      <c r="A59" s="8">
        <v>57</v>
      </c>
      <c r="B59" s="9" t="s">
        <v>125</v>
      </c>
      <c r="C59" s="9" t="s">
        <v>12</v>
      </c>
      <c r="D59" s="9" t="s">
        <v>13</v>
      </c>
      <c r="E59" s="9" t="s">
        <v>126</v>
      </c>
      <c r="F59" s="9" t="s">
        <v>15</v>
      </c>
      <c r="G59" s="16">
        <v>2900</v>
      </c>
      <c r="H59" s="2"/>
      <c r="I59" s="15">
        <v>2900</v>
      </c>
      <c r="J59" s="10">
        <v>0</v>
      </c>
      <c r="K59" s="9"/>
    </row>
    <row r="60" spans="1:11" x14ac:dyDescent="0.25">
      <c r="A60" s="8">
        <v>58</v>
      </c>
      <c r="B60" s="9" t="s">
        <v>127</v>
      </c>
      <c r="C60" s="9" t="s">
        <v>12</v>
      </c>
      <c r="D60" s="9" t="s">
        <v>13</v>
      </c>
      <c r="E60" s="9" t="s">
        <v>128</v>
      </c>
      <c r="F60" s="9" t="s">
        <v>15</v>
      </c>
      <c r="G60" s="16">
        <v>24</v>
      </c>
      <c r="H60" s="2"/>
      <c r="I60" s="15">
        <v>24</v>
      </c>
      <c r="J60" s="10">
        <v>0</v>
      </c>
      <c r="K60" s="9"/>
    </row>
    <row r="61" spans="1:11" x14ac:dyDescent="0.25">
      <c r="A61" s="8">
        <v>59</v>
      </c>
      <c r="B61" s="9" t="s">
        <v>129</v>
      </c>
      <c r="C61" s="9" t="s">
        <v>12</v>
      </c>
      <c r="D61" s="9" t="s">
        <v>13</v>
      </c>
      <c r="E61" s="9" t="s">
        <v>130</v>
      </c>
      <c r="F61" s="9" t="s">
        <v>15</v>
      </c>
      <c r="G61" s="16">
        <v>100</v>
      </c>
      <c r="H61" s="2"/>
      <c r="I61" s="15">
        <v>100</v>
      </c>
      <c r="J61" s="10">
        <v>0</v>
      </c>
      <c r="K61" s="9"/>
    </row>
    <row r="62" spans="1:11" x14ac:dyDescent="0.25">
      <c r="A62" s="8">
        <v>60</v>
      </c>
      <c r="B62" s="9" t="s">
        <v>131</v>
      </c>
      <c r="C62" s="9" t="s">
        <v>12</v>
      </c>
      <c r="D62" s="9" t="s">
        <v>13</v>
      </c>
      <c r="E62" s="9" t="s">
        <v>132</v>
      </c>
      <c r="F62" s="9" t="s">
        <v>15</v>
      </c>
      <c r="G62" s="16">
        <v>5580</v>
      </c>
      <c r="H62" s="2"/>
      <c r="I62" s="15">
        <v>5580</v>
      </c>
      <c r="J62" s="10">
        <v>0</v>
      </c>
      <c r="K62" s="9"/>
    </row>
    <row r="63" spans="1:11" x14ac:dyDescent="0.25">
      <c r="A63" s="8">
        <v>61</v>
      </c>
      <c r="B63" s="9" t="s">
        <v>133</v>
      </c>
      <c r="C63" s="9" t="s">
        <v>12</v>
      </c>
      <c r="D63" s="9" t="s">
        <v>13</v>
      </c>
      <c r="E63" s="9" t="s">
        <v>134</v>
      </c>
      <c r="F63" s="9" t="s">
        <v>15</v>
      </c>
      <c r="G63" s="16">
        <v>61950</v>
      </c>
      <c r="H63" s="2"/>
      <c r="I63" s="15">
        <v>61950</v>
      </c>
      <c r="J63" s="10">
        <v>0</v>
      </c>
      <c r="K63" s="9"/>
    </row>
    <row r="64" spans="1:11" x14ac:dyDescent="0.25">
      <c r="A64" s="8">
        <v>62</v>
      </c>
      <c r="B64" s="9" t="s">
        <v>135</v>
      </c>
      <c r="C64" s="9" t="s">
        <v>12</v>
      </c>
      <c r="D64" s="9" t="s">
        <v>13</v>
      </c>
      <c r="E64" s="9" t="s">
        <v>136</v>
      </c>
      <c r="F64" s="9" t="s">
        <v>15</v>
      </c>
      <c r="G64" s="16">
        <v>17100</v>
      </c>
      <c r="H64" s="2"/>
      <c r="I64" s="15">
        <v>17100</v>
      </c>
      <c r="J64" s="10">
        <v>0</v>
      </c>
      <c r="K64" s="9"/>
    </row>
    <row r="65" spans="1:11" x14ac:dyDescent="0.25">
      <c r="A65" s="8">
        <v>63</v>
      </c>
      <c r="B65" s="9" t="s">
        <v>137</v>
      </c>
      <c r="C65" s="9" t="s">
        <v>12</v>
      </c>
      <c r="D65" s="9" t="s">
        <v>13</v>
      </c>
      <c r="E65" s="9" t="s">
        <v>138</v>
      </c>
      <c r="F65" s="9" t="s">
        <v>15</v>
      </c>
      <c r="G65" s="16">
        <v>8</v>
      </c>
      <c r="H65" s="2"/>
      <c r="I65" s="15">
        <v>8</v>
      </c>
      <c r="J65" s="10">
        <v>0</v>
      </c>
      <c r="K65" s="9"/>
    </row>
    <row r="66" spans="1:11" x14ac:dyDescent="0.25">
      <c r="A66" s="8">
        <v>64</v>
      </c>
      <c r="B66" s="9" t="s">
        <v>139</v>
      </c>
      <c r="C66" s="9" t="s">
        <v>12</v>
      </c>
      <c r="D66" s="9" t="s">
        <v>13</v>
      </c>
      <c r="E66" s="9" t="s">
        <v>140</v>
      </c>
      <c r="F66" s="9" t="s">
        <v>15</v>
      </c>
      <c r="G66" s="16">
        <v>37800</v>
      </c>
      <c r="H66" s="2"/>
      <c r="I66" s="15">
        <v>37800</v>
      </c>
      <c r="J66" s="10">
        <v>0</v>
      </c>
      <c r="K66" s="9"/>
    </row>
    <row r="67" spans="1:11" x14ac:dyDescent="0.25">
      <c r="A67" s="8">
        <v>65</v>
      </c>
      <c r="B67" s="9" t="s">
        <v>141</v>
      </c>
      <c r="C67" s="9" t="s">
        <v>12</v>
      </c>
      <c r="D67" s="9" t="s">
        <v>13</v>
      </c>
      <c r="E67" s="9" t="s">
        <v>142</v>
      </c>
      <c r="F67" s="9" t="s">
        <v>15</v>
      </c>
      <c r="G67" s="16">
        <v>157400</v>
      </c>
      <c r="H67" s="2"/>
      <c r="I67" s="15">
        <v>157400</v>
      </c>
      <c r="J67" s="10">
        <v>0</v>
      </c>
      <c r="K67" s="9"/>
    </row>
    <row r="68" spans="1:11" x14ac:dyDescent="0.25">
      <c r="A68" s="8">
        <v>66</v>
      </c>
      <c r="B68" s="9" t="s">
        <v>143</v>
      </c>
      <c r="C68" s="9" t="s">
        <v>12</v>
      </c>
      <c r="D68" s="9" t="s">
        <v>13</v>
      </c>
      <c r="E68" s="9" t="s">
        <v>144</v>
      </c>
      <c r="F68" s="9" t="s">
        <v>15</v>
      </c>
      <c r="G68" s="16">
        <v>1728</v>
      </c>
      <c r="H68" s="2"/>
      <c r="I68" s="15">
        <v>1728</v>
      </c>
      <c r="J68" s="10">
        <v>0</v>
      </c>
      <c r="K68" s="9"/>
    </row>
    <row r="69" spans="1:11" x14ac:dyDescent="0.25">
      <c r="A69" s="8">
        <v>67</v>
      </c>
      <c r="B69" s="9" t="s">
        <v>145</v>
      </c>
      <c r="C69" s="9" t="s">
        <v>12</v>
      </c>
      <c r="D69" s="9" t="s">
        <v>13</v>
      </c>
      <c r="E69" s="9" t="s">
        <v>146</v>
      </c>
      <c r="F69" s="9" t="s">
        <v>15</v>
      </c>
      <c r="G69" s="16">
        <v>23000</v>
      </c>
      <c r="H69" s="2"/>
      <c r="I69" s="15">
        <v>23000</v>
      </c>
      <c r="J69" s="10">
        <v>0</v>
      </c>
      <c r="K69" s="9"/>
    </row>
    <row r="70" spans="1:11" x14ac:dyDescent="0.25">
      <c r="A70" s="8">
        <v>68</v>
      </c>
      <c r="B70" s="9" t="s">
        <v>147</v>
      </c>
      <c r="C70" s="9" t="s">
        <v>12</v>
      </c>
      <c r="D70" s="9" t="s">
        <v>13</v>
      </c>
      <c r="E70" s="9" t="s">
        <v>148</v>
      </c>
      <c r="F70" s="9" t="s">
        <v>15</v>
      </c>
      <c r="G70" s="16">
        <v>20</v>
      </c>
      <c r="H70" s="2"/>
      <c r="I70" s="15">
        <v>20</v>
      </c>
      <c r="J70" s="10">
        <v>0</v>
      </c>
      <c r="K70" s="9"/>
    </row>
    <row r="71" spans="1:11" x14ac:dyDescent="0.25">
      <c r="A71" s="8">
        <v>69</v>
      </c>
      <c r="B71" s="9" t="s">
        <v>149</v>
      </c>
      <c r="C71" s="9" t="s">
        <v>12</v>
      </c>
      <c r="D71" s="9" t="s">
        <v>13</v>
      </c>
      <c r="E71" s="9" t="s">
        <v>150</v>
      </c>
      <c r="F71" s="9" t="s">
        <v>15</v>
      </c>
      <c r="G71" s="16">
        <v>36000</v>
      </c>
      <c r="H71" s="2"/>
      <c r="I71" s="15">
        <v>36000</v>
      </c>
      <c r="J71" s="10">
        <v>0</v>
      </c>
      <c r="K71" s="9"/>
    </row>
    <row r="72" spans="1:11" x14ac:dyDescent="0.25">
      <c r="A72" s="8">
        <v>70</v>
      </c>
      <c r="B72" s="9" t="s">
        <v>151</v>
      </c>
      <c r="C72" s="9" t="s">
        <v>12</v>
      </c>
      <c r="D72" s="9" t="s">
        <v>13</v>
      </c>
      <c r="E72" s="9" t="s">
        <v>152</v>
      </c>
      <c r="F72" s="9" t="s">
        <v>15</v>
      </c>
      <c r="G72" s="16">
        <v>4410</v>
      </c>
      <c r="H72" s="2"/>
      <c r="I72" s="15">
        <v>4410</v>
      </c>
      <c r="J72" s="10">
        <v>0</v>
      </c>
      <c r="K72" s="9"/>
    </row>
    <row r="73" spans="1:11" x14ac:dyDescent="0.25">
      <c r="A73" s="8">
        <v>71</v>
      </c>
      <c r="B73" s="9" t="s">
        <v>153</v>
      </c>
      <c r="C73" s="9" t="s">
        <v>12</v>
      </c>
      <c r="D73" s="9" t="s">
        <v>13</v>
      </c>
      <c r="E73" s="9" t="s">
        <v>154</v>
      </c>
      <c r="F73" s="9" t="s">
        <v>15</v>
      </c>
      <c r="G73" s="16">
        <v>17220</v>
      </c>
      <c r="H73" s="2"/>
      <c r="I73" s="15">
        <v>17220</v>
      </c>
      <c r="J73" s="10">
        <v>0</v>
      </c>
      <c r="K73" s="9"/>
    </row>
    <row r="74" spans="1:11" x14ac:dyDescent="0.25">
      <c r="A74" s="8">
        <v>72</v>
      </c>
      <c r="B74" s="9" t="s">
        <v>155</v>
      </c>
      <c r="C74" s="9" t="s">
        <v>12</v>
      </c>
      <c r="D74" s="9" t="s">
        <v>13</v>
      </c>
      <c r="E74" s="9" t="s">
        <v>156</v>
      </c>
      <c r="F74" s="9" t="s">
        <v>15</v>
      </c>
      <c r="G74" s="16">
        <v>1100</v>
      </c>
      <c r="H74" s="2"/>
      <c r="I74" s="15">
        <v>1100</v>
      </c>
      <c r="J74" s="10">
        <v>0</v>
      </c>
      <c r="K74" s="9"/>
    </row>
    <row r="75" spans="1:11" x14ac:dyDescent="0.25">
      <c r="A75" s="8">
        <v>73</v>
      </c>
      <c r="B75" s="9" t="s">
        <v>157</v>
      </c>
      <c r="C75" s="9" t="s">
        <v>12</v>
      </c>
      <c r="D75" s="9" t="s">
        <v>13</v>
      </c>
      <c r="E75" s="9" t="s">
        <v>158</v>
      </c>
      <c r="F75" s="9" t="s">
        <v>15</v>
      </c>
      <c r="G75" s="16">
        <v>180800</v>
      </c>
      <c r="H75" s="2"/>
      <c r="I75" s="15">
        <v>180800</v>
      </c>
      <c r="J75" s="10">
        <v>0</v>
      </c>
      <c r="K75" s="9"/>
    </row>
    <row r="76" spans="1:11" x14ac:dyDescent="0.25">
      <c r="A76" s="8">
        <v>74</v>
      </c>
      <c r="B76" s="9" t="s">
        <v>159</v>
      </c>
      <c r="C76" s="9" t="s">
        <v>12</v>
      </c>
      <c r="D76" s="9" t="s">
        <v>13</v>
      </c>
      <c r="E76" s="9" t="s">
        <v>160</v>
      </c>
      <c r="F76" s="9" t="s">
        <v>15</v>
      </c>
      <c r="G76" s="16">
        <v>9400</v>
      </c>
      <c r="H76" s="2"/>
      <c r="I76" s="15">
        <v>9400</v>
      </c>
      <c r="J76" s="10">
        <v>0</v>
      </c>
      <c r="K76" s="9"/>
    </row>
    <row r="77" spans="1:11" x14ac:dyDescent="0.25">
      <c r="A77" s="8">
        <v>75</v>
      </c>
      <c r="B77" s="9" t="s">
        <v>161</v>
      </c>
      <c r="C77" s="9" t="s">
        <v>12</v>
      </c>
      <c r="D77" s="9" t="s">
        <v>13</v>
      </c>
      <c r="E77" s="9" t="s">
        <v>162</v>
      </c>
      <c r="F77" s="9" t="s">
        <v>15</v>
      </c>
      <c r="G77" s="16">
        <v>4560</v>
      </c>
      <c r="H77" s="2"/>
      <c r="I77" s="15">
        <v>4560</v>
      </c>
      <c r="J77" s="10">
        <v>0</v>
      </c>
      <c r="K77" s="9"/>
    </row>
    <row r="78" spans="1:11" x14ac:dyDescent="0.25">
      <c r="A78" s="8">
        <v>76</v>
      </c>
      <c r="B78" s="9" t="s">
        <v>163</v>
      </c>
      <c r="C78" s="9" t="s">
        <v>12</v>
      </c>
      <c r="D78" s="9" t="s">
        <v>13</v>
      </c>
      <c r="E78" s="9" t="s">
        <v>164</v>
      </c>
      <c r="F78" s="9" t="s">
        <v>15</v>
      </c>
      <c r="G78" s="16">
        <v>63000</v>
      </c>
      <c r="H78" s="2"/>
      <c r="I78" s="15">
        <v>63000</v>
      </c>
      <c r="J78" s="10">
        <v>0</v>
      </c>
      <c r="K78" s="9"/>
    </row>
    <row r="79" spans="1:11" x14ac:dyDescent="0.25">
      <c r="A79" s="8">
        <v>77</v>
      </c>
      <c r="B79" s="9" t="s">
        <v>165</v>
      </c>
      <c r="C79" s="9" t="s">
        <v>12</v>
      </c>
      <c r="D79" s="9" t="s">
        <v>13</v>
      </c>
      <c r="E79" s="9" t="s">
        <v>166</v>
      </c>
      <c r="F79" s="9" t="s">
        <v>15</v>
      </c>
      <c r="G79" s="16">
        <v>359</v>
      </c>
      <c r="H79" s="2"/>
      <c r="I79" s="15">
        <v>359</v>
      </c>
      <c r="J79" s="10">
        <v>0</v>
      </c>
      <c r="K79" s="9"/>
    </row>
    <row r="80" spans="1:11" x14ac:dyDescent="0.25">
      <c r="A80" s="8">
        <v>78</v>
      </c>
      <c r="B80" s="9" t="s">
        <v>167</v>
      </c>
      <c r="C80" s="9" t="s">
        <v>12</v>
      </c>
      <c r="D80" s="9" t="s">
        <v>13</v>
      </c>
      <c r="E80" s="9" t="s">
        <v>168</v>
      </c>
      <c r="F80" s="9" t="s">
        <v>15</v>
      </c>
      <c r="G80" s="16">
        <v>6300</v>
      </c>
      <c r="H80" s="2"/>
      <c r="I80" s="15">
        <v>6300</v>
      </c>
      <c r="J80" s="10">
        <v>0</v>
      </c>
      <c r="K80" s="9"/>
    </row>
    <row r="81" spans="1:11" x14ac:dyDescent="0.25">
      <c r="A81" s="8">
        <v>79</v>
      </c>
      <c r="B81" s="9" t="s">
        <v>169</v>
      </c>
      <c r="C81" s="9" t="s">
        <v>12</v>
      </c>
      <c r="D81" s="9" t="s">
        <v>13</v>
      </c>
      <c r="E81" s="9" t="s">
        <v>170</v>
      </c>
      <c r="F81" s="9" t="s">
        <v>15</v>
      </c>
      <c r="G81" s="16">
        <v>32760</v>
      </c>
      <c r="H81" s="2"/>
      <c r="I81" s="15">
        <v>32760</v>
      </c>
      <c r="J81" s="10">
        <v>0</v>
      </c>
      <c r="K81" s="9"/>
    </row>
    <row r="82" spans="1:11" x14ac:dyDescent="0.25">
      <c r="A82" s="8">
        <v>80</v>
      </c>
      <c r="B82" s="9" t="s">
        <v>171</v>
      </c>
      <c r="C82" s="9" t="s">
        <v>12</v>
      </c>
      <c r="D82" s="9" t="s">
        <v>13</v>
      </c>
      <c r="E82" s="9" t="s">
        <v>172</v>
      </c>
      <c r="F82" s="9" t="s">
        <v>15</v>
      </c>
      <c r="G82" s="16">
        <v>75180</v>
      </c>
      <c r="H82" s="2"/>
      <c r="I82" s="15">
        <v>75180</v>
      </c>
      <c r="J82" s="10">
        <v>0</v>
      </c>
      <c r="K82" s="9"/>
    </row>
    <row r="83" spans="1:11" x14ac:dyDescent="0.25">
      <c r="A83" s="8">
        <v>81</v>
      </c>
      <c r="B83" s="9" t="s">
        <v>173</v>
      </c>
      <c r="C83" s="9" t="s">
        <v>12</v>
      </c>
      <c r="D83" s="9" t="s">
        <v>13</v>
      </c>
      <c r="E83" s="9" t="s">
        <v>174</v>
      </c>
      <c r="F83" s="9" t="s">
        <v>15</v>
      </c>
      <c r="G83" s="16">
        <v>89880</v>
      </c>
      <c r="H83" s="2"/>
      <c r="I83" s="15">
        <v>89880</v>
      </c>
      <c r="J83" s="10">
        <v>0</v>
      </c>
      <c r="K83" s="9"/>
    </row>
    <row r="84" spans="1:11" x14ac:dyDescent="0.25">
      <c r="A84" s="8">
        <v>82</v>
      </c>
      <c r="B84" s="9" t="s">
        <v>175</v>
      </c>
      <c r="C84" s="9" t="s">
        <v>12</v>
      </c>
      <c r="D84" s="9" t="s">
        <v>13</v>
      </c>
      <c r="E84" s="9" t="s">
        <v>176</v>
      </c>
      <c r="F84" s="9" t="s">
        <v>15</v>
      </c>
      <c r="G84" s="16">
        <v>370</v>
      </c>
      <c r="H84" s="2"/>
      <c r="I84" s="15">
        <v>370</v>
      </c>
      <c r="J84" s="10">
        <v>0</v>
      </c>
      <c r="K84" s="9"/>
    </row>
    <row r="85" spans="1:11" x14ac:dyDescent="0.25">
      <c r="A85" s="8">
        <v>83</v>
      </c>
      <c r="B85" s="9" t="s">
        <v>177</v>
      </c>
      <c r="C85" s="9" t="s">
        <v>12</v>
      </c>
      <c r="D85" s="9" t="s">
        <v>13</v>
      </c>
      <c r="E85" s="9" t="s">
        <v>178</v>
      </c>
      <c r="F85" s="9" t="s">
        <v>15</v>
      </c>
      <c r="G85" s="16">
        <v>38220</v>
      </c>
      <c r="H85" s="2"/>
      <c r="I85" s="15">
        <v>38220</v>
      </c>
      <c r="J85" s="10">
        <v>0</v>
      </c>
      <c r="K85" s="9"/>
    </row>
    <row r="86" spans="1:11" x14ac:dyDescent="0.25">
      <c r="A86" s="8">
        <v>84</v>
      </c>
      <c r="B86" s="9" t="s">
        <v>179</v>
      </c>
      <c r="C86" s="9" t="s">
        <v>12</v>
      </c>
      <c r="D86" s="9" t="s">
        <v>13</v>
      </c>
      <c r="E86" s="9" t="s">
        <v>180</v>
      </c>
      <c r="F86" s="9" t="s">
        <v>15</v>
      </c>
      <c r="G86" s="16">
        <v>5880</v>
      </c>
      <c r="H86" s="2"/>
      <c r="I86" s="15">
        <v>5880</v>
      </c>
      <c r="J86" s="10">
        <v>0</v>
      </c>
      <c r="K86" s="9"/>
    </row>
    <row r="87" spans="1:11" x14ac:dyDescent="0.25">
      <c r="A87" s="8">
        <v>85</v>
      </c>
      <c r="B87" s="9" t="s">
        <v>181</v>
      </c>
      <c r="C87" s="9" t="s">
        <v>12</v>
      </c>
      <c r="D87" s="9" t="s">
        <v>13</v>
      </c>
      <c r="E87" s="9" t="s">
        <v>182</v>
      </c>
      <c r="F87" s="9" t="s">
        <v>15</v>
      </c>
      <c r="G87" s="16">
        <v>115900</v>
      </c>
      <c r="H87" s="2"/>
      <c r="I87" s="15">
        <v>115900</v>
      </c>
      <c r="J87" s="10">
        <v>0</v>
      </c>
      <c r="K87" s="9"/>
    </row>
    <row r="88" spans="1:11" x14ac:dyDescent="0.25">
      <c r="A88" s="8">
        <v>86</v>
      </c>
      <c r="B88" s="9" t="s">
        <v>183</v>
      </c>
      <c r="C88" s="9" t="s">
        <v>12</v>
      </c>
      <c r="D88" s="9" t="s">
        <v>13</v>
      </c>
      <c r="E88" s="9" t="s">
        <v>184</v>
      </c>
      <c r="F88" s="9" t="s">
        <v>15</v>
      </c>
      <c r="G88" s="16">
        <v>32300</v>
      </c>
      <c r="H88" s="2"/>
      <c r="I88" s="15">
        <v>32300</v>
      </c>
      <c r="J88" s="10">
        <v>0</v>
      </c>
      <c r="K88" s="9"/>
    </row>
    <row r="89" spans="1:11" x14ac:dyDescent="0.25">
      <c r="A89" s="8">
        <v>87</v>
      </c>
      <c r="B89" s="9" t="s">
        <v>185</v>
      </c>
      <c r="C89" s="9" t="s">
        <v>12</v>
      </c>
      <c r="D89" s="9" t="s">
        <v>13</v>
      </c>
      <c r="E89" s="9" t="s">
        <v>186</v>
      </c>
      <c r="F89" s="9" t="s">
        <v>15</v>
      </c>
      <c r="G89" s="16">
        <v>2158</v>
      </c>
      <c r="H89" s="2"/>
      <c r="I89" s="15">
        <v>2158</v>
      </c>
      <c r="J89" s="10">
        <v>0</v>
      </c>
      <c r="K89" s="9"/>
    </row>
    <row r="90" spans="1:11" x14ac:dyDescent="0.25">
      <c r="A90" s="8">
        <v>88</v>
      </c>
      <c r="B90" s="9" t="s">
        <v>187</v>
      </c>
      <c r="C90" s="9" t="s">
        <v>12</v>
      </c>
      <c r="D90" s="9" t="s">
        <v>13</v>
      </c>
      <c r="E90" s="9" t="s">
        <v>188</v>
      </c>
      <c r="F90" s="9" t="s">
        <v>15</v>
      </c>
      <c r="G90" s="16">
        <v>14100</v>
      </c>
      <c r="H90" s="2"/>
      <c r="I90" s="15">
        <v>14100</v>
      </c>
      <c r="J90" s="10">
        <v>0</v>
      </c>
      <c r="K90" s="9"/>
    </row>
    <row r="91" spans="1:11" x14ac:dyDescent="0.25">
      <c r="A91" s="8">
        <v>89</v>
      </c>
      <c r="B91" s="9" t="s">
        <v>189</v>
      </c>
      <c r="C91" s="9" t="s">
        <v>12</v>
      </c>
      <c r="D91" s="9" t="s">
        <v>13</v>
      </c>
      <c r="E91" s="9" t="s">
        <v>190</v>
      </c>
      <c r="F91" s="9" t="s">
        <v>15</v>
      </c>
      <c r="G91" s="16">
        <v>152000</v>
      </c>
      <c r="H91" s="2"/>
      <c r="I91" s="15">
        <v>152000</v>
      </c>
      <c r="J91" s="10">
        <v>0</v>
      </c>
      <c r="K91" s="9"/>
    </row>
    <row r="92" spans="1:11" x14ac:dyDescent="0.25">
      <c r="A92" s="8">
        <v>90</v>
      </c>
      <c r="B92" s="9" t="s">
        <v>191</v>
      </c>
      <c r="C92" s="9" t="s">
        <v>12</v>
      </c>
      <c r="D92" s="9" t="s">
        <v>13</v>
      </c>
      <c r="E92" s="9" t="s">
        <v>192</v>
      </c>
      <c r="F92" s="9" t="s">
        <v>15</v>
      </c>
      <c r="G92" s="16">
        <v>6398</v>
      </c>
      <c r="H92" s="2"/>
      <c r="I92" s="15">
        <v>6398</v>
      </c>
      <c r="J92" s="10">
        <v>0</v>
      </c>
      <c r="K92" s="9"/>
    </row>
    <row r="93" spans="1:11" x14ac:dyDescent="0.25">
      <c r="A93" s="8">
        <v>91</v>
      </c>
      <c r="B93" s="9" t="s">
        <v>193</v>
      </c>
      <c r="C93" s="9" t="s">
        <v>12</v>
      </c>
      <c r="D93" s="9" t="s">
        <v>13</v>
      </c>
      <c r="E93" s="9" t="s">
        <v>194</v>
      </c>
      <c r="F93" s="9" t="s">
        <v>15</v>
      </c>
      <c r="G93" s="16">
        <v>672</v>
      </c>
      <c r="H93" s="2"/>
      <c r="I93" s="15">
        <v>672</v>
      </c>
      <c r="J93" s="10">
        <v>0</v>
      </c>
      <c r="K93" s="9"/>
    </row>
    <row r="94" spans="1:11" x14ac:dyDescent="0.25">
      <c r="A94" s="8">
        <v>92</v>
      </c>
      <c r="B94" s="9" t="s">
        <v>195</v>
      </c>
      <c r="C94" s="9" t="s">
        <v>12</v>
      </c>
      <c r="D94" s="9" t="s">
        <v>13</v>
      </c>
      <c r="E94" s="9" t="s">
        <v>196</v>
      </c>
      <c r="F94" s="9" t="s">
        <v>15</v>
      </c>
      <c r="G94" s="16">
        <v>620</v>
      </c>
      <c r="H94" s="2"/>
      <c r="I94" s="15">
        <v>620</v>
      </c>
      <c r="J94" s="10">
        <v>0</v>
      </c>
      <c r="K94" s="9"/>
    </row>
    <row r="95" spans="1:11" x14ac:dyDescent="0.25">
      <c r="A95" s="8">
        <v>93</v>
      </c>
      <c r="B95" s="9" t="s">
        <v>197</v>
      </c>
      <c r="C95" s="9" t="s">
        <v>12</v>
      </c>
      <c r="D95" s="9" t="s">
        <v>13</v>
      </c>
      <c r="E95" s="9" t="s">
        <v>198</v>
      </c>
      <c r="F95" s="9" t="s">
        <v>15</v>
      </c>
      <c r="G95" s="16">
        <v>230</v>
      </c>
      <c r="H95" s="2"/>
      <c r="I95" s="15">
        <v>230</v>
      </c>
      <c r="J95" s="10">
        <v>0</v>
      </c>
      <c r="K95" s="9"/>
    </row>
    <row r="96" spans="1:11" x14ac:dyDescent="0.25">
      <c r="A96" s="8">
        <v>94</v>
      </c>
      <c r="B96" s="9" t="s">
        <v>199</v>
      </c>
      <c r="C96" s="9" t="s">
        <v>12</v>
      </c>
      <c r="D96" s="9" t="s">
        <v>13</v>
      </c>
      <c r="E96" s="9" t="s">
        <v>200</v>
      </c>
      <c r="F96" s="9" t="s">
        <v>15</v>
      </c>
      <c r="G96" s="16">
        <v>80</v>
      </c>
      <c r="H96" s="2"/>
      <c r="I96" s="15">
        <v>80</v>
      </c>
      <c r="J96" s="10">
        <v>0</v>
      </c>
      <c r="K96" s="9"/>
    </row>
    <row r="97" spans="1:11" x14ac:dyDescent="0.25">
      <c r="A97" s="8">
        <v>95</v>
      </c>
      <c r="B97" s="9" t="s">
        <v>201</v>
      </c>
      <c r="C97" s="9" t="s">
        <v>12</v>
      </c>
      <c r="D97" s="9" t="s">
        <v>13</v>
      </c>
      <c r="E97" s="9" t="s">
        <v>202</v>
      </c>
      <c r="F97" s="9" t="s">
        <v>15</v>
      </c>
      <c r="G97" s="16">
        <v>3125</v>
      </c>
      <c r="H97" s="2"/>
      <c r="I97" s="15">
        <v>3125</v>
      </c>
      <c r="J97" s="10">
        <v>0</v>
      </c>
      <c r="K97" s="9"/>
    </row>
    <row r="98" spans="1:11" x14ac:dyDescent="0.25">
      <c r="A98" s="8">
        <v>96</v>
      </c>
      <c r="B98" s="9" t="s">
        <v>203</v>
      </c>
      <c r="C98" s="9" t="s">
        <v>12</v>
      </c>
      <c r="D98" s="9" t="s">
        <v>13</v>
      </c>
      <c r="E98" s="9" t="s">
        <v>204</v>
      </c>
      <c r="F98" s="9" t="s">
        <v>15</v>
      </c>
      <c r="G98" s="16">
        <v>3655</v>
      </c>
      <c r="H98" s="2"/>
      <c r="I98" s="15">
        <v>3655</v>
      </c>
      <c r="J98" s="10">
        <v>0</v>
      </c>
      <c r="K98" s="9"/>
    </row>
    <row r="99" spans="1:11" x14ac:dyDescent="0.25">
      <c r="A99" s="8">
        <v>97</v>
      </c>
      <c r="B99" s="9" t="s">
        <v>205</v>
      </c>
      <c r="C99" s="9" t="s">
        <v>12</v>
      </c>
      <c r="D99" s="9" t="s">
        <v>13</v>
      </c>
      <c r="E99" s="9" t="s">
        <v>206</v>
      </c>
      <c r="F99" s="9" t="s">
        <v>15</v>
      </c>
      <c r="G99" s="16">
        <v>2475</v>
      </c>
      <c r="H99" s="2"/>
      <c r="I99" s="15">
        <v>2475</v>
      </c>
      <c r="J99" s="10">
        <v>0</v>
      </c>
      <c r="K99" s="9"/>
    </row>
    <row r="100" spans="1:11" x14ac:dyDescent="0.25">
      <c r="A100" s="8">
        <v>98</v>
      </c>
      <c r="B100" s="9" t="s">
        <v>207</v>
      </c>
      <c r="C100" s="9" t="s">
        <v>12</v>
      </c>
      <c r="D100" s="9" t="s">
        <v>13</v>
      </c>
      <c r="E100" s="9" t="s">
        <v>208</v>
      </c>
      <c r="F100" s="9" t="s">
        <v>15</v>
      </c>
      <c r="G100" s="16">
        <v>1705</v>
      </c>
      <c r="H100" s="2"/>
      <c r="I100" s="15">
        <v>1705</v>
      </c>
      <c r="J100" s="10">
        <v>0</v>
      </c>
      <c r="K100" s="9"/>
    </row>
    <row r="101" spans="1:11" x14ac:dyDescent="0.25">
      <c r="A101" s="8">
        <v>99</v>
      </c>
      <c r="B101" s="9" t="s">
        <v>209</v>
      </c>
      <c r="C101" s="9" t="s">
        <v>12</v>
      </c>
      <c r="D101" s="9" t="s">
        <v>13</v>
      </c>
      <c r="E101" s="9" t="s">
        <v>210</v>
      </c>
      <c r="F101" s="9" t="s">
        <v>15</v>
      </c>
      <c r="G101" s="16">
        <v>2250</v>
      </c>
      <c r="H101" s="2"/>
      <c r="I101" s="15">
        <v>2250</v>
      </c>
      <c r="J101" s="10">
        <v>0</v>
      </c>
      <c r="K101" s="9"/>
    </row>
    <row r="102" spans="1:11" x14ac:dyDescent="0.25">
      <c r="A102" s="8">
        <v>100</v>
      </c>
      <c r="B102" s="9" t="s">
        <v>211</v>
      </c>
      <c r="C102" s="9" t="s">
        <v>12</v>
      </c>
      <c r="D102" s="9" t="s">
        <v>13</v>
      </c>
      <c r="E102" s="9" t="s">
        <v>212</v>
      </c>
      <c r="F102" s="9" t="s">
        <v>15</v>
      </c>
      <c r="G102" s="16">
        <v>4095</v>
      </c>
      <c r="H102" s="2"/>
      <c r="I102" s="15">
        <v>4095</v>
      </c>
      <c r="J102" s="10">
        <v>0</v>
      </c>
      <c r="K102" s="9"/>
    </row>
    <row r="103" spans="1:11" x14ac:dyDescent="0.25">
      <c r="A103" s="8">
        <v>101</v>
      </c>
      <c r="B103" s="9" t="s">
        <v>213</v>
      </c>
      <c r="C103" s="9" t="s">
        <v>12</v>
      </c>
      <c r="D103" s="9" t="s">
        <v>13</v>
      </c>
      <c r="E103" s="9" t="s">
        <v>214</v>
      </c>
      <c r="F103" s="9" t="s">
        <v>15</v>
      </c>
      <c r="G103" s="16">
        <v>1065</v>
      </c>
      <c r="H103" s="2"/>
      <c r="I103" s="15">
        <v>1065</v>
      </c>
      <c r="J103" s="10">
        <v>0</v>
      </c>
      <c r="K103" s="9"/>
    </row>
    <row r="104" spans="1:11" x14ac:dyDescent="0.25">
      <c r="A104" s="8">
        <v>102</v>
      </c>
      <c r="B104" s="9" t="s">
        <v>215</v>
      </c>
      <c r="C104" s="9" t="s">
        <v>12</v>
      </c>
      <c r="D104" s="9" t="s">
        <v>13</v>
      </c>
      <c r="E104" s="9" t="s">
        <v>216</v>
      </c>
      <c r="F104" s="9" t="s">
        <v>15</v>
      </c>
      <c r="G104" s="16">
        <v>3905</v>
      </c>
      <c r="H104" s="2"/>
      <c r="I104" s="15">
        <v>3905</v>
      </c>
      <c r="J104" s="10">
        <v>0</v>
      </c>
      <c r="K104" s="9"/>
    </row>
    <row r="105" spans="1:11" x14ac:dyDescent="0.25">
      <c r="A105" s="8">
        <v>103</v>
      </c>
      <c r="B105" s="9" t="s">
        <v>217</v>
      </c>
      <c r="C105" s="9" t="s">
        <v>12</v>
      </c>
      <c r="D105" s="9" t="s">
        <v>13</v>
      </c>
      <c r="E105" s="9" t="s">
        <v>218</v>
      </c>
      <c r="F105" s="9" t="s">
        <v>15</v>
      </c>
      <c r="G105" s="16">
        <v>385</v>
      </c>
      <c r="H105" s="2"/>
      <c r="I105" s="15">
        <v>385</v>
      </c>
      <c r="J105" s="10">
        <v>0</v>
      </c>
      <c r="K105" s="9"/>
    </row>
    <row r="106" spans="1:11" x14ac:dyDescent="0.25">
      <c r="A106" s="8">
        <v>104</v>
      </c>
      <c r="B106" s="9" t="s">
        <v>219</v>
      </c>
      <c r="C106" s="9" t="s">
        <v>12</v>
      </c>
      <c r="D106" s="9" t="s">
        <v>13</v>
      </c>
      <c r="E106" s="9" t="s">
        <v>220</v>
      </c>
      <c r="F106" s="9" t="s">
        <v>15</v>
      </c>
      <c r="G106" s="16">
        <v>10</v>
      </c>
      <c r="H106" s="2"/>
      <c r="I106" s="15">
        <v>10</v>
      </c>
      <c r="J106" s="10">
        <v>0</v>
      </c>
      <c r="K106" s="9"/>
    </row>
    <row r="107" spans="1:11" x14ac:dyDescent="0.25">
      <c r="A107" s="8">
        <v>105</v>
      </c>
      <c r="B107" s="9" t="s">
        <v>221</v>
      </c>
      <c r="C107" s="9" t="s">
        <v>12</v>
      </c>
      <c r="D107" s="9" t="s">
        <v>13</v>
      </c>
      <c r="E107" s="9" t="s">
        <v>222</v>
      </c>
      <c r="F107" s="9" t="s">
        <v>15</v>
      </c>
      <c r="G107" s="16">
        <v>800</v>
      </c>
      <c r="H107" s="2"/>
      <c r="I107" s="15">
        <v>800</v>
      </c>
      <c r="J107" s="10">
        <v>0</v>
      </c>
      <c r="K107" s="9"/>
    </row>
    <row r="108" spans="1:11" x14ac:dyDescent="0.25">
      <c r="A108" s="8">
        <v>106</v>
      </c>
      <c r="B108" s="9" t="s">
        <v>223</v>
      </c>
      <c r="C108" s="9" t="s">
        <v>12</v>
      </c>
      <c r="D108" s="9" t="s">
        <v>13</v>
      </c>
      <c r="E108" s="9" t="s">
        <v>224</v>
      </c>
      <c r="F108" s="9" t="s">
        <v>15</v>
      </c>
      <c r="G108" s="16">
        <v>10</v>
      </c>
      <c r="H108" s="2"/>
      <c r="I108" s="15">
        <v>10</v>
      </c>
      <c r="J108" s="10">
        <v>0</v>
      </c>
      <c r="K108" s="9"/>
    </row>
    <row r="109" spans="1:11" x14ac:dyDescent="0.25">
      <c r="A109" s="8">
        <v>107</v>
      </c>
      <c r="B109" s="9" t="s">
        <v>225</v>
      </c>
      <c r="C109" s="9" t="s">
        <v>12</v>
      </c>
      <c r="D109" s="9" t="s">
        <v>13</v>
      </c>
      <c r="E109" s="9" t="s">
        <v>226</v>
      </c>
      <c r="F109" s="9" t="s">
        <v>15</v>
      </c>
      <c r="G109" s="16">
        <v>150</v>
      </c>
      <c r="H109" s="2"/>
      <c r="I109" s="15">
        <v>150</v>
      </c>
      <c r="J109" s="10">
        <v>0</v>
      </c>
      <c r="K109" s="9"/>
    </row>
    <row r="110" spans="1:11" x14ac:dyDescent="0.25">
      <c r="A110" s="8">
        <v>108</v>
      </c>
      <c r="B110" s="9" t="s">
        <v>227</v>
      </c>
      <c r="C110" s="9" t="s">
        <v>12</v>
      </c>
      <c r="D110" s="9" t="s">
        <v>13</v>
      </c>
      <c r="E110" s="9" t="s">
        <v>228</v>
      </c>
      <c r="F110" s="9" t="s">
        <v>15</v>
      </c>
      <c r="G110" s="16">
        <v>75</v>
      </c>
      <c r="H110" s="2"/>
      <c r="I110" s="15">
        <v>75</v>
      </c>
      <c r="J110" s="10">
        <v>0</v>
      </c>
      <c r="K110" s="9"/>
    </row>
    <row r="111" spans="1:11" x14ac:dyDescent="0.25">
      <c r="A111" s="8">
        <v>109</v>
      </c>
      <c r="B111" s="9" t="s">
        <v>229</v>
      </c>
      <c r="C111" s="9" t="s">
        <v>12</v>
      </c>
      <c r="D111" s="9" t="s">
        <v>13</v>
      </c>
      <c r="E111" s="9" t="s">
        <v>230</v>
      </c>
      <c r="F111" s="9" t="s">
        <v>15</v>
      </c>
      <c r="G111" s="16">
        <v>400</v>
      </c>
      <c r="H111" s="2"/>
      <c r="I111" s="15">
        <v>400</v>
      </c>
      <c r="J111" s="10">
        <v>0</v>
      </c>
      <c r="K111" s="9"/>
    </row>
    <row r="112" spans="1:11" x14ac:dyDescent="0.25">
      <c r="A112" s="8">
        <v>110</v>
      </c>
      <c r="B112" s="9" t="s">
        <v>231</v>
      </c>
      <c r="C112" s="9" t="s">
        <v>12</v>
      </c>
      <c r="D112" s="9" t="s">
        <v>13</v>
      </c>
      <c r="E112" s="9" t="s">
        <v>232</v>
      </c>
      <c r="F112" s="9" t="s">
        <v>15</v>
      </c>
      <c r="G112" s="16">
        <v>18</v>
      </c>
      <c r="H112" s="2"/>
      <c r="I112" s="15">
        <v>18</v>
      </c>
      <c r="J112" s="10">
        <v>0</v>
      </c>
      <c r="K112" s="9"/>
    </row>
    <row r="113" spans="1:11" x14ac:dyDescent="0.25">
      <c r="A113" s="8">
        <v>111</v>
      </c>
      <c r="B113" s="9" t="s">
        <v>233</v>
      </c>
      <c r="C113" s="9" t="s">
        <v>12</v>
      </c>
      <c r="D113" s="9" t="s">
        <v>13</v>
      </c>
      <c r="E113" s="9" t="s">
        <v>234</v>
      </c>
      <c r="F113" s="9" t="s">
        <v>15</v>
      </c>
      <c r="G113" s="16">
        <v>482095</v>
      </c>
      <c r="H113" s="2"/>
      <c r="I113" s="15">
        <v>482095</v>
      </c>
      <c r="J113" s="10">
        <v>0</v>
      </c>
      <c r="K113" s="9"/>
    </row>
    <row r="114" spans="1:11" x14ac:dyDescent="0.25">
      <c r="A114" s="8">
        <v>112</v>
      </c>
      <c r="B114" s="9" t="s">
        <v>235</v>
      </c>
      <c r="C114" s="9" t="s">
        <v>12</v>
      </c>
      <c r="D114" s="9" t="s">
        <v>13</v>
      </c>
      <c r="E114" s="9" t="s">
        <v>236</v>
      </c>
      <c r="F114" s="9" t="s">
        <v>15</v>
      </c>
      <c r="G114" s="16">
        <v>1300</v>
      </c>
      <c r="H114" s="2"/>
      <c r="I114" s="15">
        <v>1300</v>
      </c>
      <c r="J114" s="10">
        <v>0</v>
      </c>
      <c r="K114" s="9"/>
    </row>
    <row r="115" spans="1:11" x14ac:dyDescent="0.25">
      <c r="A115" s="8">
        <v>113</v>
      </c>
      <c r="B115" s="9" t="s">
        <v>237</v>
      </c>
      <c r="C115" s="9" t="s">
        <v>12</v>
      </c>
      <c r="D115" s="9" t="s">
        <v>13</v>
      </c>
      <c r="E115" s="9" t="s">
        <v>238</v>
      </c>
      <c r="F115" s="9" t="s">
        <v>15</v>
      </c>
      <c r="G115" s="16">
        <v>6000</v>
      </c>
      <c r="H115" s="2"/>
      <c r="I115" s="15">
        <v>6000</v>
      </c>
      <c r="J115" s="10">
        <v>0</v>
      </c>
      <c r="K115" s="9"/>
    </row>
    <row r="116" spans="1:11" x14ac:dyDescent="0.25">
      <c r="A116" s="8">
        <v>114</v>
      </c>
      <c r="B116" s="9" t="s">
        <v>239</v>
      </c>
      <c r="C116" s="9" t="s">
        <v>12</v>
      </c>
      <c r="D116" s="9" t="s">
        <v>13</v>
      </c>
      <c r="E116" s="9" t="s">
        <v>240</v>
      </c>
      <c r="F116" s="9" t="s">
        <v>15</v>
      </c>
      <c r="G116" s="16">
        <v>3358</v>
      </c>
      <c r="H116" s="2"/>
      <c r="I116" s="15">
        <v>3358</v>
      </c>
      <c r="J116" s="10">
        <v>0</v>
      </c>
      <c r="K116" s="9"/>
    </row>
    <row r="117" spans="1:11" x14ac:dyDescent="0.25">
      <c r="A117" s="8">
        <v>115</v>
      </c>
      <c r="B117" s="9" t="s">
        <v>241</v>
      </c>
      <c r="C117" s="9" t="s">
        <v>12</v>
      </c>
      <c r="D117" s="9" t="s">
        <v>13</v>
      </c>
      <c r="E117" s="9" t="s">
        <v>242</v>
      </c>
      <c r="F117" s="9" t="s">
        <v>15</v>
      </c>
      <c r="G117" s="16">
        <v>4518</v>
      </c>
      <c r="H117" s="2"/>
      <c r="I117" s="15">
        <v>4518</v>
      </c>
      <c r="J117" s="10">
        <v>0</v>
      </c>
      <c r="K117" s="9"/>
    </row>
    <row r="118" spans="1:11" x14ac:dyDescent="0.25">
      <c r="A118" s="8">
        <v>116</v>
      </c>
      <c r="B118" s="9" t="s">
        <v>243</v>
      </c>
      <c r="C118" s="9" t="s">
        <v>12</v>
      </c>
      <c r="D118" s="9" t="s">
        <v>13</v>
      </c>
      <c r="E118" s="9" t="s">
        <v>244</v>
      </c>
      <c r="F118" s="9" t="s">
        <v>15</v>
      </c>
      <c r="G118" s="16">
        <v>1627</v>
      </c>
      <c r="H118" s="2"/>
      <c r="I118" s="15">
        <v>1627</v>
      </c>
      <c r="J118" s="10">
        <v>0</v>
      </c>
      <c r="K118" s="9"/>
    </row>
    <row r="119" spans="1:11" x14ac:dyDescent="0.25">
      <c r="A119" s="8">
        <v>117</v>
      </c>
      <c r="B119" s="9" t="s">
        <v>245</v>
      </c>
      <c r="C119" s="9" t="s">
        <v>12</v>
      </c>
      <c r="D119" s="9" t="s">
        <v>13</v>
      </c>
      <c r="E119" s="9" t="s">
        <v>246</v>
      </c>
      <c r="F119" s="9" t="s">
        <v>15</v>
      </c>
      <c r="G119" s="16">
        <v>5719</v>
      </c>
      <c r="H119" s="2"/>
      <c r="I119" s="15">
        <v>5719</v>
      </c>
      <c r="J119" s="10">
        <v>0</v>
      </c>
      <c r="K119" s="9"/>
    </row>
    <row r="120" spans="1:11" x14ac:dyDescent="0.25">
      <c r="A120" s="8">
        <v>118</v>
      </c>
      <c r="B120" s="9" t="s">
        <v>247</v>
      </c>
      <c r="C120" s="9" t="s">
        <v>12</v>
      </c>
      <c r="D120" s="9" t="s">
        <v>13</v>
      </c>
      <c r="E120" s="9" t="s">
        <v>248</v>
      </c>
      <c r="F120" s="9" t="s">
        <v>15</v>
      </c>
      <c r="G120" s="16">
        <v>75</v>
      </c>
      <c r="H120" s="2"/>
      <c r="I120" s="15">
        <v>75</v>
      </c>
      <c r="J120" s="10">
        <v>0</v>
      </c>
      <c r="K120" s="9"/>
    </row>
    <row r="121" spans="1:11" x14ac:dyDescent="0.25">
      <c r="A121" s="8">
        <v>119</v>
      </c>
      <c r="B121" s="9" t="s">
        <v>249</v>
      </c>
      <c r="C121" s="9" t="s">
        <v>12</v>
      </c>
      <c r="D121" s="9" t="s">
        <v>13</v>
      </c>
      <c r="E121" s="9" t="s">
        <v>250</v>
      </c>
      <c r="F121" s="9" t="s">
        <v>15</v>
      </c>
      <c r="G121" s="16">
        <v>45</v>
      </c>
      <c r="H121" s="2"/>
      <c r="I121" s="15">
        <v>45</v>
      </c>
      <c r="J121" s="10">
        <v>0</v>
      </c>
      <c r="K121" s="9"/>
    </row>
    <row r="122" spans="1:11" x14ac:dyDescent="0.25">
      <c r="A122" s="8">
        <v>120</v>
      </c>
      <c r="B122" s="9" t="s">
        <v>251</v>
      </c>
      <c r="C122" s="9" t="s">
        <v>12</v>
      </c>
      <c r="D122" s="9" t="s">
        <v>13</v>
      </c>
      <c r="E122" s="9" t="s">
        <v>252</v>
      </c>
      <c r="F122" s="9" t="s">
        <v>15</v>
      </c>
      <c r="G122" s="16">
        <v>18426</v>
      </c>
      <c r="H122" s="2"/>
      <c r="I122" s="15">
        <v>18426</v>
      </c>
      <c r="J122" s="10">
        <v>0</v>
      </c>
      <c r="K122" s="9"/>
    </row>
    <row r="123" spans="1:11" x14ac:dyDescent="0.25">
      <c r="A123" s="8">
        <v>121</v>
      </c>
      <c r="B123" s="9" t="s">
        <v>253</v>
      </c>
      <c r="C123" s="9" t="s">
        <v>12</v>
      </c>
      <c r="D123" s="9" t="s">
        <v>13</v>
      </c>
      <c r="E123" s="9" t="s">
        <v>254</v>
      </c>
      <c r="F123" s="9" t="s">
        <v>15</v>
      </c>
      <c r="G123" s="16">
        <v>72</v>
      </c>
      <c r="H123" s="2"/>
      <c r="I123" s="15">
        <v>72</v>
      </c>
      <c r="J123" s="10">
        <v>0</v>
      </c>
      <c r="K123" s="9"/>
    </row>
    <row r="124" spans="1:11" x14ac:dyDescent="0.25">
      <c r="A124" s="8">
        <v>122</v>
      </c>
      <c r="B124" s="9" t="s">
        <v>255</v>
      </c>
      <c r="C124" s="9" t="s">
        <v>12</v>
      </c>
      <c r="D124" s="9" t="s">
        <v>13</v>
      </c>
      <c r="E124" s="9" t="s">
        <v>256</v>
      </c>
      <c r="F124" s="9" t="s">
        <v>15</v>
      </c>
      <c r="G124" s="16">
        <v>700</v>
      </c>
      <c r="H124" s="2"/>
      <c r="I124" s="15">
        <v>700</v>
      </c>
      <c r="J124" s="10">
        <v>0</v>
      </c>
      <c r="K124" s="9"/>
    </row>
    <row r="125" spans="1:11" x14ac:dyDescent="0.25">
      <c r="A125" s="8">
        <v>123</v>
      </c>
      <c r="B125" s="9" t="s">
        <v>257</v>
      </c>
      <c r="C125" s="9" t="s">
        <v>12</v>
      </c>
      <c r="D125" s="9" t="s">
        <v>13</v>
      </c>
      <c r="E125" s="9" t="s">
        <v>258</v>
      </c>
      <c r="F125" s="9" t="s">
        <v>15</v>
      </c>
      <c r="G125" s="16">
        <v>634</v>
      </c>
      <c r="H125" s="2"/>
      <c r="I125" s="15">
        <v>634</v>
      </c>
      <c r="J125" s="10">
        <v>0</v>
      </c>
      <c r="K125" s="9"/>
    </row>
    <row r="126" spans="1:11" x14ac:dyDescent="0.25">
      <c r="A126" s="8">
        <v>124</v>
      </c>
      <c r="B126" s="9" t="s">
        <v>259</v>
      </c>
      <c r="C126" s="9" t="s">
        <v>12</v>
      </c>
      <c r="D126" s="9" t="s">
        <v>13</v>
      </c>
      <c r="E126" s="9" t="s">
        <v>260</v>
      </c>
      <c r="F126" s="9" t="s">
        <v>15</v>
      </c>
      <c r="G126" s="16">
        <v>1630</v>
      </c>
      <c r="H126" s="2"/>
      <c r="I126" s="15">
        <v>1630</v>
      </c>
      <c r="J126" s="10">
        <v>0</v>
      </c>
      <c r="K126" s="9"/>
    </row>
    <row r="127" spans="1:11" x14ac:dyDescent="0.25">
      <c r="A127" s="8">
        <v>125</v>
      </c>
      <c r="B127" s="9" t="s">
        <v>261</v>
      </c>
      <c r="C127" s="9" t="s">
        <v>12</v>
      </c>
      <c r="D127" s="9" t="s">
        <v>13</v>
      </c>
      <c r="E127" s="9" t="s">
        <v>262</v>
      </c>
      <c r="F127" s="9" t="s">
        <v>15</v>
      </c>
      <c r="G127" s="16">
        <v>1080</v>
      </c>
      <c r="H127" s="2"/>
      <c r="I127" s="15">
        <v>1080</v>
      </c>
      <c r="J127" s="10"/>
      <c r="K127" s="9"/>
    </row>
    <row r="128" spans="1:11" x14ac:dyDescent="0.25">
      <c r="A128" s="8">
        <v>126</v>
      </c>
      <c r="B128" s="9" t="s">
        <v>263</v>
      </c>
      <c r="C128" s="9" t="s">
        <v>12</v>
      </c>
      <c r="D128" s="9" t="s">
        <v>13</v>
      </c>
      <c r="E128" s="9" t="s">
        <v>264</v>
      </c>
      <c r="F128" s="9" t="s">
        <v>15</v>
      </c>
      <c r="G128" s="16">
        <v>892</v>
      </c>
      <c r="H128" s="2"/>
      <c r="I128" s="15">
        <v>892</v>
      </c>
      <c r="J128" s="10"/>
      <c r="K128" s="9"/>
    </row>
    <row r="129" spans="1:11" x14ac:dyDescent="0.25">
      <c r="A129" s="8">
        <v>127</v>
      </c>
      <c r="B129" s="9" t="s">
        <v>265</v>
      </c>
      <c r="C129" s="9" t="s">
        <v>12</v>
      </c>
      <c r="D129" s="9" t="s">
        <v>13</v>
      </c>
      <c r="E129" s="9" t="s">
        <v>266</v>
      </c>
      <c r="F129" s="9" t="s">
        <v>15</v>
      </c>
      <c r="G129" s="16">
        <v>834</v>
      </c>
      <c r="H129" s="2"/>
      <c r="I129" s="15">
        <v>834</v>
      </c>
      <c r="J129" s="10"/>
      <c r="K129" s="9"/>
    </row>
    <row r="130" spans="1:11" x14ac:dyDescent="0.25">
      <c r="A130" s="8">
        <v>128</v>
      </c>
      <c r="B130" s="9" t="s">
        <v>267</v>
      </c>
      <c r="C130" s="9" t="s">
        <v>12</v>
      </c>
      <c r="D130" s="9" t="s">
        <v>13</v>
      </c>
      <c r="E130" s="9" t="s">
        <v>268</v>
      </c>
      <c r="F130" s="9" t="s">
        <v>15</v>
      </c>
      <c r="G130" s="16">
        <v>464</v>
      </c>
      <c r="H130" s="2"/>
      <c r="I130" s="15">
        <v>464</v>
      </c>
      <c r="J130" s="10"/>
      <c r="K130" s="9"/>
    </row>
    <row r="131" spans="1:11" x14ac:dyDescent="0.25">
      <c r="A131" s="8">
        <v>129</v>
      </c>
      <c r="B131" s="9" t="s">
        <v>269</v>
      </c>
      <c r="C131" s="9" t="s">
        <v>12</v>
      </c>
      <c r="D131" s="9" t="s">
        <v>13</v>
      </c>
      <c r="E131" s="9" t="s">
        <v>270</v>
      </c>
      <c r="F131" s="9" t="s">
        <v>15</v>
      </c>
      <c r="G131" s="16">
        <v>24000</v>
      </c>
      <c r="H131" s="2"/>
      <c r="I131" s="15">
        <v>24000</v>
      </c>
      <c r="J131" s="10"/>
      <c r="K131" s="9"/>
    </row>
    <row r="132" spans="1:11" x14ac:dyDescent="0.25">
      <c r="A132" s="8">
        <v>130</v>
      </c>
      <c r="B132" s="9" t="s">
        <v>271</v>
      </c>
      <c r="C132" s="9" t="s">
        <v>12</v>
      </c>
      <c r="D132" s="9" t="s">
        <v>13</v>
      </c>
      <c r="E132" s="9" t="s">
        <v>272</v>
      </c>
      <c r="F132" s="9" t="s">
        <v>15</v>
      </c>
      <c r="G132" s="16">
        <v>52000</v>
      </c>
      <c r="H132" s="2"/>
      <c r="I132" s="15">
        <v>52000</v>
      </c>
      <c r="J132" s="10"/>
      <c r="K132" s="9"/>
    </row>
    <row r="133" spans="1:11" x14ac:dyDescent="0.25">
      <c r="A133" s="8">
        <v>131</v>
      </c>
      <c r="B133" s="9" t="s">
        <v>273</v>
      </c>
      <c r="C133" s="9" t="s">
        <v>12</v>
      </c>
      <c r="D133" s="9" t="s">
        <v>13</v>
      </c>
      <c r="E133" s="9" t="s">
        <v>274</v>
      </c>
      <c r="F133" s="9" t="s">
        <v>15</v>
      </c>
      <c r="G133" s="16">
        <v>934</v>
      </c>
      <c r="H133" s="2"/>
      <c r="I133" s="15">
        <v>934</v>
      </c>
      <c r="J133" s="10"/>
      <c r="K133" s="9"/>
    </row>
    <row r="134" spans="1:11" x14ac:dyDescent="0.25">
      <c r="A134" s="8">
        <v>132</v>
      </c>
      <c r="B134" s="9" t="s">
        <v>275</v>
      </c>
      <c r="C134" s="9" t="s">
        <v>12</v>
      </c>
      <c r="D134" s="9" t="s">
        <v>13</v>
      </c>
      <c r="E134" s="9" t="s">
        <v>276</v>
      </c>
      <c r="F134" s="9" t="s">
        <v>15</v>
      </c>
      <c r="G134" s="16">
        <v>834</v>
      </c>
      <c r="H134" s="2"/>
      <c r="I134" s="15">
        <v>834</v>
      </c>
      <c r="J134" s="10"/>
      <c r="K134" s="9"/>
    </row>
    <row r="135" spans="1:11" x14ac:dyDescent="0.25">
      <c r="A135" s="8">
        <v>133</v>
      </c>
      <c r="B135" s="9" t="s">
        <v>277</v>
      </c>
      <c r="C135" s="9" t="s">
        <v>12</v>
      </c>
      <c r="D135" s="9" t="s">
        <v>13</v>
      </c>
      <c r="E135" s="9" t="s">
        <v>278</v>
      </c>
      <c r="F135" s="9" t="s">
        <v>15</v>
      </c>
      <c r="G135" s="16">
        <v>1076</v>
      </c>
      <c r="H135" s="2"/>
      <c r="I135" s="15">
        <v>1076</v>
      </c>
      <c r="J135" s="10"/>
      <c r="K135" s="9"/>
    </row>
    <row r="136" spans="1:11" x14ac:dyDescent="0.25">
      <c r="A136" s="8">
        <v>134</v>
      </c>
      <c r="B136" s="9" t="s">
        <v>279</v>
      </c>
      <c r="C136" s="9" t="s">
        <v>12</v>
      </c>
      <c r="D136" s="9" t="s">
        <v>13</v>
      </c>
      <c r="E136" s="9" t="s">
        <v>280</v>
      </c>
      <c r="F136" s="9" t="s">
        <v>15</v>
      </c>
      <c r="G136" s="16">
        <v>2148</v>
      </c>
      <c r="H136" s="2"/>
      <c r="I136" s="15">
        <v>2148</v>
      </c>
      <c r="J136" s="10"/>
      <c r="K136" s="9"/>
    </row>
    <row r="137" spans="1:11" x14ac:dyDescent="0.25">
      <c r="A137" s="8">
        <v>135</v>
      </c>
      <c r="B137" s="9" t="s">
        <v>281</v>
      </c>
      <c r="C137" s="9" t="s">
        <v>12</v>
      </c>
      <c r="D137" s="9" t="s">
        <v>13</v>
      </c>
      <c r="E137" s="9" t="s">
        <v>282</v>
      </c>
      <c r="F137" s="9" t="s">
        <v>15</v>
      </c>
      <c r="G137" s="16">
        <v>14280</v>
      </c>
      <c r="H137" s="2"/>
      <c r="I137" s="15">
        <v>14280</v>
      </c>
      <c r="J137" s="10"/>
      <c r="K137" s="9"/>
    </row>
    <row r="138" spans="1:11" x14ac:dyDescent="0.25">
      <c r="A138" s="8">
        <v>136</v>
      </c>
      <c r="B138" s="9" t="s">
        <v>283</v>
      </c>
      <c r="C138" s="9" t="s">
        <v>12</v>
      </c>
      <c r="D138" s="9" t="s">
        <v>13</v>
      </c>
      <c r="E138" s="9" t="s">
        <v>284</v>
      </c>
      <c r="F138" s="9" t="s">
        <v>15</v>
      </c>
      <c r="G138" s="16">
        <v>5460</v>
      </c>
      <c r="H138" s="2"/>
      <c r="I138" s="15">
        <v>5460</v>
      </c>
      <c r="J138" s="10"/>
      <c r="K138" s="9"/>
    </row>
    <row r="139" spans="1:11" x14ac:dyDescent="0.25">
      <c r="A139" s="8">
        <v>137</v>
      </c>
      <c r="B139" s="9" t="s">
        <v>285</v>
      </c>
      <c r="C139" s="9" t="s">
        <v>12</v>
      </c>
      <c r="D139" s="9" t="s">
        <v>13</v>
      </c>
      <c r="E139" s="9" t="s">
        <v>286</v>
      </c>
      <c r="F139" s="9" t="s">
        <v>15</v>
      </c>
      <c r="G139" s="16">
        <v>152</v>
      </c>
      <c r="H139" s="2"/>
      <c r="I139" s="15">
        <v>152</v>
      </c>
      <c r="J139" s="10"/>
      <c r="K139" s="9"/>
    </row>
    <row r="140" spans="1:11" x14ac:dyDescent="0.25">
      <c r="A140" s="8">
        <v>138</v>
      </c>
      <c r="B140" s="9" t="s">
        <v>287</v>
      </c>
      <c r="C140" s="9" t="s">
        <v>12</v>
      </c>
      <c r="D140" s="9" t="s">
        <v>13</v>
      </c>
      <c r="E140" s="9" t="s">
        <v>288</v>
      </c>
      <c r="F140" s="9" t="s">
        <v>15</v>
      </c>
      <c r="G140" s="16">
        <v>5920</v>
      </c>
      <c r="H140" s="2"/>
      <c r="I140" s="15">
        <v>5920</v>
      </c>
      <c r="J140" s="10"/>
      <c r="K140" s="9"/>
    </row>
    <row r="141" spans="1:11" x14ac:dyDescent="0.25">
      <c r="A141" s="8">
        <v>139</v>
      </c>
      <c r="B141" s="9" t="s">
        <v>289</v>
      </c>
      <c r="C141" s="9" t="s">
        <v>12</v>
      </c>
      <c r="D141" s="9" t="s">
        <v>13</v>
      </c>
      <c r="E141" s="9" t="s">
        <v>290</v>
      </c>
      <c r="F141" s="9" t="s">
        <v>15</v>
      </c>
      <c r="G141" s="16">
        <v>1024</v>
      </c>
      <c r="H141" s="2"/>
      <c r="I141" s="15">
        <v>1024</v>
      </c>
      <c r="J141" s="10"/>
      <c r="K141" s="9"/>
    </row>
    <row r="142" spans="1:11" x14ac:dyDescent="0.25">
      <c r="A142" s="8">
        <v>140</v>
      </c>
      <c r="B142" s="9" t="s">
        <v>291</v>
      </c>
      <c r="C142" s="9" t="s">
        <v>12</v>
      </c>
      <c r="D142" s="9" t="s">
        <v>13</v>
      </c>
      <c r="E142" s="9" t="s">
        <v>292</v>
      </c>
      <c r="F142" s="9" t="s">
        <v>15</v>
      </c>
      <c r="G142" s="16">
        <v>1672</v>
      </c>
      <c r="H142" s="2"/>
      <c r="I142" s="15">
        <v>1672</v>
      </c>
      <c r="J142" s="10"/>
      <c r="K142" s="9"/>
    </row>
    <row r="143" spans="1:11" x14ac:dyDescent="0.25">
      <c r="A143" s="8">
        <v>141</v>
      </c>
      <c r="B143" s="9" t="s">
        <v>293</v>
      </c>
      <c r="C143" s="9" t="s">
        <v>12</v>
      </c>
      <c r="D143" s="9" t="s">
        <v>13</v>
      </c>
      <c r="E143" s="9" t="s">
        <v>294</v>
      </c>
      <c r="F143" s="9" t="s">
        <v>15</v>
      </c>
      <c r="G143" s="16">
        <v>1010</v>
      </c>
      <c r="H143" s="2"/>
      <c r="I143" s="15">
        <v>1010</v>
      </c>
      <c r="J143" s="10"/>
      <c r="K143" s="9"/>
    </row>
    <row r="144" spans="1:11" x14ac:dyDescent="0.25">
      <c r="A144" s="8">
        <v>142</v>
      </c>
      <c r="B144" s="9" t="s">
        <v>295</v>
      </c>
      <c r="C144" s="9" t="s">
        <v>12</v>
      </c>
      <c r="D144" s="9" t="s">
        <v>13</v>
      </c>
      <c r="E144" s="9" t="s">
        <v>296</v>
      </c>
      <c r="F144" s="9" t="s">
        <v>15</v>
      </c>
      <c r="G144" s="16">
        <v>4</v>
      </c>
      <c r="H144" s="2"/>
      <c r="I144" s="15">
        <v>4</v>
      </c>
      <c r="J144" s="10"/>
      <c r="K144" s="9"/>
    </row>
    <row r="145" spans="1:11" x14ac:dyDescent="0.25">
      <c r="A145" s="8">
        <v>143</v>
      </c>
      <c r="B145" s="9" t="s">
        <v>297</v>
      </c>
      <c r="C145" s="9" t="s">
        <v>12</v>
      </c>
      <c r="D145" s="9" t="s">
        <v>13</v>
      </c>
      <c r="E145" s="9" t="s">
        <v>298</v>
      </c>
      <c r="F145" s="9" t="s">
        <v>15</v>
      </c>
      <c r="G145" s="16">
        <v>882</v>
      </c>
      <c r="H145" s="2"/>
      <c r="I145" s="15">
        <v>882</v>
      </c>
      <c r="J145" s="10"/>
      <c r="K145" s="9"/>
    </row>
    <row r="146" spans="1:11" x14ac:dyDescent="0.25">
      <c r="A146" s="8">
        <v>144</v>
      </c>
      <c r="B146" s="9" t="s">
        <v>299</v>
      </c>
      <c r="C146" s="9" t="s">
        <v>12</v>
      </c>
      <c r="D146" s="9" t="s">
        <v>13</v>
      </c>
      <c r="E146" s="9" t="s">
        <v>300</v>
      </c>
      <c r="F146" s="9" t="s">
        <v>15</v>
      </c>
      <c r="G146" s="16">
        <v>1166</v>
      </c>
      <c r="H146" s="2"/>
      <c r="I146" s="15">
        <v>1166</v>
      </c>
      <c r="J146" s="10"/>
      <c r="K146" s="9"/>
    </row>
    <row r="147" spans="1:11" x14ac:dyDescent="0.25">
      <c r="A147" s="8">
        <v>145</v>
      </c>
      <c r="B147" s="9" t="s">
        <v>301</v>
      </c>
      <c r="C147" s="9" t="s">
        <v>12</v>
      </c>
      <c r="D147" s="9" t="s">
        <v>13</v>
      </c>
      <c r="E147" s="9" t="s">
        <v>302</v>
      </c>
      <c r="F147" s="9" t="s">
        <v>15</v>
      </c>
      <c r="G147" s="16">
        <v>644</v>
      </c>
      <c r="H147" s="2"/>
      <c r="I147" s="15">
        <v>644</v>
      </c>
      <c r="J147" s="10"/>
      <c r="K147" s="9"/>
    </row>
    <row r="148" spans="1:11" x14ac:dyDescent="0.25">
      <c r="A148" s="8">
        <v>146</v>
      </c>
      <c r="B148" s="9" t="s">
        <v>303</v>
      </c>
      <c r="C148" s="9" t="s">
        <v>12</v>
      </c>
      <c r="D148" s="9" t="s">
        <v>13</v>
      </c>
      <c r="E148" s="9" t="s">
        <v>304</v>
      </c>
      <c r="F148" s="9" t="s">
        <v>15</v>
      </c>
      <c r="G148" s="16">
        <v>914</v>
      </c>
      <c r="H148" s="2"/>
      <c r="I148" s="15">
        <v>914</v>
      </c>
      <c r="J148" s="10"/>
      <c r="K148" s="9"/>
    </row>
    <row r="149" spans="1:11" x14ac:dyDescent="0.25">
      <c r="A149" s="8">
        <v>147</v>
      </c>
      <c r="B149" s="9" t="s">
        <v>305</v>
      </c>
      <c r="C149" s="9" t="s">
        <v>12</v>
      </c>
      <c r="D149" s="9" t="s">
        <v>13</v>
      </c>
      <c r="E149" s="9" t="s">
        <v>306</v>
      </c>
      <c r="F149" s="9" t="s">
        <v>15</v>
      </c>
      <c r="G149" s="16">
        <v>7992</v>
      </c>
      <c r="H149" s="2"/>
      <c r="I149" s="15">
        <v>7992</v>
      </c>
      <c r="J149" s="10"/>
      <c r="K149" s="9"/>
    </row>
    <row r="150" spans="1:11" x14ac:dyDescent="0.25">
      <c r="A150" s="8">
        <v>148</v>
      </c>
      <c r="B150" s="9" t="s">
        <v>307</v>
      </c>
      <c r="C150" s="9" t="s">
        <v>12</v>
      </c>
      <c r="D150" s="9" t="s">
        <v>13</v>
      </c>
      <c r="E150" s="9" t="s">
        <v>308</v>
      </c>
      <c r="F150" s="9" t="s">
        <v>15</v>
      </c>
      <c r="G150" s="16">
        <v>2400</v>
      </c>
      <c r="H150" s="2"/>
      <c r="I150" s="15">
        <v>2400</v>
      </c>
      <c r="J150" s="10"/>
      <c r="K150" s="9"/>
    </row>
    <row r="151" spans="1:11" x14ac:dyDescent="0.25">
      <c r="A151" s="8">
        <v>149</v>
      </c>
      <c r="B151" s="9" t="s">
        <v>169</v>
      </c>
      <c r="C151" s="9" t="s">
        <v>12</v>
      </c>
      <c r="D151" s="9" t="s">
        <v>309</v>
      </c>
      <c r="E151" s="9" t="s">
        <v>170</v>
      </c>
      <c r="F151" s="9" t="s">
        <v>15</v>
      </c>
      <c r="G151" s="16">
        <v>0</v>
      </c>
      <c r="H151" s="2"/>
      <c r="I151" s="15">
        <v>0</v>
      </c>
      <c r="J151" s="10"/>
      <c r="K151" s="9"/>
    </row>
    <row r="152" spans="1:11" x14ac:dyDescent="0.25">
      <c r="A152" s="8">
        <v>150</v>
      </c>
      <c r="B152" s="9" t="s">
        <v>201</v>
      </c>
      <c r="C152" s="9" t="s">
        <v>12</v>
      </c>
      <c r="D152" s="9" t="s">
        <v>309</v>
      </c>
      <c r="E152" s="9" t="s">
        <v>202</v>
      </c>
      <c r="F152" s="9" t="s">
        <v>15</v>
      </c>
      <c r="G152" s="16">
        <v>0</v>
      </c>
      <c r="H152" s="2"/>
      <c r="I152" s="15">
        <v>0</v>
      </c>
      <c r="J152" s="10"/>
      <c r="K152" s="9"/>
    </row>
    <row r="153" spans="1:11" x14ac:dyDescent="0.25">
      <c r="A153" s="8">
        <v>151</v>
      </c>
      <c r="B153" s="9" t="s">
        <v>310</v>
      </c>
      <c r="C153" s="9" t="s">
        <v>12</v>
      </c>
      <c r="D153" s="9" t="s">
        <v>309</v>
      </c>
      <c r="E153" s="9" t="s">
        <v>311</v>
      </c>
      <c r="F153" s="9" t="s">
        <v>15</v>
      </c>
      <c r="G153" s="16">
        <v>0</v>
      </c>
      <c r="H153" s="2"/>
      <c r="I153" s="15">
        <v>0</v>
      </c>
      <c r="J153" s="10"/>
      <c r="K153" s="9"/>
    </row>
    <row r="154" spans="1:11" x14ac:dyDescent="0.25">
      <c r="A154" s="8">
        <v>152</v>
      </c>
      <c r="B154" s="9" t="s">
        <v>223</v>
      </c>
      <c r="C154" s="9" t="s">
        <v>12</v>
      </c>
      <c r="D154" s="9" t="s">
        <v>309</v>
      </c>
      <c r="E154" s="9" t="s">
        <v>224</v>
      </c>
      <c r="F154" s="9" t="s">
        <v>15</v>
      </c>
      <c r="G154" s="16">
        <v>0</v>
      </c>
      <c r="H154" s="2"/>
      <c r="I154" s="15">
        <v>0</v>
      </c>
      <c r="J154" s="10"/>
      <c r="K154" s="9"/>
    </row>
    <row r="155" spans="1:11" x14ac:dyDescent="0.25">
      <c r="A155" s="8">
        <v>153</v>
      </c>
      <c r="B155" s="9" t="s">
        <v>312</v>
      </c>
      <c r="C155" s="9" t="s">
        <v>12</v>
      </c>
      <c r="D155" s="9" t="s">
        <v>309</v>
      </c>
      <c r="E155" s="9" t="s">
        <v>313</v>
      </c>
      <c r="F155" s="9" t="s">
        <v>15</v>
      </c>
      <c r="G155" s="16">
        <v>0</v>
      </c>
      <c r="H155" s="2"/>
      <c r="I155" s="15">
        <v>0</v>
      </c>
      <c r="J155" s="10"/>
      <c r="K155" s="9"/>
    </row>
    <row r="156" spans="1:11" x14ac:dyDescent="0.25">
      <c r="A156" s="8">
        <v>154</v>
      </c>
      <c r="B156" s="9" t="s">
        <v>314</v>
      </c>
      <c r="C156" s="9" t="s">
        <v>12</v>
      </c>
      <c r="D156" s="9" t="s">
        <v>309</v>
      </c>
      <c r="E156" s="9" t="s">
        <v>315</v>
      </c>
      <c r="F156" s="9" t="s">
        <v>15</v>
      </c>
      <c r="G156" s="16">
        <v>0</v>
      </c>
      <c r="H156" s="2"/>
      <c r="I156" s="15">
        <v>0</v>
      </c>
      <c r="J156" s="10"/>
      <c r="K156" s="9"/>
    </row>
    <row r="157" spans="1:11" x14ac:dyDescent="0.25">
      <c r="A157" s="8">
        <v>155</v>
      </c>
      <c r="B157" s="9" t="s">
        <v>63</v>
      </c>
      <c r="C157" s="9" t="s">
        <v>12</v>
      </c>
      <c r="D157" s="9" t="s">
        <v>316</v>
      </c>
      <c r="E157" s="9" t="s">
        <v>64</v>
      </c>
      <c r="F157" s="9" t="s">
        <v>15</v>
      </c>
      <c r="G157" s="16">
        <v>0</v>
      </c>
      <c r="H157" s="2"/>
      <c r="I157" s="15">
        <v>0</v>
      </c>
      <c r="J157" s="10"/>
      <c r="K157" s="9"/>
    </row>
    <row r="158" spans="1:11" x14ac:dyDescent="0.25">
      <c r="A158" s="8">
        <v>156</v>
      </c>
      <c r="B158" s="9" t="s">
        <v>141</v>
      </c>
      <c r="C158" s="9" t="s">
        <v>12</v>
      </c>
      <c r="D158" s="9" t="s">
        <v>316</v>
      </c>
      <c r="E158" s="9" t="s">
        <v>142</v>
      </c>
      <c r="F158" s="9" t="s">
        <v>15</v>
      </c>
      <c r="G158" s="16">
        <v>0</v>
      </c>
      <c r="H158" s="2"/>
      <c r="I158" s="15">
        <v>0</v>
      </c>
      <c r="J158" s="10"/>
      <c r="K158" s="9"/>
    </row>
    <row r="159" spans="1:11" x14ac:dyDescent="0.25">
      <c r="A159" s="8">
        <v>157</v>
      </c>
      <c r="B159" s="9" t="s">
        <v>145</v>
      </c>
      <c r="C159" s="9" t="s">
        <v>12</v>
      </c>
      <c r="D159" s="9" t="s">
        <v>316</v>
      </c>
      <c r="E159" s="9" t="s">
        <v>146</v>
      </c>
      <c r="F159" s="9" t="s">
        <v>15</v>
      </c>
      <c r="G159" s="16">
        <v>0</v>
      </c>
      <c r="H159" s="2"/>
      <c r="I159" s="15">
        <v>0</v>
      </c>
      <c r="J159" s="10"/>
      <c r="K159" s="9"/>
    </row>
    <row r="160" spans="1:11" x14ac:dyDescent="0.25">
      <c r="A160" s="8">
        <v>158</v>
      </c>
      <c r="B160" s="9" t="s">
        <v>24</v>
      </c>
      <c r="C160" s="9" t="s">
        <v>12</v>
      </c>
      <c r="D160" s="9" t="s">
        <v>317</v>
      </c>
      <c r="E160" s="9" t="s">
        <v>25</v>
      </c>
      <c r="F160" s="9" t="s">
        <v>15</v>
      </c>
      <c r="G160" s="16">
        <v>0</v>
      </c>
      <c r="H160" s="2"/>
      <c r="I160" s="15">
        <v>0</v>
      </c>
      <c r="J160" s="10"/>
      <c r="K160" s="9"/>
    </row>
    <row r="161" spans="1:11" x14ac:dyDescent="0.25">
      <c r="A161" s="8">
        <v>159</v>
      </c>
      <c r="B161" s="9" t="s">
        <v>67</v>
      </c>
      <c r="C161" s="9" t="s">
        <v>12</v>
      </c>
      <c r="D161" s="9" t="s">
        <v>317</v>
      </c>
      <c r="E161" s="9" t="s">
        <v>68</v>
      </c>
      <c r="F161" s="9" t="s">
        <v>15</v>
      </c>
      <c r="G161" s="16">
        <v>0</v>
      </c>
      <c r="H161" s="2"/>
      <c r="I161" s="15">
        <v>0</v>
      </c>
      <c r="J161" s="10"/>
      <c r="K161" s="9"/>
    </row>
    <row r="162" spans="1:11" x14ac:dyDescent="0.25">
      <c r="A162" s="8">
        <v>160</v>
      </c>
      <c r="B162" s="9" t="s">
        <v>318</v>
      </c>
      <c r="C162" s="9" t="s">
        <v>12</v>
      </c>
      <c r="D162" s="9" t="s">
        <v>317</v>
      </c>
      <c r="E162" s="9" t="s">
        <v>319</v>
      </c>
      <c r="F162" s="9" t="s">
        <v>15</v>
      </c>
      <c r="G162" s="16">
        <v>0</v>
      </c>
      <c r="H162" s="2"/>
      <c r="I162" s="15">
        <v>0</v>
      </c>
      <c r="J162" s="10"/>
      <c r="K162" s="9"/>
    </row>
    <row r="163" spans="1:11" x14ac:dyDescent="0.25">
      <c r="A163" s="8">
        <v>161</v>
      </c>
      <c r="B163" s="9" t="s">
        <v>107</v>
      </c>
      <c r="C163" s="9" t="s">
        <v>12</v>
      </c>
      <c r="D163" s="9" t="s">
        <v>317</v>
      </c>
      <c r="E163" s="9" t="s">
        <v>108</v>
      </c>
      <c r="F163" s="9" t="s">
        <v>15</v>
      </c>
      <c r="G163" s="16">
        <v>0</v>
      </c>
      <c r="H163" s="2"/>
      <c r="I163" s="15">
        <v>0</v>
      </c>
      <c r="J163" s="10"/>
      <c r="K163" s="9"/>
    </row>
    <row r="164" spans="1:11" x14ac:dyDescent="0.25">
      <c r="A164" s="8">
        <v>162</v>
      </c>
      <c r="B164" s="9" t="s">
        <v>109</v>
      </c>
      <c r="C164" s="9" t="s">
        <v>12</v>
      </c>
      <c r="D164" s="9" t="s">
        <v>317</v>
      </c>
      <c r="E164" s="9" t="s">
        <v>110</v>
      </c>
      <c r="F164" s="9" t="s">
        <v>15</v>
      </c>
      <c r="G164" s="16">
        <v>0</v>
      </c>
      <c r="H164" s="2"/>
      <c r="I164" s="15">
        <v>0</v>
      </c>
      <c r="J164" s="10"/>
      <c r="K164" s="9"/>
    </row>
    <row r="165" spans="1:11" x14ac:dyDescent="0.25">
      <c r="A165" s="8">
        <v>163</v>
      </c>
      <c r="B165" s="9" t="s">
        <v>111</v>
      </c>
      <c r="C165" s="9" t="s">
        <v>12</v>
      </c>
      <c r="D165" s="9" t="s">
        <v>317</v>
      </c>
      <c r="E165" s="9" t="s">
        <v>112</v>
      </c>
      <c r="F165" s="9" t="s">
        <v>15</v>
      </c>
      <c r="G165" s="16">
        <v>0</v>
      </c>
      <c r="H165" s="2"/>
      <c r="I165" s="15">
        <v>0</v>
      </c>
      <c r="J165" s="10"/>
      <c r="K165" s="9"/>
    </row>
    <row r="166" spans="1:11" x14ac:dyDescent="0.25">
      <c r="A166" s="8">
        <v>164</v>
      </c>
      <c r="B166" s="9" t="s">
        <v>117</v>
      </c>
      <c r="C166" s="9" t="s">
        <v>12</v>
      </c>
      <c r="D166" s="9" t="s">
        <v>317</v>
      </c>
      <c r="E166" s="9" t="s">
        <v>118</v>
      </c>
      <c r="F166" s="9" t="s">
        <v>15</v>
      </c>
      <c r="G166" s="16">
        <v>0</v>
      </c>
      <c r="H166" s="2"/>
      <c r="I166" s="15">
        <v>0</v>
      </c>
      <c r="J166" s="10"/>
      <c r="K166" s="9"/>
    </row>
    <row r="167" spans="1:11" x14ac:dyDescent="0.25">
      <c r="A167" s="8">
        <v>165</v>
      </c>
      <c r="B167" s="9" t="s">
        <v>141</v>
      </c>
      <c r="C167" s="9" t="s">
        <v>12</v>
      </c>
      <c r="D167" s="9" t="s">
        <v>317</v>
      </c>
      <c r="E167" s="9" t="s">
        <v>142</v>
      </c>
      <c r="F167" s="9" t="s">
        <v>15</v>
      </c>
      <c r="G167" s="16">
        <v>0</v>
      </c>
      <c r="H167" s="2"/>
      <c r="I167" s="15">
        <v>0</v>
      </c>
      <c r="J167" s="10"/>
      <c r="K167" s="9"/>
    </row>
    <row r="168" spans="1:11" x14ac:dyDescent="0.25">
      <c r="A168" s="8">
        <v>166</v>
      </c>
      <c r="B168" s="9" t="s">
        <v>320</v>
      </c>
      <c r="C168" s="9" t="s">
        <v>12</v>
      </c>
      <c r="D168" s="9" t="s">
        <v>317</v>
      </c>
      <c r="E168" s="9" t="s">
        <v>321</v>
      </c>
      <c r="F168" s="9" t="s">
        <v>15</v>
      </c>
      <c r="G168" s="16">
        <v>0</v>
      </c>
      <c r="H168" s="2"/>
      <c r="I168" s="15">
        <v>0</v>
      </c>
      <c r="J168" s="10"/>
      <c r="K168" s="9"/>
    </row>
    <row r="169" spans="1:11" x14ac:dyDescent="0.25">
      <c r="A169" s="8">
        <v>167</v>
      </c>
      <c r="B169" s="9" t="s">
        <v>169</v>
      </c>
      <c r="C169" s="9" t="s">
        <v>12</v>
      </c>
      <c r="D169" s="9" t="s">
        <v>317</v>
      </c>
      <c r="E169" s="9" t="s">
        <v>170</v>
      </c>
      <c r="F169" s="9" t="s">
        <v>15</v>
      </c>
      <c r="G169" s="16">
        <v>0</v>
      </c>
      <c r="H169" s="2"/>
      <c r="I169" s="15">
        <v>0</v>
      </c>
      <c r="J169" s="10">
        <v>0</v>
      </c>
      <c r="K169" s="9"/>
    </row>
    <row r="170" spans="1:11" x14ac:dyDescent="0.25">
      <c r="A170" s="8">
        <v>168</v>
      </c>
      <c r="B170" s="9" t="s">
        <v>173</v>
      </c>
      <c r="C170" s="9" t="s">
        <v>12</v>
      </c>
      <c r="D170" s="9" t="s">
        <v>317</v>
      </c>
      <c r="E170" s="9" t="s">
        <v>174</v>
      </c>
      <c r="F170" s="9" t="s">
        <v>15</v>
      </c>
      <c r="G170" s="16">
        <v>0</v>
      </c>
      <c r="H170" s="2"/>
      <c r="I170" s="15">
        <v>0</v>
      </c>
      <c r="J170" s="10"/>
      <c r="K170" s="9"/>
    </row>
    <row r="171" spans="1:11" x14ac:dyDescent="0.25">
      <c r="A171" s="8">
        <v>169</v>
      </c>
      <c r="B171" s="9" t="s">
        <v>191</v>
      </c>
      <c r="C171" s="9" t="s">
        <v>12</v>
      </c>
      <c r="D171" s="9" t="s">
        <v>317</v>
      </c>
      <c r="E171" s="9" t="s">
        <v>192</v>
      </c>
      <c r="F171" s="9" t="s">
        <v>15</v>
      </c>
      <c r="G171" s="16">
        <v>0</v>
      </c>
      <c r="H171" s="2"/>
      <c r="I171" s="15">
        <v>0</v>
      </c>
      <c r="J171" s="10"/>
      <c r="K171" s="9"/>
    </row>
    <row r="172" spans="1:11" x14ac:dyDescent="0.25">
      <c r="A172" s="8">
        <v>170</v>
      </c>
      <c r="B172" s="9" t="s">
        <v>193</v>
      </c>
      <c r="C172" s="9" t="s">
        <v>12</v>
      </c>
      <c r="D172" s="9" t="s">
        <v>317</v>
      </c>
      <c r="E172" s="9" t="s">
        <v>194</v>
      </c>
      <c r="F172" s="9" t="s">
        <v>15</v>
      </c>
      <c r="G172" s="16">
        <v>0</v>
      </c>
      <c r="H172" s="2"/>
      <c r="I172" s="15">
        <v>0</v>
      </c>
      <c r="J172" s="10"/>
      <c r="K172" s="9"/>
    </row>
    <row r="173" spans="1:11" x14ac:dyDescent="0.25">
      <c r="A173" s="8">
        <v>171</v>
      </c>
      <c r="B173" s="9" t="s">
        <v>207</v>
      </c>
      <c r="C173" s="9" t="s">
        <v>12</v>
      </c>
      <c r="D173" s="9" t="s">
        <v>317</v>
      </c>
      <c r="E173" s="9" t="s">
        <v>208</v>
      </c>
      <c r="F173" s="9" t="s">
        <v>15</v>
      </c>
      <c r="G173" s="16">
        <v>0</v>
      </c>
      <c r="H173" s="2"/>
      <c r="I173" s="15">
        <v>0</v>
      </c>
      <c r="J173" s="10"/>
      <c r="K173" s="9"/>
    </row>
    <row r="174" spans="1:11" x14ac:dyDescent="0.25">
      <c r="A174" s="8">
        <v>172</v>
      </c>
      <c r="B174" s="9" t="s">
        <v>209</v>
      </c>
      <c r="C174" s="9" t="s">
        <v>12</v>
      </c>
      <c r="D174" s="9" t="s">
        <v>317</v>
      </c>
      <c r="E174" s="9" t="s">
        <v>210</v>
      </c>
      <c r="F174" s="9" t="s">
        <v>15</v>
      </c>
      <c r="G174" s="16">
        <v>0</v>
      </c>
      <c r="H174" s="2"/>
      <c r="I174" s="15">
        <v>0</v>
      </c>
      <c r="J174" s="10"/>
      <c r="K174" s="9"/>
    </row>
    <row r="175" spans="1:11" x14ac:dyDescent="0.25">
      <c r="A175" s="8">
        <v>173</v>
      </c>
      <c r="B175" s="9" t="s">
        <v>219</v>
      </c>
      <c r="C175" s="9" t="s">
        <v>12</v>
      </c>
      <c r="D175" s="9" t="s">
        <v>317</v>
      </c>
      <c r="E175" s="9" t="s">
        <v>220</v>
      </c>
      <c r="F175" s="9" t="s">
        <v>15</v>
      </c>
      <c r="G175" s="16">
        <v>0</v>
      </c>
      <c r="H175" s="2"/>
      <c r="I175" s="15">
        <v>0</v>
      </c>
      <c r="J175" s="10"/>
      <c r="K175" s="9"/>
    </row>
    <row r="176" spans="1:11" x14ac:dyDescent="0.25">
      <c r="A176" s="8">
        <v>174</v>
      </c>
      <c r="B176" s="9" t="s">
        <v>221</v>
      </c>
      <c r="C176" s="9" t="s">
        <v>12</v>
      </c>
      <c r="D176" s="9" t="s">
        <v>317</v>
      </c>
      <c r="E176" s="9" t="s">
        <v>222</v>
      </c>
      <c r="F176" s="9" t="s">
        <v>15</v>
      </c>
      <c r="G176" s="16">
        <v>0</v>
      </c>
      <c r="H176" s="2"/>
      <c r="I176" s="15">
        <v>0</v>
      </c>
      <c r="J176" s="10"/>
      <c r="K176" s="9"/>
    </row>
    <row r="177" spans="1:11" x14ac:dyDescent="0.25">
      <c r="A177" s="8">
        <v>175</v>
      </c>
      <c r="B177" s="9" t="s">
        <v>310</v>
      </c>
      <c r="C177" s="9" t="s">
        <v>12</v>
      </c>
      <c r="D177" s="9" t="s">
        <v>317</v>
      </c>
      <c r="E177" s="9" t="s">
        <v>311</v>
      </c>
      <c r="F177" s="9" t="s">
        <v>15</v>
      </c>
      <c r="G177" s="16">
        <v>0</v>
      </c>
      <c r="H177" s="2"/>
      <c r="I177" s="15">
        <v>0</v>
      </c>
      <c r="J177" s="10"/>
      <c r="K177" s="9"/>
    </row>
    <row r="178" spans="1:11" x14ac:dyDescent="0.25">
      <c r="A178" s="8">
        <v>176</v>
      </c>
      <c r="B178" s="9" t="s">
        <v>223</v>
      </c>
      <c r="C178" s="9" t="s">
        <v>12</v>
      </c>
      <c r="D178" s="9" t="s">
        <v>317</v>
      </c>
      <c r="E178" s="9" t="s">
        <v>224</v>
      </c>
      <c r="F178" s="9" t="s">
        <v>15</v>
      </c>
      <c r="G178" s="16">
        <v>0</v>
      </c>
      <c r="H178" s="2"/>
      <c r="I178" s="15">
        <v>0</v>
      </c>
      <c r="J178" s="10"/>
      <c r="K178" s="9"/>
    </row>
    <row r="179" spans="1:11" x14ac:dyDescent="0.25">
      <c r="A179" s="8">
        <v>177</v>
      </c>
      <c r="B179" s="9" t="s">
        <v>312</v>
      </c>
      <c r="C179" s="9" t="s">
        <v>12</v>
      </c>
      <c r="D179" s="9" t="s">
        <v>317</v>
      </c>
      <c r="E179" s="9" t="s">
        <v>313</v>
      </c>
      <c r="F179" s="9" t="s">
        <v>15</v>
      </c>
      <c r="G179" s="16">
        <v>0</v>
      </c>
      <c r="H179" s="2"/>
      <c r="I179" s="15">
        <v>0</v>
      </c>
      <c r="J179" s="10"/>
      <c r="K179" s="9"/>
    </row>
    <row r="180" spans="1:11" x14ac:dyDescent="0.25">
      <c r="A180" s="8">
        <v>178</v>
      </c>
      <c r="B180" s="9" t="s">
        <v>314</v>
      </c>
      <c r="C180" s="9" t="s">
        <v>12</v>
      </c>
      <c r="D180" s="9" t="s">
        <v>317</v>
      </c>
      <c r="E180" s="9" t="s">
        <v>315</v>
      </c>
      <c r="F180" s="9" t="s">
        <v>15</v>
      </c>
      <c r="G180" s="16">
        <v>0</v>
      </c>
      <c r="H180" s="2"/>
      <c r="I180" s="15">
        <v>0</v>
      </c>
      <c r="J180" s="10"/>
      <c r="K180" s="9"/>
    </row>
    <row r="181" spans="1:11" x14ac:dyDescent="0.25">
      <c r="A181" s="8">
        <v>179</v>
      </c>
      <c r="B181" s="9" t="s">
        <v>225</v>
      </c>
      <c r="C181" s="9" t="s">
        <v>12</v>
      </c>
      <c r="D181" s="9" t="s">
        <v>317</v>
      </c>
      <c r="E181" s="9" t="s">
        <v>226</v>
      </c>
      <c r="F181" s="9" t="s">
        <v>15</v>
      </c>
      <c r="G181" s="16">
        <v>0</v>
      </c>
      <c r="H181" s="2"/>
      <c r="I181" s="15">
        <v>0</v>
      </c>
      <c r="J181" s="10"/>
      <c r="K181" s="9"/>
    </row>
    <row r="182" spans="1:11" x14ac:dyDescent="0.25">
      <c r="A182" s="8">
        <v>180</v>
      </c>
      <c r="B182" s="9" t="s">
        <v>322</v>
      </c>
      <c r="C182" s="9" t="s">
        <v>12</v>
      </c>
      <c r="D182" s="9" t="s">
        <v>317</v>
      </c>
      <c r="E182" s="9" t="s">
        <v>238</v>
      </c>
      <c r="F182" s="9" t="s">
        <v>15</v>
      </c>
      <c r="G182" s="16">
        <v>0</v>
      </c>
      <c r="H182" s="2"/>
      <c r="I182" s="15">
        <v>0</v>
      </c>
      <c r="J182" s="10"/>
      <c r="K182" s="9"/>
    </row>
    <row r="183" spans="1:11" x14ac:dyDescent="0.25">
      <c r="A183" s="8">
        <v>181</v>
      </c>
      <c r="B183" s="9" t="s">
        <v>323</v>
      </c>
      <c r="C183" s="9" t="s">
        <v>12</v>
      </c>
      <c r="D183" s="9" t="s">
        <v>317</v>
      </c>
      <c r="E183" s="9" t="s">
        <v>124</v>
      </c>
      <c r="F183" s="9" t="s">
        <v>15</v>
      </c>
      <c r="G183" s="16">
        <v>0</v>
      </c>
      <c r="H183" s="2"/>
      <c r="I183" s="15">
        <v>0</v>
      </c>
      <c r="J183" s="10"/>
      <c r="K183" s="9"/>
    </row>
    <row r="184" spans="1:11" x14ac:dyDescent="0.25">
      <c r="A184" s="8">
        <v>182</v>
      </c>
      <c r="B184" s="9" t="s">
        <v>324</v>
      </c>
      <c r="C184" s="9" t="s">
        <v>12</v>
      </c>
      <c r="D184" s="9" t="s">
        <v>317</v>
      </c>
      <c r="E184" s="9" t="s">
        <v>126</v>
      </c>
      <c r="F184" s="9" t="s">
        <v>15</v>
      </c>
      <c r="G184" s="16">
        <v>0</v>
      </c>
      <c r="H184" s="2"/>
      <c r="I184" s="15">
        <v>0</v>
      </c>
      <c r="J184" s="10"/>
      <c r="K184" s="9"/>
    </row>
    <row r="185" spans="1:11" x14ac:dyDescent="0.25">
      <c r="A185" s="8">
        <v>183</v>
      </c>
      <c r="B185" s="9" t="s">
        <v>325</v>
      </c>
      <c r="C185" s="9" t="s">
        <v>12</v>
      </c>
      <c r="D185" s="9" t="s">
        <v>317</v>
      </c>
      <c r="E185" s="9" t="s">
        <v>78</v>
      </c>
      <c r="F185" s="9" t="s">
        <v>15</v>
      </c>
      <c r="G185" s="16">
        <v>0</v>
      </c>
      <c r="H185" s="2"/>
      <c r="I185" s="15">
        <v>0</v>
      </c>
      <c r="J185" s="10"/>
      <c r="K185" s="9"/>
    </row>
    <row r="186" spans="1:11" x14ac:dyDescent="0.25">
      <c r="A186" s="8">
        <v>184</v>
      </c>
      <c r="B186" s="9" t="s">
        <v>305</v>
      </c>
      <c r="C186" s="9" t="s">
        <v>12</v>
      </c>
      <c r="D186" s="9" t="s">
        <v>326</v>
      </c>
      <c r="E186" s="9" t="s">
        <v>306</v>
      </c>
      <c r="F186" s="9" t="s">
        <v>15</v>
      </c>
      <c r="G186" s="16">
        <v>0</v>
      </c>
      <c r="H186" s="2"/>
      <c r="I186" s="15">
        <v>0</v>
      </c>
      <c r="J186" s="10"/>
      <c r="K186" s="9"/>
    </row>
    <row r="187" spans="1:11" x14ac:dyDescent="0.25">
      <c r="A187" s="12"/>
      <c r="B187" s="12"/>
      <c r="C187" s="12"/>
      <c r="D187" s="12"/>
      <c r="E187" s="12"/>
      <c r="F187" s="12"/>
      <c r="G187" s="13">
        <v>4197713</v>
      </c>
      <c r="H187" s="14"/>
      <c r="I187" s="13">
        <v>4197713</v>
      </c>
      <c r="J187" s="13">
        <v>0</v>
      </c>
      <c r="K18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activeCell="J2" sqref="J2"/>
    </sheetView>
  </sheetViews>
  <sheetFormatPr defaultRowHeight="15" x14ac:dyDescent="0.25"/>
  <cols>
    <col min="1" max="1" width="4.85546875" bestFit="1" customWidth="1"/>
    <col min="2" max="2" width="11.85546875" bestFit="1" customWidth="1"/>
    <col min="3" max="3" width="39.7109375" bestFit="1" customWidth="1"/>
    <col min="4" max="4" width="10" customWidth="1"/>
    <col min="6" max="6" width="8" bestFit="1" customWidth="1"/>
    <col min="7" max="7" width="9.42578125" customWidth="1"/>
  </cols>
  <sheetData>
    <row r="1" spans="1:7" ht="33.75" x14ac:dyDescent="0.25">
      <c r="A1" s="1" t="s">
        <v>327</v>
      </c>
      <c r="B1" s="1" t="s">
        <v>2</v>
      </c>
      <c r="C1" s="17" t="s">
        <v>5</v>
      </c>
      <c r="D1" s="17" t="s">
        <v>328</v>
      </c>
      <c r="E1" s="2"/>
      <c r="F1" s="17" t="s">
        <v>329</v>
      </c>
      <c r="G1" s="17" t="s">
        <v>330</v>
      </c>
    </row>
    <row r="2" spans="1:7" x14ac:dyDescent="0.25">
      <c r="A2" s="18">
        <v>1</v>
      </c>
      <c r="B2" s="18" t="s">
        <v>11</v>
      </c>
      <c r="C2" s="18" t="s">
        <v>14</v>
      </c>
      <c r="D2" s="19">
        <v>11600</v>
      </c>
      <c r="E2" s="2"/>
      <c r="F2" s="19">
        <v>11600</v>
      </c>
      <c r="G2" s="19">
        <f>F2-D2</f>
        <v>0</v>
      </c>
    </row>
    <row r="3" spans="1:7" x14ac:dyDescent="0.25">
      <c r="A3" s="18">
        <f>A2+1</f>
        <v>2</v>
      </c>
      <c r="B3" s="18" t="s">
        <v>16</v>
      </c>
      <c r="C3" s="18" t="s">
        <v>17</v>
      </c>
      <c r="D3" s="19">
        <v>190400</v>
      </c>
      <c r="E3" s="2"/>
      <c r="F3" s="19">
        <v>190400</v>
      </c>
      <c r="G3" s="19">
        <f t="shared" ref="G3:G66" si="0">F3-D3</f>
        <v>0</v>
      </c>
    </row>
    <row r="4" spans="1:7" x14ac:dyDescent="0.25">
      <c r="A4" s="18">
        <f t="shared" ref="A4:A67" si="1">A3+1</f>
        <v>3</v>
      </c>
      <c r="B4" s="18" t="s">
        <v>18</v>
      </c>
      <c r="C4" s="18" t="s">
        <v>19</v>
      </c>
      <c r="D4" s="19">
        <v>22300</v>
      </c>
      <c r="E4" s="2"/>
      <c r="F4" s="19">
        <v>22300</v>
      </c>
      <c r="G4" s="19">
        <f t="shared" si="0"/>
        <v>0</v>
      </c>
    </row>
    <row r="5" spans="1:7" x14ac:dyDescent="0.25">
      <c r="A5" s="18">
        <f t="shared" si="1"/>
        <v>4</v>
      </c>
      <c r="B5" s="18" t="s">
        <v>22</v>
      </c>
      <c r="C5" s="18" t="s">
        <v>23</v>
      </c>
      <c r="D5" s="19">
        <v>51200</v>
      </c>
      <c r="E5" s="2"/>
      <c r="F5" s="19">
        <v>51200</v>
      </c>
      <c r="G5" s="19">
        <f t="shared" si="0"/>
        <v>0</v>
      </c>
    </row>
    <row r="6" spans="1:7" x14ac:dyDescent="0.25">
      <c r="A6" s="18">
        <f t="shared" si="1"/>
        <v>5</v>
      </c>
      <c r="B6" s="18" t="s">
        <v>24</v>
      </c>
      <c r="C6" s="18" t="s">
        <v>25</v>
      </c>
      <c r="D6" s="19">
        <v>1600</v>
      </c>
      <c r="E6" s="2"/>
      <c r="F6" s="19">
        <v>1600</v>
      </c>
      <c r="G6" s="19">
        <f t="shared" si="0"/>
        <v>0</v>
      </c>
    </row>
    <row r="7" spans="1:7" x14ac:dyDescent="0.25">
      <c r="A7" s="18">
        <f t="shared" si="1"/>
        <v>6</v>
      </c>
      <c r="B7" s="18" t="s">
        <v>26</v>
      </c>
      <c r="C7" s="18" t="s">
        <v>25</v>
      </c>
      <c r="D7" s="19">
        <v>77600</v>
      </c>
      <c r="E7" s="2"/>
      <c r="F7" s="19">
        <v>77600</v>
      </c>
      <c r="G7" s="19">
        <f t="shared" si="0"/>
        <v>0</v>
      </c>
    </row>
    <row r="8" spans="1:7" x14ac:dyDescent="0.25">
      <c r="A8" s="18">
        <f t="shared" si="1"/>
        <v>7</v>
      </c>
      <c r="B8" s="18" t="s">
        <v>29</v>
      </c>
      <c r="C8" s="18" t="s">
        <v>30</v>
      </c>
      <c r="D8" s="19">
        <v>39600</v>
      </c>
      <c r="E8" s="2"/>
      <c r="F8" s="19">
        <v>39600</v>
      </c>
      <c r="G8" s="19">
        <f t="shared" si="0"/>
        <v>0</v>
      </c>
    </row>
    <row r="9" spans="1:7" x14ac:dyDescent="0.25">
      <c r="A9" s="18">
        <f t="shared" si="1"/>
        <v>8</v>
      </c>
      <c r="B9" s="18" t="s">
        <v>31</v>
      </c>
      <c r="C9" s="18" t="s">
        <v>32</v>
      </c>
      <c r="D9" s="19">
        <v>7200</v>
      </c>
      <c r="E9" s="2"/>
      <c r="F9" s="19">
        <v>7200</v>
      </c>
      <c r="G9" s="19">
        <f t="shared" si="0"/>
        <v>0</v>
      </c>
    </row>
    <row r="10" spans="1:7" x14ac:dyDescent="0.25">
      <c r="A10" s="18">
        <f t="shared" si="1"/>
        <v>9</v>
      </c>
      <c r="B10" s="18" t="s">
        <v>33</v>
      </c>
      <c r="C10" s="18" t="s">
        <v>34</v>
      </c>
      <c r="D10" s="19">
        <v>13600</v>
      </c>
      <c r="E10" s="2"/>
      <c r="F10" s="19">
        <v>13600</v>
      </c>
      <c r="G10" s="19">
        <f t="shared" si="0"/>
        <v>0</v>
      </c>
    </row>
    <row r="11" spans="1:7" x14ac:dyDescent="0.25">
      <c r="A11" s="18">
        <f t="shared" si="1"/>
        <v>10</v>
      </c>
      <c r="B11" s="18" t="s">
        <v>35</v>
      </c>
      <c r="C11" s="18" t="s">
        <v>36</v>
      </c>
      <c r="D11" s="19">
        <v>18400</v>
      </c>
      <c r="E11" s="2"/>
      <c r="F11" s="19">
        <v>18400</v>
      </c>
      <c r="G11" s="19">
        <f t="shared" si="0"/>
        <v>0</v>
      </c>
    </row>
    <row r="12" spans="1:7" x14ac:dyDescent="0.25">
      <c r="A12" s="18">
        <f t="shared" si="1"/>
        <v>11</v>
      </c>
      <c r="B12" s="18" t="s">
        <v>37</v>
      </c>
      <c r="C12" s="18" t="s">
        <v>38</v>
      </c>
      <c r="D12" s="19">
        <v>5600</v>
      </c>
      <c r="E12" s="2"/>
      <c r="F12" s="19">
        <v>5600</v>
      </c>
      <c r="G12" s="19">
        <f t="shared" si="0"/>
        <v>0</v>
      </c>
    </row>
    <row r="13" spans="1:7" x14ac:dyDescent="0.25">
      <c r="A13" s="18">
        <f t="shared" si="1"/>
        <v>12</v>
      </c>
      <c r="B13" s="18" t="s">
        <v>39</v>
      </c>
      <c r="C13" s="18" t="s">
        <v>40</v>
      </c>
      <c r="D13" s="19">
        <v>15700</v>
      </c>
      <c r="E13" s="2"/>
      <c r="F13" s="19">
        <v>15700</v>
      </c>
      <c r="G13" s="19">
        <f t="shared" si="0"/>
        <v>0</v>
      </c>
    </row>
    <row r="14" spans="1:7" x14ac:dyDescent="0.25">
      <c r="A14" s="18">
        <f t="shared" si="1"/>
        <v>13</v>
      </c>
      <c r="B14" s="18" t="s">
        <v>41</v>
      </c>
      <c r="C14" s="18" t="s">
        <v>42</v>
      </c>
      <c r="D14" s="19">
        <v>2300</v>
      </c>
      <c r="E14" s="2"/>
      <c r="F14" s="19">
        <v>2300</v>
      </c>
      <c r="G14" s="19">
        <f t="shared" si="0"/>
        <v>0</v>
      </c>
    </row>
    <row r="15" spans="1:7" x14ac:dyDescent="0.25">
      <c r="A15" s="18">
        <f t="shared" si="1"/>
        <v>14</v>
      </c>
      <c r="B15" s="18" t="s">
        <v>331</v>
      </c>
      <c r="C15" s="18" t="s">
        <v>332</v>
      </c>
      <c r="D15" s="19">
        <v>2400</v>
      </c>
      <c r="E15" s="2"/>
      <c r="F15" s="19">
        <v>2400</v>
      </c>
      <c r="G15" s="19">
        <f t="shared" si="0"/>
        <v>0</v>
      </c>
    </row>
    <row r="16" spans="1:7" x14ac:dyDescent="0.25">
      <c r="A16" s="18">
        <f t="shared" si="1"/>
        <v>15</v>
      </c>
      <c r="B16" s="18" t="s">
        <v>43</v>
      </c>
      <c r="C16" s="18" t="s">
        <v>44</v>
      </c>
      <c r="D16" s="19">
        <v>4900</v>
      </c>
      <c r="E16" s="2"/>
      <c r="F16" s="19">
        <v>4900</v>
      </c>
      <c r="G16" s="19">
        <f t="shared" si="0"/>
        <v>0</v>
      </c>
    </row>
    <row r="17" spans="1:7" x14ac:dyDescent="0.25">
      <c r="A17" s="18">
        <f t="shared" si="1"/>
        <v>16</v>
      </c>
      <c r="B17" s="18" t="s">
        <v>45</v>
      </c>
      <c r="C17" s="18" t="s">
        <v>46</v>
      </c>
      <c r="D17" s="19">
        <v>29900</v>
      </c>
      <c r="E17" s="2"/>
      <c r="F17" s="19">
        <v>29900</v>
      </c>
      <c r="G17" s="19">
        <f t="shared" si="0"/>
        <v>0</v>
      </c>
    </row>
    <row r="18" spans="1:7" x14ac:dyDescent="0.25">
      <c r="A18" s="18">
        <f t="shared" si="1"/>
        <v>17</v>
      </c>
      <c r="B18" s="18" t="s">
        <v>47</v>
      </c>
      <c r="C18" s="18" t="s">
        <v>48</v>
      </c>
      <c r="D18" s="19">
        <v>57500</v>
      </c>
      <c r="E18" s="2"/>
      <c r="F18" s="19">
        <v>57500</v>
      </c>
      <c r="G18" s="19">
        <f t="shared" si="0"/>
        <v>0</v>
      </c>
    </row>
    <row r="19" spans="1:7" x14ac:dyDescent="0.25">
      <c r="A19" s="18">
        <f t="shared" si="1"/>
        <v>18</v>
      </c>
      <c r="B19" s="18" t="s">
        <v>49</v>
      </c>
      <c r="C19" s="18" t="s">
        <v>50</v>
      </c>
      <c r="D19" s="19">
        <v>7400</v>
      </c>
      <c r="E19" s="2"/>
      <c r="F19" s="19">
        <v>7400</v>
      </c>
      <c r="G19" s="19">
        <f t="shared" si="0"/>
        <v>0</v>
      </c>
    </row>
    <row r="20" spans="1:7" x14ac:dyDescent="0.25">
      <c r="A20" s="18">
        <f t="shared" si="1"/>
        <v>19</v>
      </c>
      <c r="B20" s="18" t="s">
        <v>51</v>
      </c>
      <c r="C20" s="18" t="s">
        <v>52</v>
      </c>
      <c r="D20" s="19">
        <v>23400</v>
      </c>
      <c r="E20" s="2"/>
      <c r="F20" s="19">
        <v>23400</v>
      </c>
      <c r="G20" s="19">
        <f t="shared" si="0"/>
        <v>0</v>
      </c>
    </row>
    <row r="21" spans="1:7" x14ac:dyDescent="0.25">
      <c r="A21" s="18">
        <f t="shared" si="1"/>
        <v>20</v>
      </c>
      <c r="B21" s="18" t="s">
        <v>53</v>
      </c>
      <c r="C21" s="18" t="s">
        <v>54</v>
      </c>
      <c r="D21" s="19">
        <v>188000</v>
      </c>
      <c r="E21" s="2"/>
      <c r="F21" s="19">
        <v>188000</v>
      </c>
      <c r="G21" s="19">
        <f t="shared" si="0"/>
        <v>0</v>
      </c>
    </row>
    <row r="22" spans="1:7" x14ac:dyDescent="0.25">
      <c r="A22" s="18">
        <f t="shared" si="1"/>
        <v>21</v>
      </c>
      <c r="B22" s="18" t="s">
        <v>55</v>
      </c>
      <c r="C22" s="18" t="s">
        <v>56</v>
      </c>
      <c r="D22" s="19">
        <v>720</v>
      </c>
      <c r="E22" s="2"/>
      <c r="F22" s="19">
        <v>720</v>
      </c>
      <c r="G22" s="19">
        <f t="shared" si="0"/>
        <v>0</v>
      </c>
    </row>
    <row r="23" spans="1:7" x14ac:dyDescent="0.25">
      <c r="A23" s="18">
        <f t="shared" si="1"/>
        <v>22</v>
      </c>
      <c r="B23" s="18" t="s">
        <v>57</v>
      </c>
      <c r="C23" s="18" t="s">
        <v>58</v>
      </c>
      <c r="D23" s="19">
        <v>4490</v>
      </c>
      <c r="E23" s="2"/>
      <c r="F23" s="19">
        <v>4490</v>
      </c>
      <c r="G23" s="19">
        <f t="shared" si="0"/>
        <v>0</v>
      </c>
    </row>
    <row r="24" spans="1:7" x14ac:dyDescent="0.25">
      <c r="A24" s="18">
        <f t="shared" si="1"/>
        <v>23</v>
      </c>
      <c r="B24" s="18" t="s">
        <v>59</v>
      </c>
      <c r="C24" s="18" t="s">
        <v>60</v>
      </c>
      <c r="D24" s="19">
        <v>7190</v>
      </c>
      <c r="E24" s="2"/>
      <c r="F24" s="19">
        <v>7190</v>
      </c>
      <c r="G24" s="19">
        <f t="shared" si="0"/>
        <v>0</v>
      </c>
    </row>
    <row r="25" spans="1:7" x14ac:dyDescent="0.25">
      <c r="A25" s="18">
        <f t="shared" si="1"/>
        <v>24</v>
      </c>
      <c r="B25" s="18" t="s">
        <v>61</v>
      </c>
      <c r="C25" s="18" t="s">
        <v>62</v>
      </c>
      <c r="D25" s="19">
        <v>5000</v>
      </c>
      <c r="E25" s="2"/>
      <c r="F25" s="19">
        <v>5000</v>
      </c>
      <c r="G25" s="19">
        <f t="shared" si="0"/>
        <v>0</v>
      </c>
    </row>
    <row r="26" spans="1:7" x14ac:dyDescent="0.25">
      <c r="A26" s="18">
        <f t="shared" si="1"/>
        <v>25</v>
      </c>
      <c r="B26" s="18" t="s">
        <v>63</v>
      </c>
      <c r="C26" s="18" t="s">
        <v>64</v>
      </c>
      <c r="D26" s="19">
        <v>17997</v>
      </c>
      <c r="E26" s="2"/>
      <c r="F26" s="19">
        <v>17997</v>
      </c>
      <c r="G26" s="19">
        <f t="shared" si="0"/>
        <v>0</v>
      </c>
    </row>
    <row r="27" spans="1:7" x14ac:dyDescent="0.25">
      <c r="A27" s="18">
        <f t="shared" si="1"/>
        <v>26</v>
      </c>
      <c r="B27" s="18" t="s">
        <v>65</v>
      </c>
      <c r="C27" s="18" t="s">
        <v>66</v>
      </c>
      <c r="D27" s="19">
        <v>80200</v>
      </c>
      <c r="E27" s="2"/>
      <c r="F27" s="19">
        <v>80200</v>
      </c>
      <c r="G27" s="19">
        <f t="shared" si="0"/>
        <v>0</v>
      </c>
    </row>
    <row r="28" spans="1:7" x14ac:dyDescent="0.25">
      <c r="A28" s="18">
        <f t="shared" si="1"/>
        <v>27</v>
      </c>
      <c r="B28" s="18" t="s">
        <v>67</v>
      </c>
      <c r="C28" s="18" t="s">
        <v>68</v>
      </c>
      <c r="D28" s="19">
        <v>18800</v>
      </c>
      <c r="E28" s="2"/>
      <c r="F28" s="19">
        <v>18800</v>
      </c>
      <c r="G28" s="19">
        <f t="shared" si="0"/>
        <v>0</v>
      </c>
    </row>
    <row r="29" spans="1:7" x14ac:dyDescent="0.25">
      <c r="A29" s="18">
        <f t="shared" si="1"/>
        <v>28</v>
      </c>
      <c r="B29" s="18" t="s">
        <v>333</v>
      </c>
      <c r="C29" s="18" t="s">
        <v>334</v>
      </c>
      <c r="D29" s="19">
        <v>14000</v>
      </c>
      <c r="E29" s="2"/>
      <c r="F29" s="19">
        <v>14000</v>
      </c>
      <c r="G29" s="19">
        <f t="shared" si="0"/>
        <v>0</v>
      </c>
    </row>
    <row r="30" spans="1:7" x14ac:dyDescent="0.25">
      <c r="A30" s="18">
        <f t="shared" si="1"/>
        <v>29</v>
      </c>
      <c r="B30" s="18" t="s">
        <v>69</v>
      </c>
      <c r="C30" s="18" t="s">
        <v>70</v>
      </c>
      <c r="D30" s="18">
        <v>295</v>
      </c>
      <c r="E30" s="2"/>
      <c r="F30" s="18">
        <v>295</v>
      </c>
      <c r="G30" s="18">
        <f t="shared" si="0"/>
        <v>0</v>
      </c>
    </row>
    <row r="31" spans="1:7" x14ac:dyDescent="0.25">
      <c r="A31" s="18">
        <f t="shared" si="1"/>
        <v>30</v>
      </c>
      <c r="B31" s="18" t="s">
        <v>71</v>
      </c>
      <c r="C31" s="18" t="s">
        <v>72</v>
      </c>
      <c r="D31" s="19">
        <v>100300</v>
      </c>
      <c r="E31" s="2"/>
      <c r="F31" s="19">
        <v>100300</v>
      </c>
      <c r="G31" s="19">
        <f t="shared" si="0"/>
        <v>0</v>
      </c>
    </row>
    <row r="32" spans="1:7" x14ac:dyDescent="0.25">
      <c r="A32" s="18">
        <f t="shared" si="1"/>
        <v>31</v>
      </c>
      <c r="B32" s="18" t="s">
        <v>73</v>
      </c>
      <c r="C32" s="18" t="s">
        <v>74</v>
      </c>
      <c r="D32" s="19">
        <v>10520</v>
      </c>
      <c r="E32" s="2"/>
      <c r="F32" s="19">
        <v>10520</v>
      </c>
      <c r="G32" s="19">
        <f t="shared" si="0"/>
        <v>0</v>
      </c>
    </row>
    <row r="33" spans="1:7" x14ac:dyDescent="0.25">
      <c r="A33" s="18">
        <f t="shared" si="1"/>
        <v>32</v>
      </c>
      <c r="B33" s="18" t="s">
        <v>75</v>
      </c>
      <c r="C33" s="18" t="s">
        <v>76</v>
      </c>
      <c r="D33" s="19">
        <v>23200</v>
      </c>
      <c r="E33" s="2"/>
      <c r="F33" s="19">
        <v>23200</v>
      </c>
      <c r="G33" s="19">
        <f t="shared" si="0"/>
        <v>0</v>
      </c>
    </row>
    <row r="34" spans="1:7" x14ac:dyDescent="0.25">
      <c r="A34" s="18">
        <f t="shared" si="1"/>
        <v>33</v>
      </c>
      <c r="B34" s="18" t="s">
        <v>77</v>
      </c>
      <c r="C34" s="18" t="s">
        <v>78</v>
      </c>
      <c r="D34" s="19">
        <v>499700</v>
      </c>
      <c r="E34" s="2"/>
      <c r="F34" s="19">
        <v>499700</v>
      </c>
      <c r="G34" s="19">
        <f t="shared" si="0"/>
        <v>0</v>
      </c>
    </row>
    <row r="35" spans="1:7" x14ac:dyDescent="0.25">
      <c r="A35" s="18">
        <f t="shared" si="1"/>
        <v>34</v>
      </c>
      <c r="B35" s="18" t="s">
        <v>335</v>
      </c>
      <c r="C35" s="18" t="s">
        <v>336</v>
      </c>
      <c r="D35" s="19">
        <v>1000</v>
      </c>
      <c r="E35" s="2"/>
      <c r="F35" s="19">
        <v>1000</v>
      </c>
      <c r="G35" s="19">
        <f t="shared" si="0"/>
        <v>0</v>
      </c>
    </row>
    <row r="36" spans="1:7" x14ac:dyDescent="0.25">
      <c r="A36" s="18">
        <f t="shared" si="1"/>
        <v>35</v>
      </c>
      <c r="B36" s="18" t="s">
        <v>79</v>
      </c>
      <c r="C36" s="18" t="s">
        <v>80</v>
      </c>
      <c r="D36" s="19">
        <v>128160</v>
      </c>
      <c r="E36" s="2"/>
      <c r="F36" s="19">
        <v>128160</v>
      </c>
      <c r="G36" s="19">
        <f t="shared" si="0"/>
        <v>0</v>
      </c>
    </row>
    <row r="37" spans="1:7" x14ac:dyDescent="0.25">
      <c r="A37" s="18">
        <f t="shared" si="1"/>
        <v>36</v>
      </c>
      <c r="B37" s="18" t="s">
        <v>81</v>
      </c>
      <c r="C37" s="18" t="s">
        <v>82</v>
      </c>
      <c r="D37" s="19">
        <v>71475</v>
      </c>
      <c r="E37" s="2"/>
      <c r="F37" s="19">
        <v>71475</v>
      </c>
      <c r="G37" s="19">
        <f t="shared" si="0"/>
        <v>0</v>
      </c>
    </row>
    <row r="38" spans="1:7" x14ac:dyDescent="0.25">
      <c r="A38" s="18">
        <f t="shared" si="1"/>
        <v>37</v>
      </c>
      <c r="B38" s="18" t="s">
        <v>83</v>
      </c>
      <c r="C38" s="18" t="s">
        <v>84</v>
      </c>
      <c r="D38" s="19">
        <v>11840</v>
      </c>
      <c r="E38" s="2"/>
      <c r="F38" s="19">
        <v>11840</v>
      </c>
      <c r="G38" s="19">
        <f t="shared" si="0"/>
        <v>0</v>
      </c>
    </row>
    <row r="39" spans="1:7" x14ac:dyDescent="0.25">
      <c r="A39" s="18">
        <f t="shared" si="1"/>
        <v>38</v>
      </c>
      <c r="B39" s="18" t="s">
        <v>85</v>
      </c>
      <c r="C39" s="18" t="s">
        <v>86</v>
      </c>
      <c r="D39" s="19">
        <v>18600</v>
      </c>
      <c r="E39" s="2"/>
      <c r="F39" s="19">
        <v>18600</v>
      </c>
      <c r="G39" s="19">
        <f t="shared" si="0"/>
        <v>0</v>
      </c>
    </row>
    <row r="40" spans="1:7" x14ac:dyDescent="0.25">
      <c r="A40" s="18">
        <f t="shared" si="1"/>
        <v>39</v>
      </c>
      <c r="B40" s="18" t="s">
        <v>87</v>
      </c>
      <c r="C40" s="18" t="s">
        <v>88</v>
      </c>
      <c r="D40" s="19">
        <v>3600</v>
      </c>
      <c r="E40" s="2"/>
      <c r="F40" s="19">
        <v>3600</v>
      </c>
      <c r="G40" s="19">
        <f t="shared" si="0"/>
        <v>0</v>
      </c>
    </row>
    <row r="41" spans="1:7" x14ac:dyDescent="0.25">
      <c r="A41" s="18">
        <f t="shared" si="1"/>
        <v>40</v>
      </c>
      <c r="B41" s="18" t="s">
        <v>89</v>
      </c>
      <c r="C41" s="18" t="s">
        <v>90</v>
      </c>
      <c r="D41" s="19">
        <v>7040</v>
      </c>
      <c r="E41" s="2"/>
      <c r="F41" s="19">
        <v>7040</v>
      </c>
      <c r="G41" s="19">
        <f t="shared" si="0"/>
        <v>0</v>
      </c>
    </row>
    <row r="42" spans="1:7" x14ac:dyDescent="0.25">
      <c r="A42" s="18">
        <f t="shared" si="1"/>
        <v>41</v>
      </c>
      <c r="B42" s="18" t="s">
        <v>337</v>
      </c>
      <c r="C42" s="18" t="s">
        <v>338</v>
      </c>
      <c r="D42" s="19">
        <v>500</v>
      </c>
      <c r="E42" s="2"/>
      <c r="F42" s="19">
        <v>500</v>
      </c>
      <c r="G42" s="19">
        <f t="shared" si="0"/>
        <v>0</v>
      </c>
    </row>
    <row r="43" spans="1:7" x14ac:dyDescent="0.25">
      <c r="A43" s="18">
        <f t="shared" si="1"/>
        <v>42</v>
      </c>
      <c r="B43" s="18" t="s">
        <v>91</v>
      </c>
      <c r="C43" s="18" t="s">
        <v>92</v>
      </c>
      <c r="D43" s="19">
        <v>640</v>
      </c>
      <c r="E43" s="2"/>
      <c r="F43" s="19">
        <v>640</v>
      </c>
      <c r="G43" s="19">
        <f t="shared" si="0"/>
        <v>0</v>
      </c>
    </row>
    <row r="44" spans="1:7" x14ac:dyDescent="0.25">
      <c r="A44" s="18">
        <f t="shared" si="1"/>
        <v>43</v>
      </c>
      <c r="B44" s="18" t="s">
        <v>93</v>
      </c>
      <c r="C44" s="18" t="s">
        <v>94</v>
      </c>
      <c r="D44" s="18">
        <v>46440</v>
      </c>
      <c r="E44" s="2"/>
      <c r="F44" s="18">
        <v>46440</v>
      </c>
      <c r="G44" s="18">
        <f t="shared" si="0"/>
        <v>0</v>
      </c>
    </row>
    <row r="45" spans="1:7" x14ac:dyDescent="0.25">
      <c r="A45" s="18">
        <f t="shared" si="1"/>
        <v>44</v>
      </c>
      <c r="B45" s="18" t="s">
        <v>95</v>
      </c>
      <c r="C45" s="18" t="s">
        <v>96</v>
      </c>
      <c r="D45" s="19">
        <v>68600</v>
      </c>
      <c r="E45" s="2"/>
      <c r="F45" s="19">
        <v>68600</v>
      </c>
      <c r="G45" s="19">
        <f t="shared" si="0"/>
        <v>0</v>
      </c>
    </row>
    <row r="46" spans="1:7" x14ac:dyDescent="0.25">
      <c r="A46" s="18">
        <f t="shared" si="1"/>
        <v>45</v>
      </c>
      <c r="B46" s="18" t="s">
        <v>99</v>
      </c>
      <c r="C46" s="18" t="s">
        <v>100</v>
      </c>
      <c r="D46" s="19">
        <v>4800</v>
      </c>
      <c r="E46" s="2"/>
      <c r="F46" s="19">
        <v>4800</v>
      </c>
      <c r="G46" s="19">
        <f t="shared" si="0"/>
        <v>0</v>
      </c>
    </row>
    <row r="47" spans="1:7" x14ac:dyDescent="0.25">
      <c r="A47" s="18">
        <f t="shared" si="1"/>
        <v>46</v>
      </c>
      <c r="B47" s="18" t="s">
        <v>339</v>
      </c>
      <c r="C47" s="18" t="s">
        <v>340</v>
      </c>
      <c r="D47" s="19">
        <v>1000</v>
      </c>
      <c r="E47" s="2"/>
      <c r="F47" s="19">
        <v>1000</v>
      </c>
      <c r="G47" s="19">
        <f t="shared" si="0"/>
        <v>0</v>
      </c>
    </row>
    <row r="48" spans="1:7" x14ac:dyDescent="0.25">
      <c r="A48" s="18">
        <f t="shared" si="1"/>
        <v>47</v>
      </c>
      <c r="B48" s="18" t="s">
        <v>101</v>
      </c>
      <c r="C48" s="18" t="s">
        <v>102</v>
      </c>
      <c r="D48" s="18">
        <v>10260</v>
      </c>
      <c r="E48" s="2"/>
      <c r="F48" s="18">
        <v>10260</v>
      </c>
      <c r="G48" s="18">
        <f t="shared" si="0"/>
        <v>0</v>
      </c>
    </row>
    <row r="49" spans="1:7" x14ac:dyDescent="0.25">
      <c r="A49" s="18">
        <f t="shared" si="1"/>
        <v>48</v>
      </c>
      <c r="B49" s="18" t="s">
        <v>103</v>
      </c>
      <c r="C49" s="18" t="s">
        <v>104</v>
      </c>
      <c r="D49" s="18">
        <v>7700</v>
      </c>
      <c r="E49" s="2"/>
      <c r="F49" s="18">
        <v>7700</v>
      </c>
      <c r="G49" s="18">
        <f t="shared" si="0"/>
        <v>0</v>
      </c>
    </row>
    <row r="50" spans="1:7" x14ac:dyDescent="0.25">
      <c r="A50" s="18">
        <f t="shared" si="1"/>
        <v>49</v>
      </c>
      <c r="B50" s="18" t="s">
        <v>105</v>
      </c>
      <c r="C50" s="18" t="s">
        <v>106</v>
      </c>
      <c r="D50" s="19">
        <v>300</v>
      </c>
      <c r="E50" s="2"/>
      <c r="F50" s="19">
        <v>300</v>
      </c>
      <c r="G50" s="19">
        <f t="shared" si="0"/>
        <v>0</v>
      </c>
    </row>
    <row r="51" spans="1:7" x14ac:dyDescent="0.25">
      <c r="A51" s="18">
        <f t="shared" si="1"/>
        <v>50</v>
      </c>
      <c r="B51" s="18" t="s">
        <v>107</v>
      </c>
      <c r="C51" s="18" t="s">
        <v>108</v>
      </c>
      <c r="D51" s="19">
        <v>295</v>
      </c>
      <c r="E51" s="2"/>
      <c r="F51" s="19">
        <v>295</v>
      </c>
      <c r="G51" s="19">
        <f t="shared" si="0"/>
        <v>0</v>
      </c>
    </row>
    <row r="52" spans="1:7" x14ac:dyDescent="0.25">
      <c r="A52" s="18">
        <f t="shared" si="1"/>
        <v>51</v>
      </c>
      <c r="B52" s="18" t="s">
        <v>109</v>
      </c>
      <c r="C52" s="18" t="s">
        <v>110</v>
      </c>
      <c r="D52" s="18">
        <v>74400</v>
      </c>
      <c r="E52" s="2"/>
      <c r="F52" s="18">
        <v>74400</v>
      </c>
      <c r="G52" s="18">
        <f t="shared" si="0"/>
        <v>0</v>
      </c>
    </row>
    <row r="53" spans="1:7" x14ac:dyDescent="0.25">
      <c r="A53" s="18">
        <f t="shared" si="1"/>
        <v>52</v>
      </c>
      <c r="B53" s="18" t="s">
        <v>111</v>
      </c>
      <c r="C53" s="18" t="s">
        <v>112</v>
      </c>
      <c r="D53" s="18">
        <v>200</v>
      </c>
      <c r="E53" s="2"/>
      <c r="F53" s="18">
        <v>200</v>
      </c>
      <c r="G53" s="18">
        <f t="shared" si="0"/>
        <v>0</v>
      </c>
    </row>
    <row r="54" spans="1:7" x14ac:dyDescent="0.25">
      <c r="A54" s="18">
        <f t="shared" si="1"/>
        <v>53</v>
      </c>
      <c r="B54" s="18" t="s">
        <v>119</v>
      </c>
      <c r="C54" s="18" t="s">
        <v>120</v>
      </c>
      <c r="D54" s="19">
        <v>96200</v>
      </c>
      <c r="E54" s="2"/>
      <c r="F54" s="19">
        <v>96200</v>
      </c>
      <c r="G54" s="19">
        <f t="shared" si="0"/>
        <v>0</v>
      </c>
    </row>
    <row r="55" spans="1:7" x14ac:dyDescent="0.25">
      <c r="A55" s="18">
        <f t="shared" si="1"/>
        <v>54</v>
      </c>
      <c r="B55" s="18" t="s">
        <v>121</v>
      </c>
      <c r="C55" s="18" t="s">
        <v>122</v>
      </c>
      <c r="D55" s="19">
        <v>10000</v>
      </c>
      <c r="E55" s="2"/>
      <c r="F55" s="19">
        <v>10000</v>
      </c>
      <c r="G55" s="19">
        <f t="shared" si="0"/>
        <v>0</v>
      </c>
    </row>
    <row r="56" spans="1:7" x14ac:dyDescent="0.25">
      <c r="A56" s="18">
        <f t="shared" si="1"/>
        <v>55</v>
      </c>
      <c r="B56" s="18" t="s">
        <v>123</v>
      </c>
      <c r="C56" s="18" t="s">
        <v>124</v>
      </c>
      <c r="D56" s="19">
        <v>302700</v>
      </c>
      <c r="E56" s="2"/>
      <c r="F56" s="19">
        <v>302700</v>
      </c>
      <c r="G56" s="19">
        <f t="shared" si="0"/>
        <v>0</v>
      </c>
    </row>
    <row r="57" spans="1:7" x14ac:dyDescent="0.25">
      <c r="A57" s="18">
        <f t="shared" si="1"/>
        <v>56</v>
      </c>
      <c r="B57" s="18" t="s">
        <v>125</v>
      </c>
      <c r="C57" s="18" t="s">
        <v>126</v>
      </c>
      <c r="D57" s="19">
        <v>67200</v>
      </c>
      <c r="E57" s="2"/>
      <c r="F57" s="19">
        <v>67200</v>
      </c>
      <c r="G57" s="19">
        <f t="shared" si="0"/>
        <v>0</v>
      </c>
    </row>
    <row r="58" spans="1:7" x14ac:dyDescent="0.25">
      <c r="A58" s="18">
        <f t="shared" si="1"/>
        <v>57</v>
      </c>
      <c r="B58" s="18" t="s">
        <v>127</v>
      </c>
      <c r="C58" s="18" t="s">
        <v>128</v>
      </c>
      <c r="D58" s="19">
        <v>24</v>
      </c>
      <c r="E58" s="2"/>
      <c r="F58" s="19">
        <v>24</v>
      </c>
      <c r="G58" s="19">
        <f t="shared" si="0"/>
        <v>0</v>
      </c>
    </row>
    <row r="59" spans="1:7" x14ac:dyDescent="0.25">
      <c r="A59" s="18">
        <f t="shared" si="1"/>
        <v>58</v>
      </c>
      <c r="B59" s="18" t="s">
        <v>131</v>
      </c>
      <c r="C59" s="18" t="s">
        <v>132</v>
      </c>
      <c r="D59" s="18">
        <v>8820</v>
      </c>
      <c r="E59" s="2"/>
      <c r="F59" s="18">
        <v>8820</v>
      </c>
      <c r="G59" s="18">
        <f t="shared" si="0"/>
        <v>0</v>
      </c>
    </row>
    <row r="60" spans="1:7" x14ac:dyDescent="0.25">
      <c r="A60" s="18">
        <f t="shared" si="1"/>
        <v>59</v>
      </c>
      <c r="B60" s="18" t="s">
        <v>133</v>
      </c>
      <c r="C60" s="18" t="s">
        <v>134</v>
      </c>
      <c r="D60" s="18">
        <v>31990</v>
      </c>
      <c r="E60" s="2"/>
      <c r="F60" s="18">
        <v>31990</v>
      </c>
      <c r="G60" s="18">
        <f t="shared" si="0"/>
        <v>0</v>
      </c>
    </row>
    <row r="61" spans="1:7" x14ac:dyDescent="0.25">
      <c r="A61" s="18">
        <f t="shared" si="1"/>
        <v>60</v>
      </c>
      <c r="B61" s="18" t="s">
        <v>135</v>
      </c>
      <c r="C61" s="18" t="s">
        <v>136</v>
      </c>
      <c r="D61" s="19">
        <v>17400</v>
      </c>
      <c r="E61" s="2"/>
      <c r="F61" s="19">
        <v>17400</v>
      </c>
      <c r="G61" s="19">
        <f t="shared" si="0"/>
        <v>0</v>
      </c>
    </row>
    <row r="62" spans="1:7" x14ac:dyDescent="0.25">
      <c r="A62" s="18">
        <f t="shared" si="1"/>
        <v>61</v>
      </c>
      <c r="B62" s="18" t="s">
        <v>139</v>
      </c>
      <c r="C62" s="18" t="s">
        <v>140</v>
      </c>
      <c r="D62" s="19">
        <v>42980</v>
      </c>
      <c r="E62" s="2"/>
      <c r="F62" s="19">
        <v>42980</v>
      </c>
      <c r="G62" s="19">
        <f t="shared" si="0"/>
        <v>0</v>
      </c>
    </row>
    <row r="63" spans="1:7" x14ac:dyDescent="0.25">
      <c r="A63" s="18">
        <f t="shared" si="1"/>
        <v>62</v>
      </c>
      <c r="B63" s="18" t="s">
        <v>141</v>
      </c>
      <c r="C63" s="18" t="s">
        <v>142</v>
      </c>
      <c r="D63" s="19">
        <v>315400</v>
      </c>
      <c r="E63" s="2"/>
      <c r="F63" s="19">
        <v>315400</v>
      </c>
      <c r="G63" s="19">
        <f t="shared" si="0"/>
        <v>0</v>
      </c>
    </row>
    <row r="64" spans="1:7" x14ac:dyDescent="0.25">
      <c r="A64" s="18">
        <f t="shared" si="1"/>
        <v>63</v>
      </c>
      <c r="B64" s="18" t="s">
        <v>143</v>
      </c>
      <c r="C64" s="18" t="s">
        <v>144</v>
      </c>
      <c r="D64" s="18">
        <v>1440</v>
      </c>
      <c r="E64" s="2"/>
      <c r="F64" s="18">
        <v>1440</v>
      </c>
      <c r="G64" s="18">
        <f t="shared" si="0"/>
        <v>0</v>
      </c>
    </row>
    <row r="65" spans="1:7" x14ac:dyDescent="0.25">
      <c r="A65" s="18">
        <f t="shared" si="1"/>
        <v>64</v>
      </c>
      <c r="B65" s="18" t="s">
        <v>145</v>
      </c>
      <c r="C65" s="18" t="s">
        <v>146</v>
      </c>
      <c r="D65" s="19">
        <v>5000</v>
      </c>
      <c r="E65" s="2"/>
      <c r="F65" s="19">
        <v>5000</v>
      </c>
      <c r="G65" s="19">
        <f t="shared" si="0"/>
        <v>0</v>
      </c>
    </row>
    <row r="66" spans="1:7" x14ac:dyDescent="0.25">
      <c r="A66" s="18">
        <f t="shared" si="1"/>
        <v>65</v>
      </c>
      <c r="B66" s="18" t="s">
        <v>341</v>
      </c>
      <c r="C66" s="18" t="s">
        <v>342</v>
      </c>
      <c r="D66" s="19">
        <v>170</v>
      </c>
      <c r="E66" s="2"/>
      <c r="F66" s="19">
        <v>170</v>
      </c>
      <c r="G66" s="19">
        <f t="shared" si="0"/>
        <v>0</v>
      </c>
    </row>
    <row r="67" spans="1:7" x14ac:dyDescent="0.25">
      <c r="A67" s="18">
        <f t="shared" si="1"/>
        <v>66</v>
      </c>
      <c r="B67" s="18" t="s">
        <v>147</v>
      </c>
      <c r="C67" s="18" t="s">
        <v>148</v>
      </c>
      <c r="D67" s="19">
        <v>20</v>
      </c>
      <c r="E67" s="2"/>
      <c r="F67" s="19">
        <v>20</v>
      </c>
      <c r="G67" s="19">
        <f t="shared" ref="G67:G130" si="2">F67-D67</f>
        <v>0</v>
      </c>
    </row>
    <row r="68" spans="1:7" x14ac:dyDescent="0.25">
      <c r="A68" s="18">
        <f t="shared" ref="A68:A131" si="3">A67+1</f>
        <v>67</v>
      </c>
      <c r="B68" s="18" t="s">
        <v>149</v>
      </c>
      <c r="C68" s="18" t="s">
        <v>150</v>
      </c>
      <c r="D68" s="19">
        <v>56000</v>
      </c>
      <c r="E68" s="2"/>
      <c r="F68" s="19">
        <v>56000</v>
      </c>
      <c r="G68" s="19">
        <f t="shared" si="2"/>
        <v>0</v>
      </c>
    </row>
    <row r="69" spans="1:7" x14ac:dyDescent="0.25">
      <c r="A69" s="18">
        <f t="shared" si="3"/>
        <v>68</v>
      </c>
      <c r="B69" s="18" t="s">
        <v>343</v>
      </c>
      <c r="C69" s="18" t="s">
        <v>344</v>
      </c>
      <c r="D69" s="18">
        <v>12950</v>
      </c>
      <c r="E69" s="2"/>
      <c r="F69" s="18">
        <v>12950</v>
      </c>
      <c r="G69" s="18">
        <f t="shared" si="2"/>
        <v>0</v>
      </c>
    </row>
    <row r="70" spans="1:7" x14ac:dyDescent="0.25">
      <c r="A70" s="18">
        <f t="shared" si="3"/>
        <v>69</v>
      </c>
      <c r="B70" s="18" t="s">
        <v>151</v>
      </c>
      <c r="C70" s="18" t="s">
        <v>152</v>
      </c>
      <c r="D70" s="19">
        <v>9310</v>
      </c>
      <c r="E70" s="2"/>
      <c r="F70" s="19">
        <v>9310</v>
      </c>
      <c r="G70" s="19">
        <f t="shared" si="2"/>
        <v>0</v>
      </c>
    </row>
    <row r="71" spans="1:7" x14ac:dyDescent="0.25">
      <c r="A71" s="18">
        <f t="shared" si="3"/>
        <v>70</v>
      </c>
      <c r="B71" s="18" t="s">
        <v>153</v>
      </c>
      <c r="C71" s="18" t="s">
        <v>154</v>
      </c>
      <c r="D71" s="19">
        <v>59220</v>
      </c>
      <c r="E71" s="2"/>
      <c r="F71" s="19">
        <v>59220</v>
      </c>
      <c r="G71" s="19">
        <f t="shared" si="2"/>
        <v>0</v>
      </c>
    </row>
    <row r="72" spans="1:7" x14ac:dyDescent="0.25">
      <c r="A72" s="18">
        <f t="shared" si="3"/>
        <v>71</v>
      </c>
      <c r="B72" s="18" t="s">
        <v>320</v>
      </c>
      <c r="C72" s="18" t="s">
        <v>321</v>
      </c>
      <c r="D72" s="19">
        <v>300</v>
      </c>
      <c r="E72" s="2"/>
      <c r="F72" s="19">
        <v>300</v>
      </c>
      <c r="G72" s="19">
        <f t="shared" si="2"/>
        <v>0</v>
      </c>
    </row>
    <row r="73" spans="1:7" x14ac:dyDescent="0.25">
      <c r="A73" s="18">
        <f t="shared" si="3"/>
        <v>72</v>
      </c>
      <c r="B73" s="18" t="s">
        <v>157</v>
      </c>
      <c r="C73" s="18" t="s">
        <v>158</v>
      </c>
      <c r="D73" s="19">
        <v>160800</v>
      </c>
      <c r="E73" s="2"/>
      <c r="F73" s="19">
        <v>160800</v>
      </c>
      <c r="G73" s="19">
        <f t="shared" si="2"/>
        <v>0</v>
      </c>
    </row>
    <row r="74" spans="1:7" x14ac:dyDescent="0.25">
      <c r="A74" s="18">
        <f t="shared" si="3"/>
        <v>73</v>
      </c>
      <c r="B74" s="18" t="s">
        <v>345</v>
      </c>
      <c r="C74" s="18" t="s">
        <v>346</v>
      </c>
      <c r="D74" s="19">
        <v>408</v>
      </c>
      <c r="E74" s="2"/>
      <c r="F74" s="19">
        <v>408</v>
      </c>
      <c r="G74" s="19">
        <f t="shared" si="2"/>
        <v>0</v>
      </c>
    </row>
    <row r="75" spans="1:7" x14ac:dyDescent="0.25">
      <c r="A75" s="18">
        <f t="shared" si="3"/>
        <v>74</v>
      </c>
      <c r="B75" s="18" t="s">
        <v>159</v>
      </c>
      <c r="C75" s="18" t="s">
        <v>160</v>
      </c>
      <c r="D75" s="19">
        <v>2600</v>
      </c>
      <c r="E75" s="2"/>
      <c r="F75" s="19">
        <v>2600</v>
      </c>
      <c r="G75" s="19">
        <f t="shared" si="2"/>
        <v>0</v>
      </c>
    </row>
    <row r="76" spans="1:7" x14ac:dyDescent="0.25">
      <c r="A76" s="18">
        <f t="shared" si="3"/>
        <v>75</v>
      </c>
      <c r="B76" s="18" t="s">
        <v>347</v>
      </c>
      <c r="C76" s="18" t="s">
        <v>348</v>
      </c>
      <c r="D76" s="19">
        <v>3200</v>
      </c>
      <c r="E76" s="2"/>
      <c r="F76" s="19">
        <v>3200</v>
      </c>
      <c r="G76" s="19">
        <f t="shared" si="2"/>
        <v>0</v>
      </c>
    </row>
    <row r="77" spans="1:7" x14ac:dyDescent="0.25">
      <c r="A77" s="18">
        <f t="shared" si="3"/>
        <v>76</v>
      </c>
      <c r="B77" s="18" t="s">
        <v>161</v>
      </c>
      <c r="C77" s="18" t="s">
        <v>162</v>
      </c>
      <c r="D77" s="19">
        <v>3260</v>
      </c>
      <c r="E77" s="2"/>
      <c r="F77" s="19">
        <v>3260</v>
      </c>
      <c r="G77" s="19">
        <f t="shared" si="2"/>
        <v>0</v>
      </c>
    </row>
    <row r="78" spans="1:7" x14ac:dyDescent="0.25">
      <c r="A78" s="18">
        <f t="shared" si="3"/>
        <v>77</v>
      </c>
      <c r="B78" s="18" t="s">
        <v>163</v>
      </c>
      <c r="C78" s="18" t="s">
        <v>164</v>
      </c>
      <c r="D78" s="18">
        <v>20000</v>
      </c>
      <c r="E78" s="2"/>
      <c r="F78" s="18">
        <v>20000</v>
      </c>
      <c r="G78" s="18">
        <f t="shared" si="2"/>
        <v>0</v>
      </c>
    </row>
    <row r="79" spans="1:7" x14ac:dyDescent="0.25">
      <c r="A79" s="18">
        <f t="shared" si="3"/>
        <v>78</v>
      </c>
      <c r="B79" s="18" t="s">
        <v>165</v>
      </c>
      <c r="C79" s="18" t="s">
        <v>166</v>
      </c>
      <c r="D79" s="19">
        <v>279</v>
      </c>
      <c r="E79" s="2"/>
      <c r="F79" s="19">
        <v>279</v>
      </c>
      <c r="G79" s="19">
        <f t="shared" si="2"/>
        <v>0</v>
      </c>
    </row>
    <row r="80" spans="1:7" x14ac:dyDescent="0.25">
      <c r="A80" s="18">
        <f t="shared" si="3"/>
        <v>79</v>
      </c>
      <c r="B80" s="18" t="s">
        <v>167</v>
      </c>
      <c r="C80" s="18" t="s">
        <v>168</v>
      </c>
      <c r="D80" s="19">
        <v>6300</v>
      </c>
      <c r="E80" s="2"/>
      <c r="F80" s="19">
        <v>6300</v>
      </c>
      <c r="G80" s="19">
        <f t="shared" si="2"/>
        <v>0</v>
      </c>
    </row>
    <row r="81" spans="1:7" x14ac:dyDescent="0.25">
      <c r="A81" s="18">
        <f t="shared" si="3"/>
        <v>80</v>
      </c>
      <c r="B81" s="18" t="s">
        <v>169</v>
      </c>
      <c r="C81" s="18" t="s">
        <v>170</v>
      </c>
      <c r="D81" s="19">
        <v>164627</v>
      </c>
      <c r="E81" s="2"/>
      <c r="F81" s="19">
        <v>164627</v>
      </c>
      <c r="G81" s="19">
        <f t="shared" si="2"/>
        <v>0</v>
      </c>
    </row>
    <row r="82" spans="1:7" x14ac:dyDescent="0.25">
      <c r="A82" s="18">
        <f t="shared" si="3"/>
        <v>81</v>
      </c>
      <c r="B82" s="18" t="s">
        <v>171</v>
      </c>
      <c r="C82" s="18" t="s">
        <v>172</v>
      </c>
      <c r="D82" s="19">
        <v>61740</v>
      </c>
      <c r="E82" s="2"/>
      <c r="F82" s="19">
        <v>61740</v>
      </c>
      <c r="G82" s="19">
        <f t="shared" si="2"/>
        <v>0</v>
      </c>
    </row>
    <row r="83" spans="1:7" x14ac:dyDescent="0.25">
      <c r="A83" s="18">
        <f t="shared" si="3"/>
        <v>82</v>
      </c>
      <c r="B83" s="18" t="s">
        <v>173</v>
      </c>
      <c r="C83" s="18" t="s">
        <v>174</v>
      </c>
      <c r="D83" s="18">
        <v>97860</v>
      </c>
      <c r="E83" s="2"/>
      <c r="F83" s="18">
        <v>97860</v>
      </c>
      <c r="G83" s="18">
        <f t="shared" si="2"/>
        <v>0</v>
      </c>
    </row>
    <row r="84" spans="1:7" x14ac:dyDescent="0.25">
      <c r="A84" s="18">
        <f t="shared" si="3"/>
        <v>83</v>
      </c>
      <c r="B84" s="18" t="s">
        <v>175</v>
      </c>
      <c r="C84" s="18" t="s">
        <v>176</v>
      </c>
      <c r="D84" s="19">
        <v>12970</v>
      </c>
      <c r="E84" s="2"/>
      <c r="F84" s="19">
        <v>12970</v>
      </c>
      <c r="G84" s="19">
        <f t="shared" si="2"/>
        <v>0</v>
      </c>
    </row>
    <row r="85" spans="1:7" x14ac:dyDescent="0.25">
      <c r="A85" s="18">
        <f t="shared" si="3"/>
        <v>84</v>
      </c>
      <c r="B85" s="18" t="s">
        <v>177</v>
      </c>
      <c r="C85" s="18" t="s">
        <v>178</v>
      </c>
      <c r="D85" s="19">
        <v>99540</v>
      </c>
      <c r="E85" s="2"/>
      <c r="F85" s="19">
        <v>99540</v>
      </c>
      <c r="G85" s="19">
        <f t="shared" si="2"/>
        <v>0</v>
      </c>
    </row>
    <row r="86" spans="1:7" x14ac:dyDescent="0.25">
      <c r="A86" s="18">
        <f t="shared" si="3"/>
        <v>85</v>
      </c>
      <c r="B86" s="18" t="s">
        <v>179</v>
      </c>
      <c r="C86" s="18" t="s">
        <v>180</v>
      </c>
      <c r="D86" s="19">
        <v>5880</v>
      </c>
      <c r="E86" s="2"/>
      <c r="F86" s="19">
        <v>5880</v>
      </c>
      <c r="G86" s="19">
        <f t="shared" si="2"/>
        <v>0</v>
      </c>
    </row>
    <row r="87" spans="1:7" x14ac:dyDescent="0.25">
      <c r="A87" s="18">
        <f t="shared" si="3"/>
        <v>86</v>
      </c>
      <c r="B87" s="18" t="s">
        <v>349</v>
      </c>
      <c r="C87" s="18" t="s">
        <v>350</v>
      </c>
      <c r="D87" s="19">
        <v>8400</v>
      </c>
      <c r="E87" s="2"/>
      <c r="F87" s="19">
        <v>8400</v>
      </c>
      <c r="G87" s="19">
        <f t="shared" si="2"/>
        <v>0</v>
      </c>
    </row>
    <row r="88" spans="1:7" x14ac:dyDescent="0.25">
      <c r="A88" s="18">
        <f t="shared" si="3"/>
        <v>87</v>
      </c>
      <c r="B88" s="18" t="s">
        <v>181</v>
      </c>
      <c r="C88" s="18" t="s">
        <v>182</v>
      </c>
      <c r="D88" s="19">
        <v>35880</v>
      </c>
      <c r="E88" s="2"/>
      <c r="F88" s="19">
        <v>35880</v>
      </c>
      <c r="G88" s="19">
        <f t="shared" si="2"/>
        <v>0</v>
      </c>
    </row>
    <row r="89" spans="1:7" x14ac:dyDescent="0.25">
      <c r="A89" s="18">
        <f t="shared" si="3"/>
        <v>88</v>
      </c>
      <c r="B89" s="18" t="s">
        <v>183</v>
      </c>
      <c r="C89" s="18" t="s">
        <v>184</v>
      </c>
      <c r="D89" s="19">
        <v>23000</v>
      </c>
      <c r="E89" s="2"/>
      <c r="F89" s="19">
        <v>23000</v>
      </c>
      <c r="G89" s="19">
        <f t="shared" si="2"/>
        <v>0</v>
      </c>
    </row>
    <row r="90" spans="1:7" x14ac:dyDescent="0.25">
      <c r="A90" s="18">
        <f t="shared" si="3"/>
        <v>89</v>
      </c>
      <c r="B90" s="18" t="s">
        <v>351</v>
      </c>
      <c r="C90" s="18" t="s">
        <v>352</v>
      </c>
      <c r="D90" s="19">
        <v>1450</v>
      </c>
      <c r="E90" s="2"/>
      <c r="F90" s="19">
        <v>1450</v>
      </c>
      <c r="G90" s="19">
        <f t="shared" si="2"/>
        <v>0</v>
      </c>
    </row>
    <row r="91" spans="1:7" x14ac:dyDescent="0.25">
      <c r="A91" s="18">
        <f t="shared" si="3"/>
        <v>90</v>
      </c>
      <c r="B91" s="18" t="s">
        <v>185</v>
      </c>
      <c r="C91" s="18" t="s">
        <v>186</v>
      </c>
      <c r="D91" s="19">
        <v>4160</v>
      </c>
      <c r="E91" s="2"/>
      <c r="F91" s="19">
        <v>4160</v>
      </c>
      <c r="G91" s="19">
        <f t="shared" si="2"/>
        <v>0</v>
      </c>
    </row>
    <row r="92" spans="1:7" x14ac:dyDescent="0.25">
      <c r="A92" s="18">
        <f t="shared" si="3"/>
        <v>91</v>
      </c>
      <c r="B92" s="18" t="s">
        <v>187</v>
      </c>
      <c r="C92" s="18" t="s">
        <v>188</v>
      </c>
      <c r="D92" s="18">
        <v>5600</v>
      </c>
      <c r="E92" s="2"/>
      <c r="F92" s="18">
        <v>5600</v>
      </c>
      <c r="G92" s="18">
        <f t="shared" si="2"/>
        <v>0</v>
      </c>
    </row>
    <row r="93" spans="1:7" x14ac:dyDescent="0.25">
      <c r="A93" s="18">
        <f t="shared" si="3"/>
        <v>92</v>
      </c>
      <c r="B93" s="18" t="s">
        <v>189</v>
      </c>
      <c r="C93" s="18" t="s">
        <v>190</v>
      </c>
      <c r="D93" s="18">
        <v>177600</v>
      </c>
      <c r="E93" s="2"/>
      <c r="F93" s="18">
        <v>177600</v>
      </c>
      <c r="G93" s="18">
        <f t="shared" si="2"/>
        <v>0</v>
      </c>
    </row>
    <row r="94" spans="1:7" x14ac:dyDescent="0.25">
      <c r="A94" s="18">
        <f t="shared" si="3"/>
        <v>93</v>
      </c>
      <c r="B94" s="18" t="s">
        <v>191</v>
      </c>
      <c r="C94" s="18" t="s">
        <v>192</v>
      </c>
      <c r="D94" s="18">
        <v>6078</v>
      </c>
      <c r="E94" s="2"/>
      <c r="F94" s="18">
        <v>6078</v>
      </c>
      <c r="G94" s="18">
        <f t="shared" si="2"/>
        <v>0</v>
      </c>
    </row>
    <row r="95" spans="1:7" x14ac:dyDescent="0.25">
      <c r="A95" s="18">
        <f t="shared" si="3"/>
        <v>94</v>
      </c>
      <c r="B95" s="18" t="s">
        <v>193</v>
      </c>
      <c r="C95" s="18" t="s">
        <v>194</v>
      </c>
      <c r="D95" s="18">
        <v>504</v>
      </c>
      <c r="E95" s="2"/>
      <c r="F95" s="18">
        <v>504</v>
      </c>
      <c r="G95" s="18">
        <f t="shared" si="2"/>
        <v>0</v>
      </c>
    </row>
    <row r="96" spans="1:7" x14ac:dyDescent="0.25">
      <c r="A96" s="18">
        <f t="shared" si="3"/>
        <v>95</v>
      </c>
      <c r="B96" s="18" t="s">
        <v>195</v>
      </c>
      <c r="C96" s="18" t="s">
        <v>196</v>
      </c>
      <c r="D96" s="19">
        <v>290</v>
      </c>
      <c r="E96" s="2"/>
      <c r="F96" s="19">
        <v>290</v>
      </c>
      <c r="G96" s="19">
        <f t="shared" si="2"/>
        <v>0</v>
      </c>
    </row>
    <row r="97" spans="1:7" x14ac:dyDescent="0.25">
      <c r="A97" s="18">
        <f t="shared" si="3"/>
        <v>96</v>
      </c>
      <c r="B97" s="18" t="s">
        <v>201</v>
      </c>
      <c r="C97" s="18" t="s">
        <v>202</v>
      </c>
      <c r="D97" s="19">
        <v>1555</v>
      </c>
      <c r="E97" s="2"/>
      <c r="F97" s="19">
        <v>1555</v>
      </c>
      <c r="G97" s="19">
        <f t="shared" si="2"/>
        <v>0</v>
      </c>
    </row>
    <row r="98" spans="1:7" x14ac:dyDescent="0.25">
      <c r="A98" s="18">
        <f t="shared" si="3"/>
        <v>97</v>
      </c>
      <c r="B98" s="18" t="s">
        <v>203</v>
      </c>
      <c r="C98" s="18" t="s">
        <v>204</v>
      </c>
      <c r="D98" s="19">
        <v>1935</v>
      </c>
      <c r="E98" s="2"/>
      <c r="F98" s="19">
        <v>1935</v>
      </c>
      <c r="G98" s="19">
        <f t="shared" si="2"/>
        <v>0</v>
      </c>
    </row>
    <row r="99" spans="1:7" x14ac:dyDescent="0.25">
      <c r="A99" s="18">
        <f t="shared" si="3"/>
        <v>98</v>
      </c>
      <c r="B99" s="18" t="s">
        <v>205</v>
      </c>
      <c r="C99" s="18" t="s">
        <v>206</v>
      </c>
      <c r="D99" s="19">
        <v>1295</v>
      </c>
      <c r="E99" s="2"/>
      <c r="F99" s="19">
        <v>1295</v>
      </c>
      <c r="G99" s="19">
        <f t="shared" si="2"/>
        <v>0</v>
      </c>
    </row>
    <row r="100" spans="1:7" x14ac:dyDescent="0.25">
      <c r="A100" s="18">
        <f t="shared" si="3"/>
        <v>99</v>
      </c>
      <c r="B100" s="18" t="s">
        <v>207</v>
      </c>
      <c r="C100" s="18" t="s">
        <v>208</v>
      </c>
      <c r="D100" s="19">
        <v>645</v>
      </c>
      <c r="E100" s="2"/>
      <c r="F100" s="19">
        <v>645</v>
      </c>
      <c r="G100" s="19">
        <f t="shared" si="2"/>
        <v>0</v>
      </c>
    </row>
    <row r="101" spans="1:7" x14ac:dyDescent="0.25">
      <c r="A101" s="18">
        <f t="shared" si="3"/>
        <v>100</v>
      </c>
      <c r="B101" s="18" t="s">
        <v>209</v>
      </c>
      <c r="C101" s="18" t="s">
        <v>210</v>
      </c>
      <c r="D101" s="19">
        <v>1030</v>
      </c>
      <c r="E101" s="2"/>
      <c r="F101" s="19">
        <v>1030</v>
      </c>
      <c r="G101" s="19">
        <f t="shared" si="2"/>
        <v>0</v>
      </c>
    </row>
    <row r="102" spans="1:7" x14ac:dyDescent="0.25">
      <c r="A102" s="18">
        <f t="shared" si="3"/>
        <v>101</v>
      </c>
      <c r="B102" s="18" t="s">
        <v>211</v>
      </c>
      <c r="C102" s="18" t="s">
        <v>212</v>
      </c>
      <c r="D102" s="19">
        <v>2815</v>
      </c>
      <c r="E102" s="2"/>
      <c r="F102" s="19">
        <v>2815</v>
      </c>
      <c r="G102" s="19">
        <f t="shared" si="2"/>
        <v>0</v>
      </c>
    </row>
    <row r="103" spans="1:7" x14ac:dyDescent="0.25">
      <c r="A103" s="18">
        <f t="shared" si="3"/>
        <v>102</v>
      </c>
      <c r="B103" s="18" t="s">
        <v>213</v>
      </c>
      <c r="C103" s="18" t="s">
        <v>214</v>
      </c>
      <c r="D103" s="18">
        <v>595</v>
      </c>
      <c r="E103" s="2"/>
      <c r="F103" s="18">
        <v>595</v>
      </c>
      <c r="G103" s="18">
        <f t="shared" si="2"/>
        <v>0</v>
      </c>
    </row>
    <row r="104" spans="1:7" x14ac:dyDescent="0.25">
      <c r="A104" s="18">
        <f t="shared" si="3"/>
        <v>103</v>
      </c>
      <c r="B104" s="18" t="s">
        <v>215</v>
      </c>
      <c r="C104" s="18" t="s">
        <v>216</v>
      </c>
      <c r="D104" s="18">
        <v>1605</v>
      </c>
      <c r="E104" s="2"/>
      <c r="F104" s="18">
        <v>1605</v>
      </c>
      <c r="G104" s="18">
        <f t="shared" si="2"/>
        <v>0</v>
      </c>
    </row>
    <row r="105" spans="1:7" x14ac:dyDescent="0.25">
      <c r="A105" s="18">
        <f t="shared" si="3"/>
        <v>104</v>
      </c>
      <c r="B105" s="18" t="s">
        <v>217</v>
      </c>
      <c r="C105" s="18" t="s">
        <v>218</v>
      </c>
      <c r="D105" s="18">
        <v>125</v>
      </c>
      <c r="E105" s="2"/>
      <c r="F105" s="18">
        <v>125</v>
      </c>
      <c r="G105" s="18">
        <f t="shared" si="2"/>
        <v>0</v>
      </c>
    </row>
    <row r="106" spans="1:7" x14ac:dyDescent="0.25">
      <c r="A106" s="18">
        <f t="shared" si="3"/>
        <v>105</v>
      </c>
      <c r="B106" s="18" t="s">
        <v>219</v>
      </c>
      <c r="C106" s="18" t="s">
        <v>220</v>
      </c>
      <c r="D106" s="18">
        <v>10</v>
      </c>
      <c r="E106" s="2"/>
      <c r="F106" s="18">
        <v>10</v>
      </c>
      <c r="G106" s="18">
        <f t="shared" si="2"/>
        <v>0</v>
      </c>
    </row>
    <row r="107" spans="1:7" x14ac:dyDescent="0.25">
      <c r="A107" s="18">
        <f t="shared" si="3"/>
        <v>106</v>
      </c>
      <c r="B107" s="18" t="s">
        <v>221</v>
      </c>
      <c r="C107" s="18" t="s">
        <v>222</v>
      </c>
      <c r="D107" s="18">
        <v>500</v>
      </c>
      <c r="E107" s="2"/>
      <c r="F107" s="18">
        <v>500</v>
      </c>
      <c r="G107" s="18">
        <f t="shared" si="2"/>
        <v>0</v>
      </c>
    </row>
    <row r="108" spans="1:7" x14ac:dyDescent="0.25">
      <c r="A108" s="18">
        <f t="shared" si="3"/>
        <v>107</v>
      </c>
      <c r="B108" s="18" t="s">
        <v>225</v>
      </c>
      <c r="C108" s="18" t="s">
        <v>226</v>
      </c>
      <c r="D108" s="18">
        <v>100</v>
      </c>
      <c r="E108" s="2"/>
      <c r="F108" s="18">
        <v>100</v>
      </c>
      <c r="G108" s="18">
        <f t="shared" si="2"/>
        <v>0</v>
      </c>
    </row>
    <row r="109" spans="1:7" x14ac:dyDescent="0.25">
      <c r="A109" s="18">
        <f t="shared" si="3"/>
        <v>108</v>
      </c>
      <c r="B109" s="18" t="s">
        <v>227</v>
      </c>
      <c r="C109" s="18" t="s">
        <v>228</v>
      </c>
      <c r="D109" s="18">
        <v>35</v>
      </c>
      <c r="E109" s="2"/>
      <c r="F109" s="18">
        <v>35</v>
      </c>
      <c r="G109" s="18">
        <f t="shared" si="2"/>
        <v>0</v>
      </c>
    </row>
    <row r="110" spans="1:7" x14ac:dyDescent="0.25">
      <c r="A110" s="18">
        <f t="shared" si="3"/>
        <v>109</v>
      </c>
      <c r="B110" s="18" t="s">
        <v>229</v>
      </c>
      <c r="C110" s="18" t="s">
        <v>230</v>
      </c>
      <c r="D110" s="18">
        <v>220</v>
      </c>
      <c r="E110" s="2"/>
      <c r="F110" s="18">
        <v>220</v>
      </c>
      <c r="G110" s="18">
        <f t="shared" si="2"/>
        <v>0</v>
      </c>
    </row>
    <row r="111" spans="1:7" x14ac:dyDescent="0.25">
      <c r="A111" s="18">
        <f t="shared" si="3"/>
        <v>110</v>
      </c>
      <c r="B111" s="18" t="s">
        <v>231</v>
      </c>
      <c r="C111" s="18" t="s">
        <v>232</v>
      </c>
      <c r="D111" s="19">
        <v>18</v>
      </c>
      <c r="E111" s="2"/>
      <c r="F111" s="19">
        <v>18</v>
      </c>
      <c r="G111" s="19">
        <f t="shared" si="2"/>
        <v>0</v>
      </c>
    </row>
    <row r="112" spans="1:7" x14ac:dyDescent="0.25">
      <c r="A112" s="18">
        <f t="shared" si="3"/>
        <v>111</v>
      </c>
      <c r="B112" s="18" t="s">
        <v>233</v>
      </c>
      <c r="C112" s="18" t="s">
        <v>234</v>
      </c>
      <c r="D112" s="19">
        <v>346340</v>
      </c>
      <c r="E112" s="2"/>
      <c r="F112" s="19">
        <v>346340</v>
      </c>
      <c r="G112" s="19">
        <f t="shared" si="2"/>
        <v>0</v>
      </c>
    </row>
    <row r="113" spans="1:7" x14ac:dyDescent="0.25">
      <c r="A113" s="18">
        <f t="shared" si="3"/>
        <v>112</v>
      </c>
      <c r="B113" s="18" t="s">
        <v>235</v>
      </c>
      <c r="C113" s="18" t="s">
        <v>236</v>
      </c>
      <c r="D113" s="19">
        <v>2080</v>
      </c>
      <c r="E113" s="2"/>
      <c r="F113" s="19">
        <v>2080</v>
      </c>
      <c r="G113" s="19">
        <f t="shared" si="2"/>
        <v>0</v>
      </c>
    </row>
    <row r="114" spans="1:7" x14ac:dyDescent="0.25">
      <c r="A114" s="18">
        <f t="shared" si="3"/>
        <v>113</v>
      </c>
      <c r="B114" s="18" t="s">
        <v>237</v>
      </c>
      <c r="C114" s="18" t="s">
        <v>238</v>
      </c>
      <c r="D114" s="19">
        <v>2900</v>
      </c>
      <c r="E114" s="2"/>
      <c r="F114" s="19">
        <v>2900</v>
      </c>
      <c r="G114" s="19">
        <f t="shared" si="2"/>
        <v>0</v>
      </c>
    </row>
    <row r="115" spans="1:7" x14ac:dyDescent="0.25">
      <c r="A115" s="18">
        <f t="shared" si="3"/>
        <v>114</v>
      </c>
      <c r="B115" s="18" t="s">
        <v>239</v>
      </c>
      <c r="C115" s="18" t="s">
        <v>240</v>
      </c>
      <c r="D115" s="19">
        <v>2338</v>
      </c>
      <c r="E115" s="2"/>
      <c r="F115" s="19">
        <v>2338</v>
      </c>
      <c r="G115" s="19">
        <f t="shared" si="2"/>
        <v>0</v>
      </c>
    </row>
    <row r="116" spans="1:7" x14ac:dyDescent="0.25">
      <c r="A116" s="18">
        <f t="shared" si="3"/>
        <v>115</v>
      </c>
      <c r="B116" s="18" t="s">
        <v>241</v>
      </c>
      <c r="C116" s="18" t="s">
        <v>242</v>
      </c>
      <c r="D116" s="19">
        <v>4518</v>
      </c>
      <c r="E116" s="2"/>
      <c r="F116" s="19">
        <v>4518</v>
      </c>
      <c r="G116" s="19">
        <f t="shared" si="2"/>
        <v>0</v>
      </c>
    </row>
    <row r="117" spans="1:7" x14ac:dyDescent="0.25">
      <c r="A117" s="18">
        <f t="shared" si="3"/>
        <v>116</v>
      </c>
      <c r="B117" s="18" t="s">
        <v>243</v>
      </c>
      <c r="C117" s="18" t="s">
        <v>244</v>
      </c>
      <c r="D117" s="19">
        <v>1627</v>
      </c>
      <c r="E117" s="2"/>
      <c r="F117" s="19">
        <v>1627</v>
      </c>
      <c r="G117" s="19">
        <f t="shared" si="2"/>
        <v>0</v>
      </c>
    </row>
    <row r="118" spans="1:7" x14ac:dyDescent="0.25">
      <c r="A118" s="18">
        <f t="shared" si="3"/>
        <v>117</v>
      </c>
      <c r="B118" s="18" t="s">
        <v>245</v>
      </c>
      <c r="C118" s="18" t="s">
        <v>246</v>
      </c>
      <c r="D118" s="18">
        <v>2559</v>
      </c>
      <c r="E118" s="2"/>
      <c r="F118" s="18">
        <v>2559</v>
      </c>
      <c r="G118" s="18">
        <f t="shared" si="2"/>
        <v>0</v>
      </c>
    </row>
    <row r="119" spans="1:7" x14ac:dyDescent="0.25">
      <c r="A119" s="18">
        <f t="shared" si="3"/>
        <v>118</v>
      </c>
      <c r="B119" s="18" t="s">
        <v>247</v>
      </c>
      <c r="C119" s="18" t="s">
        <v>248</v>
      </c>
      <c r="D119" s="18">
        <v>75</v>
      </c>
      <c r="E119" s="2"/>
      <c r="F119" s="18">
        <v>75</v>
      </c>
      <c r="G119" s="18">
        <f t="shared" si="2"/>
        <v>0</v>
      </c>
    </row>
    <row r="120" spans="1:7" x14ac:dyDescent="0.25">
      <c r="A120" s="18">
        <f t="shared" si="3"/>
        <v>119</v>
      </c>
      <c r="B120" s="18" t="s">
        <v>249</v>
      </c>
      <c r="C120" s="18" t="s">
        <v>250</v>
      </c>
      <c r="D120" s="19">
        <v>45</v>
      </c>
      <c r="E120" s="2"/>
      <c r="F120" s="19">
        <v>45</v>
      </c>
      <c r="G120" s="19">
        <f t="shared" si="2"/>
        <v>0</v>
      </c>
    </row>
    <row r="121" spans="1:7" x14ac:dyDescent="0.25">
      <c r="A121" s="18">
        <f t="shared" si="3"/>
        <v>120</v>
      </c>
      <c r="B121" s="18" t="s">
        <v>251</v>
      </c>
      <c r="C121" s="18" t="s">
        <v>252</v>
      </c>
      <c r="D121" s="18">
        <v>11246</v>
      </c>
      <c r="E121" s="2"/>
      <c r="F121" s="18">
        <v>11246</v>
      </c>
      <c r="G121" s="18">
        <f t="shared" si="2"/>
        <v>0</v>
      </c>
    </row>
    <row r="122" spans="1:7" x14ac:dyDescent="0.25">
      <c r="A122" s="18">
        <f t="shared" si="3"/>
        <v>121</v>
      </c>
      <c r="B122" s="18" t="s">
        <v>253</v>
      </c>
      <c r="C122" s="18" t="s">
        <v>254</v>
      </c>
      <c r="D122" s="18">
        <v>72</v>
      </c>
      <c r="E122" s="2"/>
      <c r="F122" s="18">
        <v>72</v>
      </c>
      <c r="G122" s="18">
        <f t="shared" si="2"/>
        <v>0</v>
      </c>
    </row>
    <row r="123" spans="1:7" x14ac:dyDescent="0.25">
      <c r="A123" s="18">
        <f t="shared" si="3"/>
        <v>122</v>
      </c>
      <c r="B123" s="18" t="s">
        <v>255</v>
      </c>
      <c r="C123" s="18" t="s">
        <v>256</v>
      </c>
      <c r="D123" s="18">
        <v>12320</v>
      </c>
      <c r="E123" s="2"/>
      <c r="F123" s="18">
        <v>12320</v>
      </c>
      <c r="G123" s="18">
        <f t="shared" si="2"/>
        <v>0</v>
      </c>
    </row>
    <row r="124" spans="1:7" x14ac:dyDescent="0.25">
      <c r="A124" s="18">
        <f t="shared" si="3"/>
        <v>123</v>
      </c>
      <c r="B124" s="18" t="s">
        <v>353</v>
      </c>
      <c r="C124" s="18" t="s">
        <v>28</v>
      </c>
      <c r="D124" s="19">
        <v>464000</v>
      </c>
      <c r="E124" s="2"/>
      <c r="F124" s="19">
        <v>464000</v>
      </c>
      <c r="G124" s="19">
        <f t="shared" si="2"/>
        <v>0</v>
      </c>
    </row>
    <row r="125" spans="1:7" x14ac:dyDescent="0.25">
      <c r="A125" s="18">
        <f t="shared" si="3"/>
        <v>124</v>
      </c>
      <c r="B125" s="18" t="s">
        <v>354</v>
      </c>
      <c r="C125" s="18" t="s">
        <v>355</v>
      </c>
      <c r="D125" s="19">
        <v>21100</v>
      </c>
      <c r="E125" s="2"/>
      <c r="F125" s="19">
        <v>21100</v>
      </c>
      <c r="G125" s="19">
        <f t="shared" si="2"/>
        <v>0</v>
      </c>
    </row>
    <row r="126" spans="1:7" x14ac:dyDescent="0.25">
      <c r="A126" s="18">
        <f t="shared" si="3"/>
        <v>125</v>
      </c>
      <c r="B126" s="18" t="s">
        <v>356</v>
      </c>
      <c r="C126" s="18" t="s">
        <v>357</v>
      </c>
      <c r="D126" s="18">
        <v>8000</v>
      </c>
      <c r="E126" s="2"/>
      <c r="F126" s="18">
        <v>8000</v>
      </c>
      <c r="G126" s="18">
        <f t="shared" si="2"/>
        <v>0</v>
      </c>
    </row>
    <row r="127" spans="1:7" x14ac:dyDescent="0.25">
      <c r="A127" s="18">
        <f t="shared" si="3"/>
        <v>126</v>
      </c>
      <c r="B127" s="18" t="s">
        <v>358</v>
      </c>
      <c r="C127" s="18" t="s">
        <v>359</v>
      </c>
      <c r="D127" s="18">
        <v>200</v>
      </c>
      <c r="E127" s="2"/>
      <c r="F127" s="18">
        <v>200</v>
      </c>
      <c r="G127" s="18">
        <f t="shared" si="2"/>
        <v>0</v>
      </c>
    </row>
    <row r="128" spans="1:7" x14ac:dyDescent="0.25">
      <c r="A128" s="18">
        <f t="shared" si="3"/>
        <v>127</v>
      </c>
      <c r="B128" s="18" t="s">
        <v>257</v>
      </c>
      <c r="C128" s="18" t="s">
        <v>258</v>
      </c>
      <c r="D128" s="18">
        <v>754</v>
      </c>
      <c r="E128" s="2"/>
      <c r="F128" s="18">
        <v>754</v>
      </c>
      <c r="G128" s="18">
        <f t="shared" si="2"/>
        <v>0</v>
      </c>
    </row>
    <row r="129" spans="1:7" x14ac:dyDescent="0.25">
      <c r="A129" s="18">
        <f t="shared" si="3"/>
        <v>128</v>
      </c>
      <c r="B129" s="18" t="s">
        <v>259</v>
      </c>
      <c r="C129" s="18" t="s">
        <v>260</v>
      </c>
      <c r="D129" s="19">
        <v>2168</v>
      </c>
      <c r="E129" s="2"/>
      <c r="F129" s="19">
        <v>2168</v>
      </c>
      <c r="G129" s="19">
        <f t="shared" si="2"/>
        <v>0</v>
      </c>
    </row>
    <row r="130" spans="1:7" x14ac:dyDescent="0.25">
      <c r="A130" s="18">
        <f t="shared" si="3"/>
        <v>129</v>
      </c>
      <c r="B130" s="18" t="s">
        <v>261</v>
      </c>
      <c r="C130" s="18" t="s">
        <v>262</v>
      </c>
      <c r="D130" s="19">
        <v>1060</v>
      </c>
      <c r="E130" s="2"/>
      <c r="F130" s="19">
        <v>1060</v>
      </c>
      <c r="G130" s="19">
        <f t="shared" si="2"/>
        <v>0</v>
      </c>
    </row>
    <row r="131" spans="1:7" x14ac:dyDescent="0.25">
      <c r="A131" s="18">
        <f t="shared" si="3"/>
        <v>130</v>
      </c>
      <c r="B131" s="18" t="s">
        <v>263</v>
      </c>
      <c r="C131" s="18" t="s">
        <v>264</v>
      </c>
      <c r="D131" s="18">
        <v>692</v>
      </c>
      <c r="E131" s="2"/>
      <c r="F131" s="18">
        <v>692</v>
      </c>
      <c r="G131" s="18">
        <f t="shared" ref="G131:G156" si="4">F131-D131</f>
        <v>0</v>
      </c>
    </row>
    <row r="132" spans="1:7" x14ac:dyDescent="0.25">
      <c r="A132" s="18">
        <f t="shared" ref="A132:A156" si="5">A131+1</f>
        <v>131</v>
      </c>
      <c r="B132" s="18" t="s">
        <v>265</v>
      </c>
      <c r="C132" s="18" t="s">
        <v>266</v>
      </c>
      <c r="D132" s="18">
        <v>1114</v>
      </c>
      <c r="E132" s="2"/>
      <c r="F132" s="18">
        <v>1114</v>
      </c>
      <c r="G132" s="18">
        <f t="shared" si="4"/>
        <v>0</v>
      </c>
    </row>
    <row r="133" spans="1:7" x14ac:dyDescent="0.25">
      <c r="A133" s="18">
        <f t="shared" si="5"/>
        <v>132</v>
      </c>
      <c r="B133" s="18" t="s">
        <v>269</v>
      </c>
      <c r="C133" s="18" t="s">
        <v>270</v>
      </c>
      <c r="D133" s="19">
        <v>16000</v>
      </c>
      <c r="E133" s="2"/>
      <c r="F133" s="19">
        <v>16000</v>
      </c>
      <c r="G133" s="19">
        <f t="shared" si="4"/>
        <v>0</v>
      </c>
    </row>
    <row r="134" spans="1:7" x14ac:dyDescent="0.25">
      <c r="A134" s="18">
        <f t="shared" si="5"/>
        <v>133</v>
      </c>
      <c r="B134" s="18" t="s">
        <v>271</v>
      </c>
      <c r="C134" s="18" t="s">
        <v>272</v>
      </c>
      <c r="D134" s="19">
        <v>68000</v>
      </c>
      <c r="E134" s="2"/>
      <c r="F134" s="19">
        <v>68000</v>
      </c>
      <c r="G134" s="19">
        <f t="shared" si="4"/>
        <v>0</v>
      </c>
    </row>
    <row r="135" spans="1:7" x14ac:dyDescent="0.25">
      <c r="A135" s="18">
        <f t="shared" si="5"/>
        <v>134</v>
      </c>
      <c r="B135" s="18" t="s">
        <v>273</v>
      </c>
      <c r="C135" s="18" t="s">
        <v>274</v>
      </c>
      <c r="D135" s="19">
        <v>874</v>
      </c>
      <c r="E135" s="2"/>
      <c r="F135" s="19">
        <v>874</v>
      </c>
      <c r="G135" s="19">
        <f t="shared" si="4"/>
        <v>0</v>
      </c>
    </row>
    <row r="136" spans="1:7" x14ac:dyDescent="0.25">
      <c r="A136" s="18">
        <f t="shared" si="5"/>
        <v>135</v>
      </c>
      <c r="B136" s="18" t="s">
        <v>275</v>
      </c>
      <c r="C136" s="18" t="s">
        <v>276</v>
      </c>
      <c r="D136" s="19">
        <v>760</v>
      </c>
      <c r="E136" s="2"/>
      <c r="F136" s="19">
        <v>760</v>
      </c>
      <c r="G136" s="19">
        <f t="shared" si="4"/>
        <v>0</v>
      </c>
    </row>
    <row r="137" spans="1:7" x14ac:dyDescent="0.25">
      <c r="A137" s="18">
        <f t="shared" si="5"/>
        <v>136</v>
      </c>
      <c r="B137" s="18" t="s">
        <v>277</v>
      </c>
      <c r="C137" s="18" t="s">
        <v>278</v>
      </c>
      <c r="D137" s="18">
        <v>994</v>
      </c>
      <c r="E137" s="2"/>
      <c r="F137" s="18">
        <v>994</v>
      </c>
      <c r="G137" s="18">
        <f t="shared" si="4"/>
        <v>0</v>
      </c>
    </row>
    <row r="138" spans="1:7" x14ac:dyDescent="0.25">
      <c r="A138" s="18">
        <f t="shared" si="5"/>
        <v>137</v>
      </c>
      <c r="B138" s="18" t="s">
        <v>279</v>
      </c>
      <c r="C138" s="18" t="s">
        <v>280</v>
      </c>
      <c r="D138" s="19">
        <v>1866</v>
      </c>
      <c r="E138" s="2"/>
      <c r="F138" s="19">
        <v>1866</v>
      </c>
      <c r="G138" s="19">
        <f t="shared" si="4"/>
        <v>0</v>
      </c>
    </row>
    <row r="139" spans="1:7" x14ac:dyDescent="0.25">
      <c r="A139" s="18">
        <f t="shared" si="5"/>
        <v>138</v>
      </c>
      <c r="B139" s="18" t="s">
        <v>360</v>
      </c>
      <c r="C139" s="18" t="s">
        <v>361</v>
      </c>
      <c r="D139" s="19">
        <v>120</v>
      </c>
      <c r="E139" s="2"/>
      <c r="F139" s="19">
        <v>120</v>
      </c>
      <c r="G139" s="19">
        <f t="shared" si="4"/>
        <v>0</v>
      </c>
    </row>
    <row r="140" spans="1:7" x14ac:dyDescent="0.25">
      <c r="A140" s="18">
        <f t="shared" si="5"/>
        <v>139</v>
      </c>
      <c r="B140" s="18" t="s">
        <v>362</v>
      </c>
      <c r="C140" s="18" t="s">
        <v>363</v>
      </c>
      <c r="D140" s="19">
        <v>120</v>
      </c>
      <c r="E140" s="2"/>
      <c r="F140" s="19">
        <v>120</v>
      </c>
      <c r="G140" s="19">
        <f t="shared" si="4"/>
        <v>0</v>
      </c>
    </row>
    <row r="141" spans="1:7" x14ac:dyDescent="0.25">
      <c r="A141" s="18">
        <f t="shared" si="5"/>
        <v>140</v>
      </c>
      <c r="B141" s="18" t="s">
        <v>364</v>
      </c>
      <c r="C141" s="18" t="s">
        <v>365</v>
      </c>
      <c r="D141" s="19">
        <v>120</v>
      </c>
      <c r="E141" s="2"/>
      <c r="F141" s="19">
        <v>120</v>
      </c>
      <c r="G141" s="19">
        <f t="shared" si="4"/>
        <v>0</v>
      </c>
    </row>
    <row r="142" spans="1:7" x14ac:dyDescent="0.25">
      <c r="A142" s="18">
        <f t="shared" si="5"/>
        <v>141</v>
      </c>
      <c r="B142" s="18" t="s">
        <v>281</v>
      </c>
      <c r="C142" s="18" t="s">
        <v>282</v>
      </c>
      <c r="D142" s="18">
        <v>13860</v>
      </c>
      <c r="E142" s="2"/>
      <c r="F142" s="18">
        <v>13860</v>
      </c>
      <c r="G142" s="18">
        <f t="shared" si="4"/>
        <v>0</v>
      </c>
    </row>
    <row r="143" spans="1:7" x14ac:dyDescent="0.25">
      <c r="A143" s="18">
        <f t="shared" si="5"/>
        <v>142</v>
      </c>
      <c r="B143" s="18" t="s">
        <v>283</v>
      </c>
      <c r="C143" s="18" t="s">
        <v>284</v>
      </c>
      <c r="D143" s="18">
        <v>1260</v>
      </c>
      <c r="E143" s="2"/>
      <c r="F143" s="18">
        <v>1260</v>
      </c>
      <c r="G143" s="18">
        <f t="shared" si="4"/>
        <v>0</v>
      </c>
    </row>
    <row r="144" spans="1:7" x14ac:dyDescent="0.25">
      <c r="A144" s="18">
        <f t="shared" si="5"/>
        <v>143</v>
      </c>
      <c r="B144" s="18" t="s">
        <v>285</v>
      </c>
      <c r="C144" s="18" t="s">
        <v>286</v>
      </c>
      <c r="D144" s="19">
        <v>132</v>
      </c>
      <c r="E144" s="2"/>
      <c r="F144" s="19">
        <v>132</v>
      </c>
      <c r="G144" s="19">
        <f t="shared" si="4"/>
        <v>0</v>
      </c>
    </row>
    <row r="145" spans="1:7" x14ac:dyDescent="0.25">
      <c r="A145" s="18">
        <f t="shared" si="5"/>
        <v>144</v>
      </c>
      <c r="B145" s="18" t="s">
        <v>287</v>
      </c>
      <c r="C145" s="18" t="s">
        <v>288</v>
      </c>
      <c r="D145" s="18">
        <v>12000</v>
      </c>
      <c r="E145" s="2"/>
      <c r="F145" s="18">
        <v>12000</v>
      </c>
      <c r="G145" s="18">
        <f t="shared" si="4"/>
        <v>0</v>
      </c>
    </row>
    <row r="146" spans="1:7" x14ac:dyDescent="0.25">
      <c r="A146" s="18">
        <f t="shared" si="5"/>
        <v>145</v>
      </c>
      <c r="B146" s="18" t="s">
        <v>289</v>
      </c>
      <c r="C146" s="18" t="s">
        <v>290</v>
      </c>
      <c r="D146" s="18">
        <v>1362</v>
      </c>
      <c r="E146" s="2"/>
      <c r="F146" s="18">
        <v>1362</v>
      </c>
      <c r="G146" s="18">
        <f t="shared" si="4"/>
        <v>0</v>
      </c>
    </row>
    <row r="147" spans="1:7" x14ac:dyDescent="0.25">
      <c r="A147" s="18">
        <f t="shared" si="5"/>
        <v>146</v>
      </c>
      <c r="B147" s="18" t="s">
        <v>291</v>
      </c>
      <c r="C147" s="18" t="s">
        <v>292</v>
      </c>
      <c r="D147" s="19">
        <v>1752</v>
      </c>
      <c r="E147" s="2"/>
      <c r="F147" s="19">
        <v>1752</v>
      </c>
      <c r="G147" s="19">
        <f t="shared" si="4"/>
        <v>0</v>
      </c>
    </row>
    <row r="148" spans="1:7" x14ac:dyDescent="0.25">
      <c r="A148" s="18">
        <f t="shared" si="5"/>
        <v>147</v>
      </c>
      <c r="B148" s="18" t="s">
        <v>293</v>
      </c>
      <c r="C148" s="18" t="s">
        <v>294</v>
      </c>
      <c r="D148" s="19">
        <v>1130</v>
      </c>
      <c r="E148" s="2"/>
      <c r="F148" s="19">
        <v>1130</v>
      </c>
      <c r="G148" s="19">
        <f t="shared" si="4"/>
        <v>0</v>
      </c>
    </row>
    <row r="149" spans="1:7" x14ac:dyDescent="0.25">
      <c r="A149" s="18">
        <f t="shared" si="5"/>
        <v>148</v>
      </c>
      <c r="B149" s="18" t="s">
        <v>295</v>
      </c>
      <c r="C149" s="18" t="s">
        <v>296</v>
      </c>
      <c r="D149" s="18">
        <v>162</v>
      </c>
      <c r="E149" s="2"/>
      <c r="F149" s="18">
        <v>162</v>
      </c>
      <c r="G149" s="18">
        <f t="shared" si="4"/>
        <v>0</v>
      </c>
    </row>
    <row r="150" spans="1:7" x14ac:dyDescent="0.25">
      <c r="A150" s="18">
        <f t="shared" si="5"/>
        <v>149</v>
      </c>
      <c r="B150" s="18" t="s">
        <v>297</v>
      </c>
      <c r="C150" s="18" t="s">
        <v>298</v>
      </c>
      <c r="D150" s="18">
        <v>722</v>
      </c>
      <c r="E150" s="2"/>
      <c r="F150" s="18">
        <v>722</v>
      </c>
      <c r="G150" s="18">
        <f t="shared" si="4"/>
        <v>0</v>
      </c>
    </row>
    <row r="151" spans="1:7" x14ac:dyDescent="0.25">
      <c r="A151" s="18">
        <f t="shared" si="5"/>
        <v>150</v>
      </c>
      <c r="B151" s="18" t="s">
        <v>299</v>
      </c>
      <c r="C151" s="18" t="s">
        <v>300</v>
      </c>
      <c r="D151" s="18">
        <v>1484</v>
      </c>
      <c r="E151" s="2"/>
      <c r="F151" s="18">
        <v>1484</v>
      </c>
      <c r="G151" s="18">
        <f t="shared" si="4"/>
        <v>0</v>
      </c>
    </row>
    <row r="152" spans="1:7" x14ac:dyDescent="0.25">
      <c r="A152" s="18">
        <f t="shared" si="5"/>
        <v>151</v>
      </c>
      <c r="B152" s="18" t="s">
        <v>301</v>
      </c>
      <c r="C152" s="18" t="s">
        <v>302</v>
      </c>
      <c r="D152" s="18">
        <v>1042</v>
      </c>
      <c r="E152" s="2"/>
      <c r="F152" s="18">
        <v>1042</v>
      </c>
      <c r="G152" s="18">
        <f t="shared" si="4"/>
        <v>0</v>
      </c>
    </row>
    <row r="153" spans="1:7" x14ac:dyDescent="0.25">
      <c r="A153" s="18">
        <f t="shared" si="5"/>
        <v>152</v>
      </c>
      <c r="B153" s="18" t="s">
        <v>303</v>
      </c>
      <c r="C153" s="18" t="s">
        <v>304</v>
      </c>
      <c r="D153" s="18">
        <v>1294</v>
      </c>
      <c r="E153" s="2"/>
      <c r="F153" s="18">
        <v>1294</v>
      </c>
      <c r="G153" s="18">
        <f t="shared" si="4"/>
        <v>0</v>
      </c>
    </row>
    <row r="154" spans="1:7" x14ac:dyDescent="0.25">
      <c r="A154" s="18">
        <f t="shared" si="5"/>
        <v>153</v>
      </c>
      <c r="B154" s="18" t="s">
        <v>366</v>
      </c>
      <c r="C154" s="18" t="s">
        <v>367</v>
      </c>
      <c r="D154" s="18">
        <v>29120</v>
      </c>
      <c r="E154" s="2"/>
      <c r="F154" s="18">
        <v>29120</v>
      </c>
      <c r="G154" s="18">
        <f t="shared" si="4"/>
        <v>0</v>
      </c>
    </row>
    <row r="155" spans="1:7" x14ac:dyDescent="0.25">
      <c r="A155" s="18">
        <f t="shared" si="5"/>
        <v>154</v>
      </c>
      <c r="B155" s="18" t="s">
        <v>305</v>
      </c>
      <c r="C155" s="18" t="s">
        <v>306</v>
      </c>
      <c r="D155" s="18">
        <v>87516</v>
      </c>
      <c r="E155" s="2"/>
      <c r="F155" s="18">
        <v>87516</v>
      </c>
      <c r="G155" s="18">
        <f t="shared" si="4"/>
        <v>0</v>
      </c>
    </row>
    <row r="156" spans="1:7" x14ac:dyDescent="0.25">
      <c r="A156" s="18">
        <f t="shared" si="5"/>
        <v>155</v>
      </c>
      <c r="B156" s="18" t="s">
        <v>307</v>
      </c>
      <c r="C156" s="18" t="s">
        <v>308</v>
      </c>
      <c r="D156" s="18">
        <v>6000</v>
      </c>
      <c r="E156" s="2"/>
      <c r="F156" s="18">
        <v>6000</v>
      </c>
      <c r="G156" s="18">
        <f t="shared" si="4"/>
        <v>0</v>
      </c>
    </row>
    <row r="157" spans="1:7" x14ac:dyDescent="0.25">
      <c r="A157" s="14"/>
      <c r="B157" s="14"/>
      <c r="C157" s="14"/>
      <c r="D157" s="14">
        <f>SUM(D1:D156)</f>
        <v>5094793</v>
      </c>
      <c r="E157" s="14"/>
      <c r="F157" s="14">
        <f>SUM(F1:F156)</f>
        <v>5094793</v>
      </c>
      <c r="G157" s="14">
        <f>SUM(G1:G156)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Apr-26</vt:lpstr>
      <vt:lpstr>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dcterms:created xsi:type="dcterms:W3CDTF">2026-06-16T05:25:16Z</dcterms:created>
  <dcterms:modified xsi:type="dcterms:W3CDTF">2026-06-16T05:26:42Z</dcterms:modified>
</cp:coreProperties>
</file>