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414" documentId="8_{82018199-C139-4038-AE68-D7B7BCC9E9D9}" xr6:coauthVersionLast="47" xr6:coauthVersionMax="47" xr10:uidLastSave="{EC38FB90-B316-4E49-BAD9-B4CAE564171A}"/>
  <bookViews>
    <workbookView xWindow="-120" yWindow="-120" windowWidth="24240" windowHeight="13020" activeTab="3" xr2:uid="{00000000-000D-0000-FFFF-FFFF00000000}"/>
  </bookViews>
  <sheets>
    <sheet name="PRADIP" sheetId="5" r:id="rId1"/>
    <sheet name="SAGAR" sheetId="6" r:id="rId2"/>
    <sheet name="GURUDATTA" sheetId="4" r:id="rId3"/>
    <sheet name="DATTATRAY" sheetId="8" r:id="rId4"/>
  </sheets>
  <definedNames>
    <definedName name="_xlnm.Print_Area" localSheetId="2">GURUDATTA!$A$1:$H$33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6" l="1"/>
  <c r="G28" i="5" l="1"/>
  <c r="G29" i="5" s="1"/>
  <c r="G28" i="4"/>
  <c r="G29" i="4" s="1"/>
  <c r="F28" i="4"/>
  <c r="F29" i="4" s="1"/>
  <c r="F28" i="5"/>
  <c r="F29" i="5" s="1"/>
  <c r="F28" i="6"/>
  <c r="F29" i="6" s="1"/>
  <c r="F28" i="8"/>
  <c r="F29" i="8" s="1"/>
  <c r="G28" i="8"/>
  <c r="G29" i="8" s="1"/>
  <c r="E28" i="8"/>
  <c r="E29" i="8" s="1"/>
  <c r="D28" i="8"/>
  <c r="D29" i="8" s="1"/>
  <c r="G29" i="6"/>
  <c r="E28" i="6"/>
  <c r="E29" i="6" s="1"/>
  <c r="D28" i="6"/>
  <c r="D29" i="6" s="1"/>
  <c r="E28" i="5"/>
  <c r="E29" i="5" s="1"/>
  <c r="D28" i="5"/>
  <c r="D29" i="5" s="1"/>
  <c r="E28" i="4"/>
  <c r="E29" i="4" s="1"/>
  <c r="D28" i="4"/>
  <c r="D29" i="4" s="1"/>
</calcChain>
</file>

<file path=xl/sharedStrings.xml><?xml version="1.0" encoding="utf-8"?>
<sst xmlns="http://schemas.openxmlformats.org/spreadsheetml/2006/main" count="239" uniqueCount="65">
  <si>
    <t>Evaluation Parameter</t>
  </si>
  <si>
    <t xml:space="preserve">Sr.No </t>
  </si>
  <si>
    <t xml:space="preserve">Area Name : </t>
  </si>
  <si>
    <t xml:space="preserve">Status of Audit </t>
  </si>
  <si>
    <t>1st S
"Sort"</t>
  </si>
  <si>
    <t>2nd S
"Set"</t>
  </si>
  <si>
    <t>3rd S
"Shine"</t>
  </si>
  <si>
    <t>4th S
"Standardize"</t>
  </si>
  <si>
    <t>There is standard process for training and orienting new staff to the 5S system</t>
  </si>
  <si>
    <t>5th S
"Sustain"</t>
  </si>
  <si>
    <t>Display boards, activity charts, notice boards etc. are up to date and regularly checked</t>
  </si>
  <si>
    <t>Participants:</t>
  </si>
  <si>
    <t>Auditors:</t>
  </si>
  <si>
    <t>Date</t>
  </si>
  <si>
    <t>5S improvement  actions are defined and evident in the area</t>
  </si>
  <si>
    <r>
      <t xml:space="preserve">5s Maintenance schedule and checklist is </t>
    </r>
    <r>
      <rPr>
        <sz val="16"/>
        <rFont val="Arial"/>
        <family val="2"/>
      </rPr>
      <t>available in the department?</t>
    </r>
  </si>
  <si>
    <t>Rev No.:00</t>
  </si>
  <si>
    <t>Rev. Date: NA</t>
  </si>
  <si>
    <t>Owner:</t>
  </si>
  <si>
    <t>Origin Date: 19.07.2022</t>
  </si>
  <si>
    <t>Doc.No.:FM/ATLOS/FF/OPS/002</t>
  </si>
  <si>
    <t xml:space="preserve">Remark </t>
  </si>
  <si>
    <t>Drawers &amp; Cupboards , Pallets , Bins are well sorted</t>
  </si>
  <si>
    <t>Dustbins/Containers are available for unwanted and Waste segrigation by having separate area and with different colour  bins</t>
  </si>
  <si>
    <t>Are meeting area , work stations are standardized (rules, standard layout, contact no. of room owner, pantry, etc)?</t>
  </si>
  <si>
    <t>5S Audit Checklist</t>
  </si>
  <si>
    <t>No Mixing of materials like damaged , unidentified etc.</t>
  </si>
  <si>
    <t xml:space="preserve">Cupboards,material storage racks/shelves are labelled </t>
  </si>
  <si>
    <t xml:space="preserve">Each material has its proper place for storage </t>
  </si>
  <si>
    <t>Equipments (Printers, Pc’s,MHEs etc.) are free from dust</t>
  </si>
  <si>
    <t xml:space="preserve">Category 
of 'S' </t>
  </si>
  <si>
    <t xml:space="preserve">PercentageScore  </t>
  </si>
  <si>
    <t xml:space="preserve">Total  Score  </t>
  </si>
  <si>
    <t xml:space="preserve">There is adequate lighting arrangement (Lux level) in the area. </t>
  </si>
  <si>
    <t>Area 5S ownership  is defined and displayed in the area</t>
  </si>
  <si>
    <t>OK</t>
  </si>
  <si>
    <t xml:space="preserve">NOT OK </t>
  </si>
  <si>
    <t xml:space="preserve">Not Applicale </t>
  </si>
  <si>
    <t>NA</t>
  </si>
  <si>
    <t xml:space="preserve">Very Good </t>
  </si>
  <si>
    <t>&gt;=95%- 100%</t>
  </si>
  <si>
    <t>&gt;=85% -95%</t>
  </si>
  <si>
    <t>Good</t>
  </si>
  <si>
    <t>Below 85%</t>
  </si>
  <si>
    <t>Need to improve</t>
  </si>
  <si>
    <t>Unwanted material lying  (floor, Aisel, Docks , Desk etc.)</t>
  </si>
  <si>
    <t xml:space="preserve">5S Daily / Weekly audits are being conducted internally, Score must be displayed at the respective zones </t>
  </si>
  <si>
    <t xml:space="preserve">Adjacent aisles, floors &amp; windows in the areas are cleaned </t>
  </si>
  <si>
    <t>Locations for movable items are marked, and items are placed in demarkated locations (Yellow line marking to be followed )</t>
  </si>
  <si>
    <t>MHEs like HPT , BOPT,FLT,RT are parked at demarkated location</t>
  </si>
  <si>
    <t>W1(Score 0- 1)</t>
  </si>
  <si>
    <t>W2(Score 0- 1)</t>
  </si>
  <si>
    <t>W3(Score 0- 1)</t>
  </si>
  <si>
    <t>W4(Score 0- 1)</t>
  </si>
  <si>
    <t>ZONE A</t>
  </si>
  <si>
    <r>
      <t xml:space="preserve">5s Maintenance schedule and checklist is </t>
    </r>
    <r>
      <rPr>
        <sz val="9"/>
        <rFont val="Arial"/>
        <family val="2"/>
      </rPr>
      <t>available in the department?</t>
    </r>
  </si>
  <si>
    <t>ZONE B</t>
  </si>
  <si>
    <t>ZONE C</t>
  </si>
  <si>
    <t>ZONE D</t>
  </si>
  <si>
    <t>Participants: 4</t>
  </si>
  <si>
    <t>Months : May 2026</t>
  </si>
  <si>
    <t>Mr.Pradip Patil</t>
  </si>
  <si>
    <t>Mr.Sagar Desale</t>
  </si>
  <si>
    <t>Mr.Gurudatta Sutar</t>
  </si>
  <si>
    <t>Mr.Dattatray Padwal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</si>
</sst>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6"/>
      <name val="Arial"/>
      <family val="2"/>
    </font>
    <font>
      <sz val="11"/>
      <name val="Arial"/>
      <family val="2"/>
    </font>
    <font>
      <b/>
      <sz val="16"/>
      <name val="Arial"/>
      <family val="2"/>
    </font>
    <font>
      <sz val="11"/>
      <color theme="1"/>
      <name val="Calibri"/>
      <family val="2"/>
      <scheme val="minor"/>
    </font>
    <font>
      <b/>
      <sz val="16"/>
      <color theme="0"/>
      <name val="Arial"/>
      <family val="2"/>
    </font>
    <font>
      <b/>
      <sz val="14"/>
      <color theme="0"/>
      <name val="Arial"/>
      <family val="2"/>
    </font>
    <font>
      <b/>
      <sz val="16"/>
      <color rgb="FFC00000"/>
      <name val="Arial"/>
      <family val="2"/>
    </font>
    <font>
      <b/>
      <sz val="16"/>
      <color rgb="FF002060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sz val="9"/>
      <color theme="1"/>
      <name val="Calibri"/>
      <family val="2"/>
      <scheme val="minor"/>
    </font>
    <font>
      <b/>
      <sz val="9"/>
      <name val="Arial"/>
      <family val="2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b/>
      <sz val="9"/>
      <color rgb="FFC00000"/>
      <name val="Arial"/>
      <family val="2"/>
    </font>
    <font>
      <b/>
      <sz val="9"/>
      <color rgb="FF002060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0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right" vertical="center" wrapText="1"/>
    </xf>
    <xf numFmtId="0" fontId="6" fillId="0" borderId="9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9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left" vertical="center"/>
    </xf>
    <xf numFmtId="0" fontId="9" fillId="2" borderId="9" xfId="0" applyFont="1" applyFill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1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9" fontId="9" fillId="2" borderId="7" xfId="1" applyFont="1" applyFill="1" applyBorder="1" applyAlignment="1">
      <alignment horizontal="center" vertical="center" wrapText="1"/>
    </xf>
    <xf numFmtId="1" fontId="7" fillId="3" borderId="1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right" vertical="center"/>
    </xf>
    <xf numFmtId="0" fontId="11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left"/>
    </xf>
    <xf numFmtId="0" fontId="15" fillId="0" borderId="0" xfId="0" applyFont="1"/>
    <xf numFmtId="0" fontId="14" fillId="0" borderId="10" xfId="0" applyFont="1" applyBorder="1" applyAlignment="1">
      <alignment horizontal="left"/>
    </xf>
    <xf numFmtId="0" fontId="13" fillId="0" borderId="1" xfId="0" applyFont="1" applyBorder="1" applyAlignment="1">
      <alignment vertical="center"/>
    </xf>
    <xf numFmtId="0" fontId="13" fillId="5" borderId="10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left" vertical="center"/>
    </xf>
    <xf numFmtId="0" fontId="17" fillId="2" borderId="9" xfId="0" applyFont="1" applyFill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0" xfId="0" applyFont="1" applyBorder="1" applyAlignment="1">
      <alignment vertical="center"/>
    </xf>
    <xf numFmtId="0" fontId="16" fillId="0" borderId="1" xfId="0" applyFont="1" applyBorder="1" applyAlignment="1">
      <alignment horizontal="right" vertical="center" wrapText="1"/>
    </xf>
    <xf numFmtId="1" fontId="16" fillId="3" borderId="1" xfId="0" applyNumberFormat="1" applyFont="1" applyFill="1" applyBorder="1" applyAlignment="1">
      <alignment horizontal="center" vertical="center" wrapText="1"/>
    </xf>
    <xf numFmtId="0" fontId="16" fillId="0" borderId="7" xfId="0" applyFont="1" applyBorder="1" applyAlignment="1">
      <alignment horizontal="right" vertical="center" wrapText="1"/>
    </xf>
    <xf numFmtId="9" fontId="17" fillId="2" borderId="7" xfId="1" applyFont="1" applyFill="1" applyBorder="1" applyAlignment="1">
      <alignment horizontal="center" vertical="center" wrapText="1"/>
    </xf>
    <xf numFmtId="0" fontId="18" fillId="0" borderId="12" xfId="0" applyFont="1" applyBorder="1" applyAlignment="1">
      <alignment vertical="center"/>
    </xf>
    <xf numFmtId="0" fontId="19" fillId="0" borderId="8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right" vertical="center"/>
    </xf>
    <xf numFmtId="0" fontId="18" fillId="0" borderId="7" xfId="0" applyFont="1" applyBorder="1" applyAlignment="1">
      <alignment horizontal="right" vertical="center"/>
    </xf>
    <xf numFmtId="0" fontId="16" fillId="0" borderId="6" xfId="0" applyFont="1" applyBorder="1" applyAlignment="1">
      <alignment vertical="center"/>
    </xf>
    <xf numFmtId="0" fontId="16" fillId="0" borderId="11" xfId="0" applyFont="1" applyBorder="1" applyAlignment="1">
      <alignment horizontal="left" vertical="center"/>
    </xf>
    <xf numFmtId="0" fontId="4" fillId="0" borderId="11" xfId="0" applyFont="1" applyBorder="1" applyAlignment="1">
      <alignment horizontal="center" vertical="center"/>
    </xf>
    <xf numFmtId="0" fontId="3" fillId="0" borderId="0" xfId="0" applyFont="1"/>
    <xf numFmtId="0" fontId="21" fillId="0" borderId="6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8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13" fillId="4" borderId="10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13" xfId="0" applyFont="1" applyBorder="1" applyAlignment="1">
      <alignment horizontal="left" vertical="center"/>
    </xf>
    <xf numFmtId="0" fontId="13" fillId="0" borderId="14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2" fillId="4" borderId="10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50801</xdr:colOff>
      <xdr:row>0</xdr:row>
      <xdr:rowOff>0</xdr:rowOff>
    </xdr:from>
    <xdr:to>
      <xdr:col>2</xdr:col>
      <xdr:colOff>1053249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30B4CD-CE56-4E2D-AC7D-D0498496641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1" y="0"/>
          <a:ext cx="2278798" cy="6096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50801</xdr:colOff>
      <xdr:row>0</xdr:row>
      <xdr:rowOff>0</xdr:rowOff>
    </xdr:from>
    <xdr:to>
      <xdr:col>2</xdr:col>
      <xdr:colOff>938949</xdr:colOff>
      <xdr:row>3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3B8F4D-039A-4353-83D1-E146AA9A1CB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1" y="0"/>
          <a:ext cx="2278798" cy="6096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165101</xdr:colOff>
      <xdr:row>0</xdr:row>
      <xdr:rowOff>63501</xdr:rowOff>
    </xdr:from>
    <xdr:to>
      <xdr:col>1</xdr:col>
      <xdr:colOff>719874</xdr:colOff>
      <xdr:row>3</xdr:row>
      <xdr:rowOff>177801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1" y="63501"/>
          <a:ext cx="2273299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50801</xdr:colOff>
      <xdr:row>0</xdr:row>
      <xdr:rowOff>0</xdr:rowOff>
    </xdr:from>
    <xdr:to>
      <xdr:col>2</xdr:col>
      <xdr:colOff>1253274</xdr:colOff>
      <xdr:row>3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103CE6-38DF-4DBD-9249-6E267F28CB3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1" y="0"/>
          <a:ext cx="2278798" cy="6096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854FA-BFB9-4222-997E-7E452B2F3F55}">
  <sheetPr>
    <pageSetUpPr fitToPage="1"/>
  </sheetPr>
  <dimension ref="A1:H33"/>
  <sheetViews>
    <sheetView topLeftCell="A11" workbookViewId="0">
      <selection activeCell="F10" sqref="F10:F27"/>
    </sheetView>
  </sheetViews>
  <sheetFormatPr defaultRowHeight="12" x14ac:dyDescent="0.2"/>
  <cols>
    <col min="1" max="1" width="10" style="28" bestFit="1" customWidth="1"/>
    <col min="2" max="2" width="9.140625" style="28"/>
    <col min="3" max="3" width="44.5703125" style="28" customWidth="1"/>
    <col min="4" max="4" width="16.7109375" style="28" customWidth="1"/>
    <col min="5" max="5" width="17.28515625" style="28" customWidth="1"/>
    <col min="6" max="6" width="17.7109375" style="28" customWidth="1"/>
    <col min="7" max="7" width="17.28515625" style="28" customWidth="1"/>
    <col min="8" max="8" width="55.28515625" style="28" customWidth="1"/>
    <col min="9" max="16384" width="9.140625" style="28"/>
  </cols>
  <sheetData>
    <row r="1" spans="1:8" x14ac:dyDescent="0.2">
      <c r="A1" s="65" t="s">
        <v>25</v>
      </c>
      <c r="B1" s="66"/>
      <c r="C1" s="66"/>
      <c r="D1" s="66"/>
      <c r="E1" s="66"/>
      <c r="F1" s="66"/>
      <c r="G1" s="66"/>
      <c r="H1" s="27" t="s">
        <v>20</v>
      </c>
    </row>
    <row r="2" spans="1:8" x14ac:dyDescent="0.2">
      <c r="A2" s="67"/>
      <c r="B2" s="57"/>
      <c r="C2" s="57"/>
      <c r="D2" s="57"/>
      <c r="E2" s="57"/>
      <c r="F2" s="57"/>
      <c r="G2" s="57"/>
      <c r="H2" s="29" t="s">
        <v>16</v>
      </c>
    </row>
    <row r="3" spans="1:8" x14ac:dyDescent="0.2">
      <c r="A3" s="67"/>
      <c r="B3" s="57"/>
      <c r="C3" s="57"/>
      <c r="D3" s="57"/>
      <c r="E3" s="57"/>
      <c r="F3" s="57"/>
      <c r="G3" s="57"/>
      <c r="H3" s="29" t="s">
        <v>17</v>
      </c>
    </row>
    <row r="4" spans="1:8" x14ac:dyDescent="0.2">
      <c r="A4" s="67"/>
      <c r="B4" s="57"/>
      <c r="C4" s="57"/>
      <c r="D4" s="57"/>
      <c r="E4" s="57"/>
      <c r="F4" s="57"/>
      <c r="G4" s="57"/>
      <c r="H4" s="29" t="s">
        <v>19</v>
      </c>
    </row>
    <row r="5" spans="1:8" x14ac:dyDescent="0.2">
      <c r="A5" s="68" t="s">
        <v>2</v>
      </c>
      <c r="B5" s="69"/>
      <c r="C5" s="70" t="s">
        <v>54</v>
      </c>
      <c r="D5" s="70" t="s">
        <v>35</v>
      </c>
      <c r="E5" s="72"/>
      <c r="F5" s="73"/>
      <c r="G5" s="73"/>
      <c r="H5" s="64">
        <v>1</v>
      </c>
    </row>
    <row r="6" spans="1:8" x14ac:dyDescent="0.2">
      <c r="A6" s="68"/>
      <c r="B6" s="69"/>
      <c r="C6" s="71"/>
      <c r="D6" s="71"/>
      <c r="E6" s="74"/>
      <c r="F6" s="75"/>
      <c r="G6" s="75"/>
      <c r="H6" s="64"/>
    </row>
    <row r="7" spans="1:8" ht="16.5" customHeight="1" x14ac:dyDescent="0.2">
      <c r="A7" s="68" t="s">
        <v>18</v>
      </c>
      <c r="B7" s="69"/>
      <c r="C7" s="30" t="s">
        <v>61</v>
      </c>
      <c r="D7" s="30" t="s">
        <v>36</v>
      </c>
      <c r="E7" s="76"/>
      <c r="F7" s="77"/>
      <c r="G7" s="77"/>
      <c r="H7" s="31">
        <v>0</v>
      </c>
    </row>
    <row r="8" spans="1:8" ht="18" customHeight="1" thickBot="1" x14ac:dyDescent="0.25">
      <c r="A8" s="62" t="s">
        <v>59</v>
      </c>
      <c r="B8" s="63"/>
      <c r="C8" s="32" t="s">
        <v>60</v>
      </c>
      <c r="D8" s="30" t="s">
        <v>37</v>
      </c>
      <c r="E8" s="78"/>
      <c r="F8" s="79"/>
      <c r="G8" s="79"/>
      <c r="H8" s="33" t="s">
        <v>38</v>
      </c>
    </row>
    <row r="9" spans="1:8" ht="24" x14ac:dyDescent="0.2">
      <c r="A9" s="34" t="s">
        <v>1</v>
      </c>
      <c r="B9" s="35" t="s">
        <v>30</v>
      </c>
      <c r="C9" s="36" t="s">
        <v>0</v>
      </c>
      <c r="D9" s="36" t="s">
        <v>50</v>
      </c>
      <c r="E9" s="36" t="s">
        <v>51</v>
      </c>
      <c r="F9" s="36" t="s">
        <v>52</v>
      </c>
      <c r="G9" s="36" t="s">
        <v>53</v>
      </c>
      <c r="H9" s="37" t="s">
        <v>21</v>
      </c>
    </row>
    <row r="10" spans="1:8" ht="25.5" customHeight="1" x14ac:dyDescent="0.2">
      <c r="A10" s="38">
        <v>1.1000000000000001</v>
      </c>
      <c r="B10" s="56" t="s">
        <v>4</v>
      </c>
      <c r="C10" s="39" t="s">
        <v>45</v>
      </c>
      <c r="D10" s="40">
        <v>1</v>
      </c>
      <c r="E10" s="40">
        <v>1</v>
      </c>
      <c r="F10" s="40">
        <v>1</v>
      </c>
      <c r="G10" s="40">
        <v>1</v>
      </c>
      <c r="H10" s="41"/>
    </row>
    <row r="11" spans="1:8" ht="25.5" customHeight="1" x14ac:dyDescent="0.2">
      <c r="A11" s="38">
        <v>1.2</v>
      </c>
      <c r="B11" s="57"/>
      <c r="C11" s="39" t="s">
        <v>26</v>
      </c>
      <c r="D11" s="40">
        <v>1</v>
      </c>
      <c r="E11" s="40">
        <v>0</v>
      </c>
      <c r="F11" s="40">
        <v>0</v>
      </c>
      <c r="G11" s="40">
        <v>1</v>
      </c>
      <c r="H11" s="41"/>
    </row>
    <row r="12" spans="1:8" ht="25.5" customHeight="1" x14ac:dyDescent="0.2">
      <c r="A12" s="38">
        <v>1.3</v>
      </c>
      <c r="B12" s="57"/>
      <c r="C12" s="39" t="s">
        <v>22</v>
      </c>
      <c r="D12" s="40">
        <v>1</v>
      </c>
      <c r="E12" s="40">
        <v>1</v>
      </c>
      <c r="F12" s="40">
        <v>1</v>
      </c>
      <c r="G12" s="40">
        <v>1</v>
      </c>
      <c r="H12" s="41" t="s">
        <v>37</v>
      </c>
    </row>
    <row r="13" spans="1:8" ht="25.5" customHeight="1" x14ac:dyDescent="0.2">
      <c r="A13" s="38">
        <v>2.1</v>
      </c>
      <c r="B13" s="56" t="s">
        <v>5</v>
      </c>
      <c r="C13" s="39" t="s">
        <v>28</v>
      </c>
      <c r="D13" s="40">
        <v>1</v>
      </c>
      <c r="E13" s="40">
        <v>1</v>
      </c>
      <c r="F13" s="40">
        <v>1</v>
      </c>
      <c r="G13" s="40">
        <v>1</v>
      </c>
      <c r="H13" s="41"/>
    </row>
    <row r="14" spans="1:8" ht="25.5" customHeight="1" x14ac:dyDescent="0.2">
      <c r="A14" s="38">
        <v>2.2000000000000002</v>
      </c>
      <c r="B14" s="57"/>
      <c r="C14" s="39" t="s">
        <v>27</v>
      </c>
      <c r="D14" s="40">
        <v>1</v>
      </c>
      <c r="E14" s="40">
        <v>1</v>
      </c>
      <c r="F14" s="40">
        <v>1</v>
      </c>
      <c r="G14" s="40">
        <v>1</v>
      </c>
      <c r="H14" s="41"/>
    </row>
    <row r="15" spans="1:8" ht="25.5" customHeight="1" x14ac:dyDescent="0.2">
      <c r="A15" s="38">
        <v>2.2999999999999998</v>
      </c>
      <c r="B15" s="57"/>
      <c r="C15" s="39" t="s">
        <v>49</v>
      </c>
      <c r="D15" s="40">
        <v>1</v>
      </c>
      <c r="E15" s="40">
        <v>1</v>
      </c>
      <c r="F15" s="40">
        <v>1</v>
      </c>
      <c r="G15" s="40">
        <v>1</v>
      </c>
      <c r="H15" s="41"/>
    </row>
    <row r="16" spans="1:8" ht="36" x14ac:dyDescent="0.2">
      <c r="A16" s="38">
        <v>2.4</v>
      </c>
      <c r="B16" s="57"/>
      <c r="C16" s="39" t="s">
        <v>48</v>
      </c>
      <c r="D16" s="40">
        <v>1</v>
      </c>
      <c r="E16" s="40">
        <v>1</v>
      </c>
      <c r="F16" s="40">
        <v>1</v>
      </c>
      <c r="G16" s="40">
        <v>1</v>
      </c>
      <c r="H16" s="41" t="s">
        <v>37</v>
      </c>
    </row>
    <row r="17" spans="1:8" ht="25.5" customHeight="1" x14ac:dyDescent="0.2">
      <c r="A17" s="38">
        <v>3.1</v>
      </c>
      <c r="B17" s="56" t="s">
        <v>6</v>
      </c>
      <c r="C17" s="39" t="s">
        <v>47</v>
      </c>
      <c r="D17" s="40">
        <v>1</v>
      </c>
      <c r="E17" s="40">
        <v>1</v>
      </c>
      <c r="F17" s="40">
        <v>1</v>
      </c>
      <c r="G17" s="40">
        <v>1</v>
      </c>
      <c r="H17" s="41"/>
    </row>
    <row r="18" spans="1:8" ht="25.5" customHeight="1" x14ac:dyDescent="0.2">
      <c r="A18" s="38">
        <v>3.2</v>
      </c>
      <c r="B18" s="57"/>
      <c r="C18" s="39" t="s">
        <v>29</v>
      </c>
      <c r="D18" s="40">
        <v>1</v>
      </c>
      <c r="E18" s="40">
        <v>1</v>
      </c>
      <c r="F18" s="40">
        <v>1</v>
      </c>
      <c r="G18" s="40">
        <v>1</v>
      </c>
      <c r="H18" s="41"/>
    </row>
    <row r="19" spans="1:8" ht="25.5" customHeight="1" x14ac:dyDescent="0.2">
      <c r="A19" s="38">
        <v>3.3</v>
      </c>
      <c r="B19" s="57"/>
      <c r="C19" s="39" t="s">
        <v>33</v>
      </c>
      <c r="D19" s="40">
        <v>1</v>
      </c>
      <c r="E19" s="40">
        <v>1</v>
      </c>
      <c r="F19" s="40">
        <v>1</v>
      </c>
      <c r="G19" s="40">
        <v>1</v>
      </c>
      <c r="H19" s="41"/>
    </row>
    <row r="20" spans="1:8" ht="36" x14ac:dyDescent="0.2">
      <c r="A20" s="38">
        <v>3.4</v>
      </c>
      <c r="B20" s="57"/>
      <c r="C20" s="39" t="s">
        <v>23</v>
      </c>
      <c r="D20" s="40">
        <v>1</v>
      </c>
      <c r="E20" s="40">
        <v>1</v>
      </c>
      <c r="F20" s="40">
        <v>0</v>
      </c>
      <c r="G20" s="40">
        <v>0</v>
      </c>
      <c r="H20" s="41"/>
    </row>
    <row r="21" spans="1:8" ht="25.5" customHeight="1" x14ac:dyDescent="0.2">
      <c r="A21" s="38">
        <v>4.0999999999999996</v>
      </c>
      <c r="B21" s="56" t="s">
        <v>7</v>
      </c>
      <c r="C21" s="39" t="s">
        <v>55</v>
      </c>
      <c r="D21" s="40">
        <v>0</v>
      </c>
      <c r="E21" s="40">
        <v>0</v>
      </c>
      <c r="F21" s="40">
        <v>0</v>
      </c>
      <c r="G21" s="40">
        <v>0</v>
      </c>
      <c r="H21" s="41"/>
    </row>
    <row r="22" spans="1:8" ht="36" x14ac:dyDescent="0.2">
      <c r="A22" s="38">
        <v>4.2</v>
      </c>
      <c r="B22" s="57"/>
      <c r="C22" s="39" t="s">
        <v>24</v>
      </c>
      <c r="D22" s="40">
        <v>1</v>
      </c>
      <c r="E22" s="40">
        <v>1</v>
      </c>
      <c r="F22" s="40">
        <v>1</v>
      </c>
      <c r="G22" s="40">
        <v>1</v>
      </c>
      <c r="H22" s="41" t="s">
        <v>37</v>
      </c>
    </row>
    <row r="23" spans="1:8" ht="25.5" customHeight="1" x14ac:dyDescent="0.2">
      <c r="A23" s="38">
        <v>4.3</v>
      </c>
      <c r="B23" s="57"/>
      <c r="C23" s="39" t="s">
        <v>8</v>
      </c>
      <c r="D23" s="40">
        <v>1</v>
      </c>
      <c r="E23" s="40">
        <v>1</v>
      </c>
      <c r="F23" s="40">
        <v>1</v>
      </c>
      <c r="G23" s="40">
        <v>1</v>
      </c>
      <c r="H23" s="41"/>
    </row>
    <row r="24" spans="1:8" ht="25.5" customHeight="1" x14ac:dyDescent="0.2">
      <c r="A24" s="38">
        <v>5.0999999999999996</v>
      </c>
      <c r="B24" s="56" t="s">
        <v>9</v>
      </c>
      <c r="C24" s="39" t="s">
        <v>34</v>
      </c>
      <c r="D24" s="40">
        <v>1</v>
      </c>
      <c r="E24" s="40">
        <v>1</v>
      </c>
      <c r="F24" s="40">
        <v>1</v>
      </c>
      <c r="G24" s="40">
        <v>1</v>
      </c>
      <c r="H24" s="41"/>
    </row>
    <row r="25" spans="1:8" ht="25.5" customHeight="1" x14ac:dyDescent="0.2">
      <c r="A25" s="38">
        <v>5.2</v>
      </c>
      <c r="B25" s="57"/>
      <c r="C25" s="39" t="s">
        <v>46</v>
      </c>
      <c r="D25" s="40">
        <v>1</v>
      </c>
      <c r="E25" s="40">
        <v>1</v>
      </c>
      <c r="F25" s="40">
        <v>1</v>
      </c>
      <c r="G25" s="40">
        <v>1</v>
      </c>
      <c r="H25" s="41"/>
    </row>
    <row r="26" spans="1:8" ht="25.5" customHeight="1" x14ac:dyDescent="0.2">
      <c r="A26" s="38">
        <v>5.3</v>
      </c>
      <c r="B26" s="57"/>
      <c r="C26" s="39" t="s">
        <v>14</v>
      </c>
      <c r="D26" s="40">
        <v>1</v>
      </c>
      <c r="E26" s="40">
        <v>0</v>
      </c>
      <c r="F26" s="40">
        <v>0</v>
      </c>
      <c r="G26" s="40">
        <v>1</v>
      </c>
      <c r="H26" s="41"/>
    </row>
    <row r="27" spans="1:8" ht="25.5" customHeight="1" x14ac:dyDescent="0.2">
      <c r="A27" s="38">
        <v>5.4</v>
      </c>
      <c r="B27" s="57"/>
      <c r="C27" s="39" t="s">
        <v>10</v>
      </c>
      <c r="D27" s="40">
        <v>1</v>
      </c>
      <c r="E27" s="40">
        <v>1</v>
      </c>
      <c r="F27" s="40">
        <v>1</v>
      </c>
      <c r="G27" s="40">
        <v>1</v>
      </c>
      <c r="H27" s="41" t="s">
        <v>37</v>
      </c>
    </row>
    <row r="28" spans="1:8" ht="25.5" customHeight="1" x14ac:dyDescent="0.2">
      <c r="A28" s="58" t="s">
        <v>3</v>
      </c>
      <c r="B28" s="59"/>
      <c r="C28" s="42" t="s">
        <v>32</v>
      </c>
      <c r="D28" s="43">
        <f>SUM(D10:D27)</f>
        <v>17</v>
      </c>
      <c r="E28" s="43">
        <f>SUM(E10:E27)</f>
        <v>15</v>
      </c>
      <c r="F28" s="43">
        <f>SUM(F10:F27)</f>
        <v>14</v>
      </c>
      <c r="G28" s="43">
        <f>SUM(G10:G27)</f>
        <v>16</v>
      </c>
      <c r="H28" s="41"/>
    </row>
    <row r="29" spans="1:8" ht="25.5" customHeight="1" x14ac:dyDescent="0.2">
      <c r="A29" s="60"/>
      <c r="B29" s="61"/>
      <c r="C29" s="44" t="s">
        <v>31</v>
      </c>
      <c r="D29" s="45">
        <f>D28/18</f>
        <v>0.94444444444444442</v>
      </c>
      <c r="E29" s="45">
        <f>E28/18</f>
        <v>0.83333333333333337</v>
      </c>
      <c r="F29" s="45">
        <f>F28/18</f>
        <v>0.77777777777777779</v>
      </c>
      <c r="G29" s="45">
        <f>G28/18</f>
        <v>0.88888888888888884</v>
      </c>
      <c r="H29" s="46"/>
    </row>
    <row r="30" spans="1:8" ht="24" x14ac:dyDescent="0.2">
      <c r="A30" s="47" t="s">
        <v>40</v>
      </c>
      <c r="B30" s="48" t="s">
        <v>39</v>
      </c>
      <c r="C30" s="44"/>
      <c r="D30" s="45"/>
      <c r="E30" s="45"/>
      <c r="F30" s="45"/>
      <c r="G30" s="45"/>
      <c r="H30" s="46"/>
    </row>
    <row r="31" spans="1:8" ht="24" x14ac:dyDescent="0.2">
      <c r="A31" s="47" t="s">
        <v>41</v>
      </c>
      <c r="B31" s="48" t="s">
        <v>42</v>
      </c>
      <c r="C31" s="49"/>
      <c r="D31" s="49"/>
      <c r="E31" s="49"/>
      <c r="F31" s="49"/>
      <c r="G31" s="49"/>
      <c r="H31" s="41"/>
    </row>
    <row r="32" spans="1:8" ht="24" x14ac:dyDescent="0.2">
      <c r="A32" s="47" t="s">
        <v>43</v>
      </c>
      <c r="B32" s="48" t="s">
        <v>44</v>
      </c>
      <c r="C32" s="50"/>
      <c r="D32" s="50"/>
      <c r="E32" s="50"/>
      <c r="F32" s="50"/>
      <c r="G32" s="50"/>
      <c r="H32" s="46"/>
    </row>
    <row r="33" spans="1:8" ht="39" customHeight="1" thickBot="1" x14ac:dyDescent="0.25">
      <c r="A33" s="62" t="s">
        <v>12</v>
      </c>
      <c r="B33" s="63"/>
      <c r="C33" s="51"/>
      <c r="D33" s="51"/>
      <c r="E33" s="51"/>
      <c r="F33" s="51"/>
      <c r="G33" s="51"/>
      <c r="H33" s="52" t="s">
        <v>13</v>
      </c>
    </row>
  </sheetData>
  <mergeCells count="17">
    <mergeCell ref="H5:H6"/>
    <mergeCell ref="B13:B16"/>
    <mergeCell ref="A1:G4"/>
    <mergeCell ref="A5:B6"/>
    <mergeCell ref="C5:C6"/>
    <mergeCell ref="D5:D6"/>
    <mergeCell ref="E5:G6"/>
    <mergeCell ref="A7:B7"/>
    <mergeCell ref="E7:G7"/>
    <mergeCell ref="A8:B8"/>
    <mergeCell ref="E8:G8"/>
    <mergeCell ref="B10:B12"/>
    <mergeCell ref="B17:B20"/>
    <mergeCell ref="B21:B23"/>
    <mergeCell ref="B24:B27"/>
    <mergeCell ref="A28:B29"/>
    <mergeCell ref="A33:B33"/>
  </mergeCells>
  <conditionalFormatting sqref="D10:D27">
    <cfRule type="colorScale" priority="23">
      <colorScale>
        <cfvo type="num" val="0"/>
        <cfvo type="num" val="1"/>
        <color rgb="FFFF0000"/>
        <color rgb="FF00B050"/>
      </colorScale>
    </cfRule>
  </conditionalFormatting>
  <conditionalFormatting sqref="D28">
    <cfRule type="colorScale" priority="24">
      <colorScale>
        <cfvo type="num" val="0"/>
        <cfvo type="num" val="1"/>
        <cfvo type="max"/>
        <color rgb="FFFF0000"/>
        <color rgb="FF00B050"/>
        <color rgb="FF63BE7B"/>
      </colorScale>
    </cfRule>
  </conditionalFormatting>
  <conditionalFormatting sqref="E10:E14 E16:E17 E19:E21 E23:E25 E27:G27">
    <cfRule type="colorScale" priority="21">
      <colorScale>
        <cfvo type="num" val="0"/>
        <cfvo type="num" val="1"/>
        <color rgb="FFFF0000"/>
        <color rgb="FF00B050"/>
      </colorScale>
    </cfRule>
  </conditionalFormatting>
  <conditionalFormatting sqref="E26">
    <cfRule type="colorScale" priority="2">
      <colorScale>
        <cfvo type="num" val="0"/>
        <cfvo type="num" val="1"/>
        <color rgb="FFFF0000"/>
        <color rgb="FF00B050"/>
      </colorScale>
    </cfRule>
  </conditionalFormatting>
  <conditionalFormatting sqref="E28">
    <cfRule type="colorScale" priority="22">
      <colorScale>
        <cfvo type="num" val="0"/>
        <cfvo type="num" val="1"/>
        <cfvo type="max"/>
        <color rgb="FFFF0000"/>
        <color rgb="FF00B050"/>
        <color rgb="FF63BE7B"/>
      </colorScale>
    </cfRule>
  </conditionalFormatting>
  <conditionalFormatting sqref="E15:G15">
    <cfRule type="colorScale" priority="18">
      <colorScale>
        <cfvo type="num" val="0"/>
        <cfvo type="num" val="1"/>
        <color rgb="FFFF0000"/>
        <color rgb="FF00B050"/>
      </colorScale>
    </cfRule>
  </conditionalFormatting>
  <conditionalFormatting sqref="E18:G18">
    <cfRule type="colorScale" priority="17">
      <colorScale>
        <cfvo type="num" val="0"/>
        <cfvo type="num" val="1"/>
        <color rgb="FFFF0000"/>
        <color rgb="FF00B050"/>
      </colorScale>
    </cfRule>
  </conditionalFormatting>
  <conditionalFormatting sqref="E22:G22">
    <cfRule type="colorScale" priority="14">
      <colorScale>
        <cfvo type="num" val="0"/>
        <cfvo type="num" val="1"/>
        <color rgb="FFFF0000"/>
        <color rgb="FF00B050"/>
      </colorScale>
    </cfRule>
  </conditionalFormatting>
  <conditionalFormatting sqref="F10:G10">
    <cfRule type="colorScale" priority="13">
      <colorScale>
        <cfvo type="num" val="0"/>
        <cfvo type="num" val="1"/>
        <color rgb="FFFF0000"/>
        <color rgb="FF00B050"/>
      </colorScale>
    </cfRule>
  </conditionalFormatting>
  <conditionalFormatting sqref="F11:G11">
    <cfRule type="colorScale" priority="12">
      <colorScale>
        <cfvo type="num" val="0"/>
        <cfvo type="num" val="1"/>
        <color rgb="FFFF0000"/>
        <color rgb="FF00B050"/>
      </colorScale>
    </cfRule>
  </conditionalFormatting>
  <conditionalFormatting sqref="F12:G12">
    <cfRule type="colorScale" priority="11">
      <colorScale>
        <cfvo type="num" val="0"/>
        <cfvo type="num" val="1"/>
        <color rgb="FFFF0000"/>
        <color rgb="FF00B050"/>
      </colorScale>
    </cfRule>
  </conditionalFormatting>
  <conditionalFormatting sqref="F13:G13">
    <cfRule type="colorScale" priority="10">
      <colorScale>
        <cfvo type="num" val="0"/>
        <cfvo type="num" val="1"/>
        <color rgb="FFFF0000"/>
        <color rgb="FF00B050"/>
      </colorScale>
    </cfRule>
  </conditionalFormatting>
  <conditionalFormatting sqref="F14:G14">
    <cfRule type="colorScale" priority="9">
      <colorScale>
        <cfvo type="num" val="0"/>
        <cfvo type="num" val="1"/>
        <color rgb="FFFF0000"/>
        <color rgb="FF00B050"/>
      </colorScale>
    </cfRule>
  </conditionalFormatting>
  <conditionalFormatting sqref="F16:G16">
    <cfRule type="colorScale" priority="8">
      <colorScale>
        <cfvo type="num" val="0"/>
        <cfvo type="num" val="1"/>
        <color rgb="FFFF0000"/>
        <color rgb="FF00B050"/>
      </colorScale>
    </cfRule>
  </conditionalFormatting>
  <conditionalFormatting sqref="F17:G17">
    <cfRule type="colorScale" priority="7">
      <colorScale>
        <cfvo type="num" val="0"/>
        <cfvo type="num" val="1"/>
        <color rgb="FFFF0000"/>
        <color rgb="FF00B050"/>
      </colorScale>
    </cfRule>
  </conditionalFormatting>
  <conditionalFormatting sqref="F19:G19">
    <cfRule type="colorScale" priority="6">
      <colorScale>
        <cfvo type="num" val="0"/>
        <cfvo type="num" val="1"/>
        <color rgb="FFFF0000"/>
        <color rgb="FF00B050"/>
      </colorScale>
    </cfRule>
  </conditionalFormatting>
  <conditionalFormatting sqref="F20:G20">
    <cfRule type="colorScale" priority="5">
      <colorScale>
        <cfvo type="num" val="0"/>
        <cfvo type="num" val="1"/>
        <color rgb="FFFF0000"/>
        <color rgb="FF00B050"/>
      </colorScale>
    </cfRule>
  </conditionalFormatting>
  <conditionalFormatting sqref="F21:G21">
    <cfRule type="colorScale" priority="4">
      <colorScale>
        <cfvo type="num" val="0"/>
        <cfvo type="num" val="1"/>
        <color rgb="FFFF0000"/>
        <color rgb="FF00B050"/>
      </colorScale>
    </cfRule>
  </conditionalFormatting>
  <conditionalFormatting sqref="F24:G24">
    <cfRule type="colorScale" priority="3">
      <colorScale>
        <cfvo type="num" val="0"/>
        <cfvo type="num" val="1"/>
        <color rgb="FFFF0000"/>
        <color rgb="FF00B050"/>
      </colorScale>
    </cfRule>
  </conditionalFormatting>
  <conditionalFormatting sqref="F25:G25 F23:G23">
    <cfRule type="colorScale" priority="19">
      <colorScale>
        <cfvo type="num" val="0"/>
        <cfvo type="num" val="1"/>
        <color rgb="FFFF0000"/>
        <color rgb="FF00B050"/>
      </colorScale>
    </cfRule>
  </conditionalFormatting>
  <conditionalFormatting sqref="F26:G26">
    <cfRule type="colorScale" priority="1">
      <colorScale>
        <cfvo type="num" val="0"/>
        <cfvo type="num" val="1"/>
        <color rgb="FFFF0000"/>
        <color rgb="FF00B050"/>
      </colorScale>
    </cfRule>
  </conditionalFormatting>
  <conditionalFormatting sqref="F28:G28">
    <cfRule type="colorScale" priority="20">
      <colorScale>
        <cfvo type="num" val="0"/>
        <cfvo type="num" val="1"/>
        <cfvo type="max"/>
        <color rgb="FFFF0000"/>
        <color rgb="FF00B050"/>
        <color rgb="FF63BE7B"/>
      </colorScale>
    </cfRule>
  </conditionalFormatting>
  <pageMargins left="0.17" right="0.17" top="0.75" bottom="0.36" header="0.3" footer="0.17"/>
  <pageSetup paperSize="9" scale="71" orientation="landscape" r:id="rId1"/>
  <headerFooter>
    <oddHeader>&amp;C&amp;"Aptos"&amp;10&amp;K000000 Public&amp;1#_x000D_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20FF9-B0E6-4AC9-AE06-3D41DE9A3006}">
  <sheetPr>
    <pageSetUpPr fitToPage="1"/>
  </sheetPr>
  <dimension ref="A1:H33"/>
  <sheetViews>
    <sheetView topLeftCell="A15" workbookViewId="0">
      <selection activeCell="F10" sqref="F10:F27"/>
    </sheetView>
  </sheetViews>
  <sheetFormatPr defaultRowHeight="15" x14ac:dyDescent="0.25"/>
  <cols>
    <col min="1" max="1" width="12" customWidth="1"/>
    <col min="2" max="2" width="8.85546875" bestFit="1" customWidth="1"/>
    <col min="3" max="3" width="44.140625" customWidth="1"/>
    <col min="4" max="4" width="19" customWidth="1"/>
    <col min="5" max="5" width="18.5703125" customWidth="1"/>
    <col min="6" max="6" width="19.5703125" customWidth="1"/>
    <col min="7" max="7" width="22" customWidth="1"/>
    <col min="8" max="8" width="44.28515625" customWidth="1"/>
  </cols>
  <sheetData>
    <row r="1" spans="1:8" x14ac:dyDescent="0.25">
      <c r="A1" s="65" t="s">
        <v>25</v>
      </c>
      <c r="B1" s="66"/>
      <c r="C1" s="66"/>
      <c r="D1" s="66"/>
      <c r="E1" s="66"/>
      <c r="F1" s="66"/>
      <c r="G1" s="66"/>
      <c r="H1" s="27" t="s">
        <v>20</v>
      </c>
    </row>
    <row r="2" spans="1:8" x14ac:dyDescent="0.25">
      <c r="A2" s="67"/>
      <c r="B2" s="57"/>
      <c r="C2" s="57"/>
      <c r="D2" s="57"/>
      <c r="E2" s="57"/>
      <c r="F2" s="57"/>
      <c r="G2" s="57"/>
      <c r="H2" s="29" t="s">
        <v>16</v>
      </c>
    </row>
    <row r="3" spans="1:8" x14ac:dyDescent="0.25">
      <c r="A3" s="67"/>
      <c r="B3" s="57"/>
      <c r="C3" s="57"/>
      <c r="D3" s="57"/>
      <c r="E3" s="57"/>
      <c r="F3" s="57"/>
      <c r="G3" s="57"/>
      <c r="H3" s="29" t="s">
        <v>17</v>
      </c>
    </row>
    <row r="4" spans="1:8" x14ac:dyDescent="0.25">
      <c r="A4" s="67"/>
      <c r="B4" s="57"/>
      <c r="C4" s="57"/>
      <c r="D4" s="57"/>
      <c r="E4" s="57"/>
      <c r="F4" s="57"/>
      <c r="G4" s="57"/>
      <c r="H4" s="29" t="s">
        <v>19</v>
      </c>
    </row>
    <row r="5" spans="1:8" x14ac:dyDescent="0.25">
      <c r="A5" s="68" t="s">
        <v>2</v>
      </c>
      <c r="B5" s="69"/>
      <c r="C5" s="70" t="s">
        <v>56</v>
      </c>
      <c r="D5" s="70" t="s">
        <v>35</v>
      </c>
      <c r="E5" s="72"/>
      <c r="F5" s="73"/>
      <c r="G5" s="73"/>
      <c r="H5" s="64">
        <v>1</v>
      </c>
    </row>
    <row r="6" spans="1:8" x14ac:dyDescent="0.25">
      <c r="A6" s="68"/>
      <c r="B6" s="69"/>
      <c r="C6" s="71"/>
      <c r="D6" s="71"/>
      <c r="E6" s="74"/>
      <c r="F6" s="75"/>
      <c r="G6" s="75"/>
      <c r="H6" s="64"/>
    </row>
    <row r="7" spans="1:8" x14ac:dyDescent="0.25">
      <c r="A7" s="68" t="s">
        <v>18</v>
      </c>
      <c r="B7" s="69"/>
      <c r="C7" s="30" t="s">
        <v>62</v>
      </c>
      <c r="D7" s="30" t="s">
        <v>36</v>
      </c>
      <c r="E7" s="76"/>
      <c r="F7" s="77"/>
      <c r="G7" s="77"/>
      <c r="H7" s="31">
        <v>0</v>
      </c>
    </row>
    <row r="8" spans="1:8" ht="15.75" thickBot="1" x14ac:dyDescent="0.3">
      <c r="A8" s="62" t="s">
        <v>59</v>
      </c>
      <c r="B8" s="63"/>
      <c r="C8" s="32" t="s">
        <v>60</v>
      </c>
      <c r="D8" s="30" t="s">
        <v>37</v>
      </c>
      <c r="E8" s="78"/>
      <c r="F8" s="79"/>
      <c r="G8" s="79"/>
      <c r="H8" s="33" t="s">
        <v>38</v>
      </c>
    </row>
    <row r="9" spans="1:8" ht="24" x14ac:dyDescent="0.25">
      <c r="A9" s="34" t="s">
        <v>1</v>
      </c>
      <c r="B9" s="35" t="s">
        <v>30</v>
      </c>
      <c r="C9" s="36" t="s">
        <v>0</v>
      </c>
      <c r="D9" s="36" t="s">
        <v>50</v>
      </c>
      <c r="E9" s="36" t="s">
        <v>51</v>
      </c>
      <c r="F9" s="36" t="s">
        <v>52</v>
      </c>
      <c r="G9" s="36" t="s">
        <v>53</v>
      </c>
      <c r="H9" s="37" t="s">
        <v>21</v>
      </c>
    </row>
    <row r="10" spans="1:8" ht="24" x14ac:dyDescent="0.25">
      <c r="A10" s="38">
        <v>1.1000000000000001</v>
      </c>
      <c r="B10" s="56" t="s">
        <v>4</v>
      </c>
      <c r="C10" s="39" t="s">
        <v>45</v>
      </c>
      <c r="D10" s="40">
        <v>1</v>
      </c>
      <c r="E10" s="40">
        <v>1</v>
      </c>
      <c r="F10" s="40">
        <v>0</v>
      </c>
      <c r="G10" s="40">
        <v>0</v>
      </c>
      <c r="H10" s="41"/>
    </row>
    <row r="11" spans="1:8" x14ac:dyDescent="0.25">
      <c r="A11" s="38">
        <v>1.2</v>
      </c>
      <c r="B11" s="57"/>
      <c r="C11" s="39" t="s">
        <v>26</v>
      </c>
      <c r="D11" s="40">
        <v>1</v>
      </c>
      <c r="E11" s="40">
        <v>1</v>
      </c>
      <c r="F11" s="40">
        <v>1</v>
      </c>
      <c r="G11" s="40">
        <v>1</v>
      </c>
      <c r="H11" s="41"/>
    </row>
    <row r="12" spans="1:8" x14ac:dyDescent="0.25">
      <c r="A12" s="38">
        <v>1.3</v>
      </c>
      <c r="B12" s="57"/>
      <c r="C12" s="39" t="s">
        <v>22</v>
      </c>
      <c r="D12" s="40">
        <v>1</v>
      </c>
      <c r="E12" s="40">
        <v>1</v>
      </c>
      <c r="F12" s="40">
        <v>1</v>
      </c>
      <c r="G12" s="40">
        <v>1</v>
      </c>
      <c r="H12" s="41"/>
    </row>
    <row r="13" spans="1:8" x14ac:dyDescent="0.25">
      <c r="A13" s="38">
        <v>2.1</v>
      </c>
      <c r="B13" s="56" t="s">
        <v>5</v>
      </c>
      <c r="C13" s="39" t="s">
        <v>28</v>
      </c>
      <c r="D13" s="40">
        <v>1</v>
      </c>
      <c r="E13" s="40">
        <v>0</v>
      </c>
      <c r="F13" s="40">
        <v>1</v>
      </c>
      <c r="G13" s="40">
        <v>0</v>
      </c>
      <c r="H13" s="41"/>
    </row>
    <row r="14" spans="1:8" ht="24" x14ac:dyDescent="0.25">
      <c r="A14" s="38">
        <v>2.2000000000000002</v>
      </c>
      <c r="B14" s="57"/>
      <c r="C14" s="39" t="s">
        <v>27</v>
      </c>
      <c r="D14" s="40">
        <v>1</v>
      </c>
      <c r="E14" s="40">
        <v>1</v>
      </c>
      <c r="F14" s="40">
        <v>1</v>
      </c>
      <c r="G14" s="40">
        <v>1</v>
      </c>
      <c r="H14" s="41"/>
    </row>
    <row r="15" spans="1:8" ht="24" x14ac:dyDescent="0.25">
      <c r="A15" s="38">
        <v>2.2999999999999998</v>
      </c>
      <c r="B15" s="57"/>
      <c r="C15" s="39" t="s">
        <v>49</v>
      </c>
      <c r="D15" s="40">
        <v>1</v>
      </c>
      <c r="E15" s="40">
        <v>1</v>
      </c>
      <c r="F15" s="40">
        <v>1</v>
      </c>
      <c r="G15" s="40">
        <v>1</v>
      </c>
      <c r="H15" s="41"/>
    </row>
    <row r="16" spans="1:8" ht="36" x14ac:dyDescent="0.25">
      <c r="A16" s="38">
        <v>2.4</v>
      </c>
      <c r="B16" s="57"/>
      <c r="C16" s="39" t="s">
        <v>48</v>
      </c>
      <c r="D16" s="40">
        <v>1</v>
      </c>
      <c r="E16" s="40">
        <v>1</v>
      </c>
      <c r="F16" s="40">
        <v>1</v>
      </c>
      <c r="G16" s="40">
        <v>1</v>
      </c>
      <c r="H16" s="41"/>
    </row>
    <row r="17" spans="1:8" ht="24" x14ac:dyDescent="0.25">
      <c r="A17" s="38">
        <v>3.1</v>
      </c>
      <c r="B17" s="56" t="s">
        <v>6</v>
      </c>
      <c r="C17" s="39" t="s">
        <v>47</v>
      </c>
      <c r="D17" s="40">
        <v>1</v>
      </c>
      <c r="E17" s="40">
        <v>1</v>
      </c>
      <c r="F17" s="40">
        <v>1</v>
      </c>
      <c r="G17" s="40">
        <v>1</v>
      </c>
      <c r="H17" s="41"/>
    </row>
    <row r="18" spans="1:8" ht="24" x14ac:dyDescent="0.25">
      <c r="A18" s="38">
        <v>3.2</v>
      </c>
      <c r="B18" s="57"/>
      <c r="C18" s="39" t="s">
        <v>29</v>
      </c>
      <c r="D18" s="40">
        <v>1</v>
      </c>
      <c r="E18" s="40">
        <v>1</v>
      </c>
      <c r="F18" s="40">
        <v>1</v>
      </c>
      <c r="G18" s="40">
        <v>1</v>
      </c>
      <c r="H18" s="41" t="s">
        <v>37</v>
      </c>
    </row>
    <row r="19" spans="1:8" ht="24" x14ac:dyDescent="0.25">
      <c r="A19" s="38">
        <v>3.3</v>
      </c>
      <c r="B19" s="57"/>
      <c r="C19" s="39" t="s">
        <v>33</v>
      </c>
      <c r="D19" s="40">
        <v>1</v>
      </c>
      <c r="E19" s="40">
        <v>1</v>
      </c>
      <c r="F19" s="40">
        <v>1</v>
      </c>
      <c r="G19" s="40">
        <v>1</v>
      </c>
      <c r="H19" s="41"/>
    </row>
    <row r="20" spans="1:8" ht="36" x14ac:dyDescent="0.25">
      <c r="A20" s="38">
        <v>3.4</v>
      </c>
      <c r="B20" s="57"/>
      <c r="C20" s="39" t="s">
        <v>23</v>
      </c>
      <c r="D20" s="40">
        <v>1</v>
      </c>
      <c r="E20" s="40">
        <v>1</v>
      </c>
      <c r="F20" s="40">
        <v>0</v>
      </c>
      <c r="G20" s="40">
        <v>1</v>
      </c>
      <c r="H20" s="41"/>
    </row>
    <row r="21" spans="1:8" ht="24" x14ac:dyDescent="0.25">
      <c r="A21" s="38">
        <v>4.0999999999999996</v>
      </c>
      <c r="B21" s="56" t="s">
        <v>7</v>
      </c>
      <c r="C21" s="39" t="s">
        <v>55</v>
      </c>
      <c r="D21" s="40">
        <v>0</v>
      </c>
      <c r="E21" s="40">
        <v>0</v>
      </c>
      <c r="F21" s="40">
        <v>0</v>
      </c>
      <c r="G21" s="40">
        <v>0</v>
      </c>
      <c r="H21" s="41"/>
    </row>
    <row r="22" spans="1:8" ht="36" x14ac:dyDescent="0.25">
      <c r="A22" s="38">
        <v>4.2</v>
      </c>
      <c r="B22" s="57"/>
      <c r="C22" s="39" t="s">
        <v>24</v>
      </c>
      <c r="D22" s="40">
        <v>1</v>
      </c>
      <c r="E22" s="40">
        <v>1</v>
      </c>
      <c r="F22" s="40">
        <v>1</v>
      </c>
      <c r="G22" s="40">
        <v>1</v>
      </c>
      <c r="H22" s="41" t="s">
        <v>37</v>
      </c>
    </row>
    <row r="23" spans="1:8" ht="24" x14ac:dyDescent="0.25">
      <c r="A23" s="38">
        <v>4.3</v>
      </c>
      <c r="B23" s="57"/>
      <c r="C23" s="39" t="s">
        <v>8</v>
      </c>
      <c r="D23" s="40">
        <v>1</v>
      </c>
      <c r="E23" s="40">
        <v>1</v>
      </c>
      <c r="F23" s="40">
        <v>1</v>
      </c>
      <c r="G23" s="40">
        <v>1</v>
      </c>
      <c r="H23" s="41"/>
    </row>
    <row r="24" spans="1:8" ht="24" x14ac:dyDescent="0.25">
      <c r="A24" s="38">
        <v>5.0999999999999996</v>
      </c>
      <c r="B24" s="56" t="s">
        <v>9</v>
      </c>
      <c r="C24" s="39" t="s">
        <v>34</v>
      </c>
      <c r="D24" s="40">
        <v>1</v>
      </c>
      <c r="E24" s="40">
        <v>1</v>
      </c>
      <c r="F24" s="40">
        <v>1</v>
      </c>
      <c r="G24" s="40">
        <v>1</v>
      </c>
      <c r="H24" s="41"/>
    </row>
    <row r="25" spans="1:8" ht="36" x14ac:dyDescent="0.25">
      <c r="A25" s="38">
        <v>5.2</v>
      </c>
      <c r="B25" s="57"/>
      <c r="C25" s="39" t="s">
        <v>46</v>
      </c>
      <c r="D25" s="40">
        <v>1</v>
      </c>
      <c r="E25" s="40">
        <v>1</v>
      </c>
      <c r="F25" s="40">
        <v>0</v>
      </c>
      <c r="G25" s="40">
        <v>1</v>
      </c>
      <c r="H25" s="41"/>
    </row>
    <row r="26" spans="1:8" ht="24" x14ac:dyDescent="0.25">
      <c r="A26" s="38">
        <v>5.3</v>
      </c>
      <c r="B26" s="57"/>
      <c r="C26" s="39" t="s">
        <v>14</v>
      </c>
      <c r="D26" s="40">
        <v>0</v>
      </c>
      <c r="E26" s="40">
        <v>0</v>
      </c>
      <c r="F26" s="40">
        <v>1</v>
      </c>
      <c r="G26" s="40">
        <v>1</v>
      </c>
      <c r="H26" s="41"/>
    </row>
    <row r="27" spans="1:8" ht="24" x14ac:dyDescent="0.25">
      <c r="A27" s="38">
        <v>5.4</v>
      </c>
      <c r="B27" s="57"/>
      <c r="C27" s="39" t="s">
        <v>10</v>
      </c>
      <c r="D27" s="40">
        <v>1</v>
      </c>
      <c r="E27" s="40">
        <v>1</v>
      </c>
      <c r="F27" s="40">
        <v>1</v>
      </c>
      <c r="G27" s="40">
        <v>1</v>
      </c>
      <c r="H27" s="41" t="s">
        <v>37</v>
      </c>
    </row>
    <row r="28" spans="1:8" x14ac:dyDescent="0.25">
      <c r="A28" s="58" t="s">
        <v>3</v>
      </c>
      <c r="B28" s="59"/>
      <c r="C28" s="42" t="s">
        <v>32</v>
      </c>
      <c r="D28" s="43">
        <f>SUM(D10:D27)</f>
        <v>16</v>
      </c>
      <c r="E28" s="43">
        <f>SUM(E10:E27)</f>
        <v>15</v>
      </c>
      <c r="F28" s="43">
        <f>SUM(F10:F27)</f>
        <v>14</v>
      </c>
      <c r="G28" s="43">
        <f>SUM(G10:G27)</f>
        <v>15</v>
      </c>
      <c r="H28" s="41"/>
    </row>
    <row r="29" spans="1:8" x14ac:dyDescent="0.25">
      <c r="A29" s="60"/>
      <c r="B29" s="61"/>
      <c r="C29" s="44" t="s">
        <v>31</v>
      </c>
      <c r="D29" s="45">
        <f>D28/18</f>
        <v>0.88888888888888884</v>
      </c>
      <c r="E29" s="45">
        <f>E28/18</f>
        <v>0.83333333333333337</v>
      </c>
      <c r="F29" s="45">
        <f>F28/18</f>
        <v>0.77777777777777779</v>
      </c>
      <c r="G29" s="45">
        <f>G28/18</f>
        <v>0.83333333333333337</v>
      </c>
      <c r="H29" s="46"/>
    </row>
    <row r="30" spans="1:8" ht="24" x14ac:dyDescent="0.25">
      <c r="A30" s="47" t="s">
        <v>40</v>
      </c>
      <c r="B30" s="48" t="s">
        <v>39</v>
      </c>
      <c r="C30" s="44"/>
      <c r="D30" s="45"/>
      <c r="E30" s="45"/>
      <c r="F30" s="45"/>
      <c r="G30" s="45"/>
      <c r="H30" s="46"/>
    </row>
    <row r="31" spans="1:8" x14ac:dyDescent="0.25">
      <c r="A31" s="47" t="s">
        <v>41</v>
      </c>
      <c r="B31" s="48" t="s">
        <v>42</v>
      </c>
      <c r="C31" s="49"/>
      <c r="D31" s="49"/>
      <c r="E31" s="49"/>
      <c r="F31" s="49"/>
      <c r="G31" s="49"/>
      <c r="H31" s="41"/>
    </row>
    <row r="32" spans="1:8" ht="24" x14ac:dyDescent="0.25">
      <c r="A32" s="47" t="s">
        <v>43</v>
      </c>
      <c r="B32" s="48" t="s">
        <v>44</v>
      </c>
      <c r="C32" s="50"/>
      <c r="D32" s="50"/>
      <c r="E32" s="50"/>
      <c r="F32" s="50"/>
      <c r="G32" s="50"/>
      <c r="H32" s="46"/>
    </row>
    <row r="33" spans="1:8" ht="36" customHeight="1" thickBot="1" x14ac:dyDescent="0.3">
      <c r="A33" s="62" t="s">
        <v>12</v>
      </c>
      <c r="B33" s="63"/>
      <c r="C33" s="51"/>
      <c r="D33" s="51"/>
      <c r="E33" s="51"/>
      <c r="F33" s="51"/>
      <c r="G33" s="51"/>
      <c r="H33" s="52" t="s">
        <v>13</v>
      </c>
    </row>
  </sheetData>
  <mergeCells count="17">
    <mergeCell ref="H5:H6"/>
    <mergeCell ref="B13:B16"/>
    <mergeCell ref="A1:G4"/>
    <mergeCell ref="A5:B6"/>
    <mergeCell ref="C5:C6"/>
    <mergeCell ref="D5:D6"/>
    <mergeCell ref="E5:G6"/>
    <mergeCell ref="A7:B7"/>
    <mergeCell ref="E7:G7"/>
    <mergeCell ref="A8:B8"/>
    <mergeCell ref="E8:G8"/>
    <mergeCell ref="B10:B12"/>
    <mergeCell ref="B17:B20"/>
    <mergeCell ref="B21:B23"/>
    <mergeCell ref="B24:B27"/>
    <mergeCell ref="A28:B29"/>
    <mergeCell ref="A33:B33"/>
  </mergeCells>
  <conditionalFormatting sqref="D10:D21 D23:D27">
    <cfRule type="colorScale" priority="20">
      <colorScale>
        <cfvo type="num" val="0"/>
        <cfvo type="num" val="1"/>
        <color rgb="FFFF0000"/>
        <color rgb="FF00B050"/>
      </colorScale>
    </cfRule>
  </conditionalFormatting>
  <conditionalFormatting sqref="D22">
    <cfRule type="colorScale" priority="12">
      <colorScale>
        <cfvo type="num" val="0"/>
        <cfvo type="num" val="1"/>
        <color rgb="FFFF0000"/>
        <color rgb="FF00B050"/>
      </colorScale>
    </cfRule>
  </conditionalFormatting>
  <conditionalFormatting sqref="D28">
    <cfRule type="colorScale" priority="21">
      <colorScale>
        <cfvo type="num" val="0"/>
        <cfvo type="num" val="1"/>
        <cfvo type="max"/>
        <color rgb="FFFF0000"/>
        <color rgb="FF00B050"/>
        <color rgb="FF63BE7B"/>
      </colorScale>
    </cfRule>
  </conditionalFormatting>
  <conditionalFormatting sqref="E10:E12 E14 E16:E17 E19:E21 E23:E27">
    <cfRule type="colorScale" priority="18">
      <colorScale>
        <cfvo type="num" val="0"/>
        <cfvo type="num" val="1"/>
        <color rgb="FFFF0000"/>
        <color rgb="FF00B050"/>
      </colorScale>
    </cfRule>
  </conditionalFormatting>
  <conditionalFormatting sqref="E13">
    <cfRule type="colorScale" priority="15">
      <colorScale>
        <cfvo type="num" val="0"/>
        <cfvo type="num" val="1"/>
        <color rgb="FFFF0000"/>
        <color rgb="FF00B050"/>
      </colorScale>
    </cfRule>
  </conditionalFormatting>
  <conditionalFormatting sqref="E22">
    <cfRule type="colorScale" priority="11">
      <colorScale>
        <cfvo type="num" val="0"/>
        <cfvo type="num" val="1"/>
        <color rgb="FFFF0000"/>
        <color rgb="FF00B050"/>
      </colorScale>
    </cfRule>
  </conditionalFormatting>
  <conditionalFormatting sqref="E28">
    <cfRule type="colorScale" priority="19">
      <colorScale>
        <cfvo type="num" val="0"/>
        <cfvo type="num" val="1"/>
        <cfvo type="max"/>
        <color rgb="FFFF0000"/>
        <color rgb="FF00B050"/>
        <color rgb="FF63BE7B"/>
      </colorScale>
    </cfRule>
  </conditionalFormatting>
  <conditionalFormatting sqref="E15:G15">
    <cfRule type="colorScale" priority="14">
      <colorScale>
        <cfvo type="num" val="0"/>
        <cfvo type="num" val="1"/>
        <color rgb="FFFF0000"/>
        <color rgb="FF00B050"/>
      </colorScale>
    </cfRule>
  </conditionalFormatting>
  <conditionalFormatting sqref="E18:G18">
    <cfRule type="colorScale" priority="13">
      <colorScale>
        <cfvo type="num" val="0"/>
        <cfvo type="num" val="1"/>
        <color rgb="FFFF0000"/>
        <color rgb="FF00B050"/>
      </colorScale>
    </cfRule>
  </conditionalFormatting>
  <conditionalFormatting sqref="F10:G10">
    <cfRule type="colorScale" priority="10">
      <colorScale>
        <cfvo type="num" val="0"/>
        <cfvo type="num" val="1"/>
        <color rgb="FFFF0000"/>
        <color rgb="FF00B050"/>
      </colorScale>
    </cfRule>
  </conditionalFormatting>
  <conditionalFormatting sqref="F11:G11">
    <cfRule type="colorScale" priority="9">
      <colorScale>
        <cfvo type="num" val="0"/>
        <cfvo type="num" val="1"/>
        <color rgb="FFFF0000"/>
        <color rgb="FF00B050"/>
      </colorScale>
    </cfRule>
  </conditionalFormatting>
  <conditionalFormatting sqref="F12:G12">
    <cfRule type="colorScale" priority="8">
      <colorScale>
        <cfvo type="num" val="0"/>
        <cfvo type="num" val="1"/>
        <color rgb="FFFF0000"/>
        <color rgb="FF00B050"/>
      </colorScale>
    </cfRule>
  </conditionalFormatting>
  <conditionalFormatting sqref="F13:G14 F16:G16 F22:G23 F26:G26">
    <cfRule type="colorScale" priority="16">
      <colorScale>
        <cfvo type="num" val="0"/>
        <cfvo type="num" val="1"/>
        <color rgb="FFFF0000"/>
        <color rgb="FF00B050"/>
      </colorScale>
    </cfRule>
  </conditionalFormatting>
  <conditionalFormatting sqref="F17:G17">
    <cfRule type="colorScale" priority="7">
      <colorScale>
        <cfvo type="num" val="0"/>
        <cfvo type="num" val="1"/>
        <color rgb="FFFF0000"/>
        <color rgb="FF00B050"/>
      </colorScale>
    </cfRule>
  </conditionalFormatting>
  <conditionalFormatting sqref="F19:G19">
    <cfRule type="colorScale" priority="6">
      <colorScale>
        <cfvo type="num" val="0"/>
        <cfvo type="num" val="1"/>
        <color rgb="FFFF0000"/>
        <color rgb="FF00B050"/>
      </colorScale>
    </cfRule>
  </conditionalFormatting>
  <conditionalFormatting sqref="F20:G20">
    <cfRule type="colorScale" priority="5">
      <colorScale>
        <cfvo type="num" val="0"/>
        <cfvo type="num" val="1"/>
        <color rgb="FFFF0000"/>
        <color rgb="FF00B050"/>
      </colorScale>
    </cfRule>
  </conditionalFormatting>
  <conditionalFormatting sqref="F21:G21">
    <cfRule type="colorScale" priority="4">
      <colorScale>
        <cfvo type="num" val="0"/>
        <cfvo type="num" val="1"/>
        <color rgb="FFFF0000"/>
        <color rgb="FF00B050"/>
      </colorScale>
    </cfRule>
  </conditionalFormatting>
  <conditionalFormatting sqref="F24:G24">
    <cfRule type="colorScale" priority="3">
      <colorScale>
        <cfvo type="num" val="0"/>
        <cfvo type="num" val="1"/>
        <color rgb="FFFF0000"/>
        <color rgb="FF00B050"/>
      </colorScale>
    </cfRule>
  </conditionalFormatting>
  <conditionalFormatting sqref="F25:G25">
    <cfRule type="colorScale" priority="2">
      <colorScale>
        <cfvo type="num" val="0"/>
        <cfvo type="num" val="1"/>
        <color rgb="FFFF0000"/>
        <color rgb="FF00B050"/>
      </colorScale>
    </cfRule>
  </conditionalFormatting>
  <conditionalFormatting sqref="F27:G27">
    <cfRule type="colorScale" priority="1">
      <colorScale>
        <cfvo type="num" val="0"/>
        <cfvo type="num" val="1"/>
        <color rgb="FFFF0000"/>
        <color rgb="FF00B050"/>
      </colorScale>
    </cfRule>
  </conditionalFormatting>
  <conditionalFormatting sqref="F28:G28">
    <cfRule type="colorScale" priority="17">
      <colorScale>
        <cfvo type="num" val="0"/>
        <cfvo type="num" val="1"/>
        <cfvo type="max"/>
        <color rgb="FFFF0000"/>
        <color rgb="FF00B050"/>
        <color rgb="FF63BE7B"/>
      </colorScale>
    </cfRule>
  </conditionalFormatting>
  <pageMargins left="0.22" right="0.17" top="0.38" bottom="0.46" header="0.3" footer="0.3"/>
  <pageSetup paperSize="9" scale="75" orientation="landscape" r:id="rId1"/>
  <headerFooter>
    <oddHeader>&amp;C&amp;"Aptos"&amp;10&amp;K000000 Public&amp;1#_x000D_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showGridLines="0" topLeftCell="A16" zoomScale="60" zoomScaleNormal="60" zoomScaleSheetLayoutView="52" workbookViewId="0">
      <selection activeCell="F10" sqref="F10:F27"/>
    </sheetView>
  </sheetViews>
  <sheetFormatPr defaultColWidth="9.140625" defaultRowHeight="12.75" x14ac:dyDescent="0.2"/>
  <cols>
    <col min="1" max="1" width="25.85546875" style="1" customWidth="1"/>
    <col min="2" max="2" width="20.42578125" style="2" customWidth="1"/>
    <col min="3" max="3" width="85.5703125" style="2" customWidth="1"/>
    <col min="4" max="4" width="27.85546875" style="2" customWidth="1"/>
    <col min="5" max="5" width="27.28515625" style="2" customWidth="1"/>
    <col min="6" max="6" width="30.5703125" style="2" customWidth="1"/>
    <col min="7" max="7" width="28.5703125" style="2" customWidth="1"/>
    <col min="8" max="8" width="67.140625" style="1" customWidth="1"/>
    <col min="9" max="16384" width="9.140625" style="1"/>
  </cols>
  <sheetData>
    <row r="1" spans="1:8" ht="15" customHeight="1" x14ac:dyDescent="0.2">
      <c r="A1" s="97" t="s">
        <v>25</v>
      </c>
      <c r="B1" s="98"/>
      <c r="C1" s="98"/>
      <c r="D1" s="98"/>
      <c r="E1" s="98"/>
      <c r="F1" s="98"/>
      <c r="G1" s="98"/>
      <c r="H1" s="9" t="s">
        <v>20</v>
      </c>
    </row>
    <row r="2" spans="1:8" ht="15" customHeight="1" x14ac:dyDescent="0.2">
      <c r="A2" s="99"/>
      <c r="B2" s="100"/>
      <c r="C2" s="100"/>
      <c r="D2" s="100"/>
      <c r="E2" s="100"/>
      <c r="F2" s="100"/>
      <c r="G2" s="100"/>
      <c r="H2" s="10" t="s">
        <v>16</v>
      </c>
    </row>
    <row r="3" spans="1:8" ht="15" customHeight="1" x14ac:dyDescent="0.2">
      <c r="A3" s="99"/>
      <c r="B3" s="100"/>
      <c r="C3" s="100"/>
      <c r="D3" s="100"/>
      <c r="E3" s="100"/>
      <c r="F3" s="100"/>
      <c r="G3" s="100"/>
      <c r="H3" s="10" t="s">
        <v>17</v>
      </c>
    </row>
    <row r="4" spans="1:8" ht="15" customHeight="1" x14ac:dyDescent="0.2">
      <c r="A4" s="99"/>
      <c r="B4" s="100"/>
      <c r="C4" s="100"/>
      <c r="D4" s="100"/>
      <c r="E4" s="100"/>
      <c r="F4" s="100"/>
      <c r="G4" s="100"/>
      <c r="H4" s="10" t="s">
        <v>19</v>
      </c>
    </row>
    <row r="5" spans="1:8" ht="12.75" customHeight="1" x14ac:dyDescent="0.2">
      <c r="A5" s="85" t="s">
        <v>2</v>
      </c>
      <c r="B5" s="86"/>
      <c r="C5" s="87" t="s">
        <v>57</v>
      </c>
      <c r="D5" s="87" t="s">
        <v>35</v>
      </c>
      <c r="E5" s="89"/>
      <c r="F5" s="90"/>
      <c r="G5" s="90"/>
      <c r="H5" s="82">
        <v>1</v>
      </c>
    </row>
    <row r="6" spans="1:8" ht="12.75" customHeight="1" x14ac:dyDescent="0.2">
      <c r="A6" s="85"/>
      <c r="B6" s="86"/>
      <c r="C6" s="88"/>
      <c r="D6" s="88"/>
      <c r="E6" s="91"/>
      <c r="F6" s="92"/>
      <c r="G6" s="92"/>
      <c r="H6" s="82"/>
    </row>
    <row r="7" spans="1:8" ht="24" customHeight="1" x14ac:dyDescent="0.2">
      <c r="A7" s="85" t="s">
        <v>18</v>
      </c>
      <c r="B7" s="86"/>
      <c r="C7" s="3" t="s">
        <v>63</v>
      </c>
      <c r="D7" s="3" t="s">
        <v>36</v>
      </c>
      <c r="E7" s="93"/>
      <c r="F7" s="94"/>
      <c r="G7" s="94"/>
      <c r="H7" s="26">
        <v>0</v>
      </c>
    </row>
    <row r="8" spans="1:8" s="54" customFormat="1" ht="24" customHeight="1" thickBot="1" x14ac:dyDescent="0.35">
      <c r="A8" s="80" t="s">
        <v>59</v>
      </c>
      <c r="B8" s="81"/>
      <c r="C8" s="22" t="s">
        <v>60</v>
      </c>
      <c r="D8" s="3" t="s">
        <v>37</v>
      </c>
      <c r="E8" s="95"/>
      <c r="F8" s="96"/>
      <c r="G8" s="96"/>
      <c r="H8" s="53" t="s">
        <v>38</v>
      </c>
    </row>
    <row r="9" spans="1:8" ht="36" x14ac:dyDescent="0.2">
      <c r="A9" s="11" t="s">
        <v>1</v>
      </c>
      <c r="B9" s="12" t="s">
        <v>30</v>
      </c>
      <c r="C9" s="13" t="s">
        <v>0</v>
      </c>
      <c r="D9" s="13" t="s">
        <v>50</v>
      </c>
      <c r="E9" s="13" t="s">
        <v>51</v>
      </c>
      <c r="F9" s="13" t="s">
        <v>52</v>
      </c>
      <c r="G9" s="13" t="s">
        <v>53</v>
      </c>
      <c r="H9" s="14" t="s">
        <v>21</v>
      </c>
    </row>
    <row r="10" spans="1:8" ht="29.25" customHeight="1" x14ac:dyDescent="0.2">
      <c r="A10" s="6">
        <v>1.1000000000000001</v>
      </c>
      <c r="B10" s="83" t="s">
        <v>4</v>
      </c>
      <c r="C10" s="4" t="s">
        <v>45</v>
      </c>
      <c r="D10" s="7">
        <v>1</v>
      </c>
      <c r="E10" s="7">
        <v>1</v>
      </c>
      <c r="F10" s="7">
        <v>0</v>
      </c>
      <c r="G10" s="7">
        <v>0</v>
      </c>
      <c r="H10" s="15"/>
    </row>
    <row r="11" spans="1:8" ht="29.25" customHeight="1" x14ac:dyDescent="0.2">
      <c r="A11" s="6">
        <v>1.2</v>
      </c>
      <c r="B11" s="84"/>
      <c r="C11" s="4" t="s">
        <v>26</v>
      </c>
      <c r="D11" s="7">
        <v>1</v>
      </c>
      <c r="E11" s="7">
        <v>1</v>
      </c>
      <c r="F11" s="7">
        <v>1</v>
      </c>
      <c r="G11" s="7">
        <v>1</v>
      </c>
      <c r="H11" s="15"/>
    </row>
    <row r="12" spans="1:8" ht="29.25" customHeight="1" x14ac:dyDescent="0.2">
      <c r="A12" s="6">
        <v>1.3</v>
      </c>
      <c r="B12" s="84"/>
      <c r="C12" s="4" t="s">
        <v>22</v>
      </c>
      <c r="D12" s="7">
        <v>1</v>
      </c>
      <c r="E12" s="7">
        <v>0</v>
      </c>
      <c r="F12" s="7">
        <v>1</v>
      </c>
      <c r="G12" s="7">
        <v>0</v>
      </c>
      <c r="H12" s="15"/>
    </row>
    <row r="13" spans="1:8" ht="33.75" customHeight="1" x14ac:dyDescent="0.2">
      <c r="A13" s="6">
        <v>2.1</v>
      </c>
      <c r="B13" s="83" t="s">
        <v>5</v>
      </c>
      <c r="C13" s="4" t="s">
        <v>28</v>
      </c>
      <c r="D13" s="7">
        <v>1</v>
      </c>
      <c r="E13" s="7">
        <v>1</v>
      </c>
      <c r="F13" s="7">
        <v>1</v>
      </c>
      <c r="G13" s="7">
        <v>1</v>
      </c>
      <c r="H13" s="15"/>
    </row>
    <row r="14" spans="1:8" ht="33.75" customHeight="1" x14ac:dyDescent="0.2">
      <c r="A14" s="6">
        <v>2.2000000000000002</v>
      </c>
      <c r="B14" s="84"/>
      <c r="C14" s="4" t="s">
        <v>27</v>
      </c>
      <c r="D14" s="7">
        <v>1</v>
      </c>
      <c r="E14" s="7">
        <v>1</v>
      </c>
      <c r="F14" s="7">
        <v>1</v>
      </c>
      <c r="G14" s="7">
        <v>1</v>
      </c>
      <c r="H14" s="15" t="s">
        <v>37</v>
      </c>
    </row>
    <row r="15" spans="1:8" ht="45" customHeight="1" x14ac:dyDescent="0.2">
      <c r="A15" s="6">
        <v>2.2999999999999998</v>
      </c>
      <c r="B15" s="84"/>
      <c r="C15" s="4" t="s">
        <v>49</v>
      </c>
      <c r="D15" s="7">
        <v>1</v>
      </c>
      <c r="E15" s="7">
        <v>1</v>
      </c>
      <c r="F15" s="7">
        <v>1</v>
      </c>
      <c r="G15" s="7">
        <v>1</v>
      </c>
      <c r="H15" s="15"/>
    </row>
    <row r="16" spans="1:8" ht="60.75" customHeight="1" x14ac:dyDescent="0.2">
      <c r="A16" s="6">
        <v>2.4</v>
      </c>
      <c r="B16" s="84"/>
      <c r="C16" s="4" t="s">
        <v>48</v>
      </c>
      <c r="D16" s="7">
        <v>1</v>
      </c>
      <c r="E16" s="7">
        <v>1</v>
      </c>
      <c r="F16" s="7">
        <v>1</v>
      </c>
      <c r="G16" s="7">
        <v>1</v>
      </c>
      <c r="H16" s="15"/>
    </row>
    <row r="17" spans="1:8" ht="34.5" customHeight="1" x14ac:dyDescent="0.2">
      <c r="A17" s="6">
        <v>3.1</v>
      </c>
      <c r="B17" s="83" t="s">
        <v>6</v>
      </c>
      <c r="C17" s="4" t="s">
        <v>47</v>
      </c>
      <c r="D17" s="7">
        <v>1</v>
      </c>
      <c r="E17" s="7">
        <v>1</v>
      </c>
      <c r="F17" s="7">
        <v>1</v>
      </c>
      <c r="G17" s="7">
        <v>1</v>
      </c>
      <c r="H17" s="15"/>
    </row>
    <row r="18" spans="1:8" ht="45" customHeight="1" x14ac:dyDescent="0.2">
      <c r="A18" s="6">
        <v>3.2</v>
      </c>
      <c r="B18" s="84"/>
      <c r="C18" s="4" t="s">
        <v>29</v>
      </c>
      <c r="D18" s="7">
        <v>1</v>
      </c>
      <c r="E18" s="7">
        <v>1</v>
      </c>
      <c r="F18" s="7">
        <v>1</v>
      </c>
      <c r="G18" s="7">
        <v>1</v>
      </c>
      <c r="H18" s="15" t="s">
        <v>37</v>
      </c>
    </row>
    <row r="19" spans="1:8" ht="52.5" customHeight="1" x14ac:dyDescent="0.2">
      <c r="A19" s="6">
        <v>3.3</v>
      </c>
      <c r="B19" s="84"/>
      <c r="C19" s="4" t="s">
        <v>33</v>
      </c>
      <c r="D19" s="7">
        <v>1</v>
      </c>
      <c r="E19" s="7">
        <v>1</v>
      </c>
      <c r="F19" s="7">
        <v>1</v>
      </c>
      <c r="G19" s="7">
        <v>1</v>
      </c>
      <c r="H19" s="15"/>
    </row>
    <row r="20" spans="1:8" ht="71.25" customHeight="1" x14ac:dyDescent="0.2">
      <c r="A20" s="6">
        <v>3.4</v>
      </c>
      <c r="B20" s="84"/>
      <c r="C20" s="4" t="s">
        <v>23</v>
      </c>
      <c r="D20" s="7">
        <v>1</v>
      </c>
      <c r="E20" s="7">
        <v>1</v>
      </c>
      <c r="F20" s="7">
        <v>1</v>
      </c>
      <c r="G20" s="7">
        <v>1</v>
      </c>
      <c r="H20" s="15"/>
    </row>
    <row r="21" spans="1:8" ht="40.5" x14ac:dyDescent="0.2">
      <c r="A21" s="6">
        <v>4.0999999999999996</v>
      </c>
      <c r="B21" s="83" t="s">
        <v>7</v>
      </c>
      <c r="C21" s="4" t="s">
        <v>15</v>
      </c>
      <c r="D21" s="7">
        <v>0</v>
      </c>
      <c r="E21" s="7">
        <v>0</v>
      </c>
      <c r="F21" s="7">
        <v>0</v>
      </c>
      <c r="G21" s="7">
        <v>0</v>
      </c>
      <c r="H21" s="15"/>
    </row>
    <row r="22" spans="1:8" ht="53.25" customHeight="1" x14ac:dyDescent="0.2">
      <c r="A22" s="6">
        <v>4.2</v>
      </c>
      <c r="B22" s="84"/>
      <c r="C22" s="4" t="s">
        <v>24</v>
      </c>
      <c r="D22" s="7">
        <v>1</v>
      </c>
      <c r="E22" s="7">
        <v>1</v>
      </c>
      <c r="F22" s="7">
        <v>1</v>
      </c>
      <c r="G22" s="7">
        <v>1</v>
      </c>
      <c r="H22" s="15" t="s">
        <v>37</v>
      </c>
    </row>
    <row r="23" spans="1:8" ht="50.25" customHeight="1" x14ac:dyDescent="0.2">
      <c r="A23" s="6">
        <v>4.3</v>
      </c>
      <c r="B23" s="84"/>
      <c r="C23" s="4" t="s">
        <v>8</v>
      </c>
      <c r="D23" s="7">
        <v>1</v>
      </c>
      <c r="E23" s="7">
        <v>1</v>
      </c>
      <c r="F23" s="7">
        <v>1</v>
      </c>
      <c r="G23" s="7">
        <v>1</v>
      </c>
      <c r="H23" s="15"/>
    </row>
    <row r="24" spans="1:8" ht="38.1" customHeight="1" x14ac:dyDescent="0.2">
      <c r="A24" s="6">
        <v>5.0999999999999996</v>
      </c>
      <c r="B24" s="83" t="s">
        <v>9</v>
      </c>
      <c r="C24" s="4" t="s">
        <v>34</v>
      </c>
      <c r="D24" s="7">
        <v>1</v>
      </c>
      <c r="E24" s="7">
        <v>1</v>
      </c>
      <c r="F24" s="7">
        <v>1</v>
      </c>
      <c r="G24" s="7">
        <v>1</v>
      </c>
      <c r="H24" s="15"/>
    </row>
    <row r="25" spans="1:8" ht="40.5" x14ac:dyDescent="0.2">
      <c r="A25" s="6">
        <v>5.2</v>
      </c>
      <c r="B25" s="84"/>
      <c r="C25" s="4" t="s">
        <v>46</v>
      </c>
      <c r="D25" s="7">
        <v>1</v>
      </c>
      <c r="E25" s="7">
        <v>1</v>
      </c>
      <c r="F25" s="7">
        <v>1</v>
      </c>
      <c r="G25" s="7">
        <v>1</v>
      </c>
      <c r="H25" s="15"/>
    </row>
    <row r="26" spans="1:8" ht="37.5" customHeight="1" x14ac:dyDescent="0.2">
      <c r="A26" s="6">
        <v>5.3</v>
      </c>
      <c r="B26" s="84"/>
      <c r="C26" s="4" t="s">
        <v>14</v>
      </c>
      <c r="D26" s="7">
        <v>1</v>
      </c>
      <c r="E26" s="7">
        <v>1</v>
      </c>
      <c r="F26" s="7">
        <v>1</v>
      </c>
      <c r="G26" s="7">
        <v>1</v>
      </c>
      <c r="H26" s="15"/>
    </row>
    <row r="27" spans="1:8" ht="45.75" customHeight="1" x14ac:dyDescent="0.2">
      <c r="A27" s="6">
        <v>5.4</v>
      </c>
      <c r="B27" s="84"/>
      <c r="C27" s="4" t="s">
        <v>10</v>
      </c>
      <c r="D27" s="7">
        <v>1</v>
      </c>
      <c r="E27" s="7">
        <v>1</v>
      </c>
      <c r="F27" s="7">
        <v>1</v>
      </c>
      <c r="G27" s="7">
        <v>1</v>
      </c>
      <c r="H27" s="15" t="s">
        <v>37</v>
      </c>
    </row>
    <row r="28" spans="1:8" ht="38.1" customHeight="1" x14ac:dyDescent="0.2">
      <c r="A28" s="101" t="s">
        <v>3</v>
      </c>
      <c r="B28" s="102"/>
      <c r="C28" s="5" t="s">
        <v>32</v>
      </c>
      <c r="D28" s="21">
        <f>SUM(D10:D27)</f>
        <v>17</v>
      </c>
      <c r="E28" s="21">
        <f>SUM(E10:E27)</f>
        <v>16</v>
      </c>
      <c r="F28" s="21">
        <f>SUM(F10:F27)</f>
        <v>16</v>
      </c>
      <c r="G28" s="21">
        <f>SUM(G10:G27)</f>
        <v>15</v>
      </c>
      <c r="H28" s="15"/>
    </row>
    <row r="29" spans="1:8" ht="38.1" customHeight="1" x14ac:dyDescent="0.2">
      <c r="A29" s="103"/>
      <c r="B29" s="104"/>
      <c r="C29" s="8" t="s">
        <v>31</v>
      </c>
      <c r="D29" s="20">
        <f>D28/18</f>
        <v>0.94444444444444442</v>
      </c>
      <c r="E29" s="20">
        <f>E28/18</f>
        <v>0.88888888888888884</v>
      </c>
      <c r="F29" s="20">
        <f>F28/18</f>
        <v>0.88888888888888884</v>
      </c>
      <c r="G29" s="20">
        <f>G28/18</f>
        <v>0.83333333333333337</v>
      </c>
      <c r="H29" s="16"/>
    </row>
    <row r="30" spans="1:8" ht="38.1" customHeight="1" x14ac:dyDescent="0.2">
      <c r="A30" s="24" t="s">
        <v>40</v>
      </c>
      <c r="B30" s="25" t="s">
        <v>39</v>
      </c>
      <c r="C30" s="8"/>
      <c r="D30" s="20"/>
      <c r="E30" s="20"/>
      <c r="F30" s="20"/>
      <c r="G30" s="20"/>
      <c r="H30" s="16"/>
    </row>
    <row r="31" spans="1:8" ht="46.5" customHeight="1" x14ac:dyDescent="0.2">
      <c r="A31" s="24" t="s">
        <v>41</v>
      </c>
      <c r="B31" s="25" t="s">
        <v>42</v>
      </c>
      <c r="C31" s="19"/>
      <c r="D31" s="19"/>
      <c r="E31" s="19"/>
      <c r="F31" s="19"/>
      <c r="G31" s="19"/>
      <c r="H31" s="15"/>
    </row>
    <row r="32" spans="1:8" ht="46.5" customHeight="1" x14ac:dyDescent="0.2">
      <c r="A32" s="24" t="s">
        <v>43</v>
      </c>
      <c r="B32" s="25" t="s">
        <v>44</v>
      </c>
      <c r="C32" s="23"/>
      <c r="D32" s="23"/>
      <c r="E32" s="23"/>
      <c r="F32" s="23"/>
      <c r="G32" s="23"/>
      <c r="H32" s="16"/>
    </row>
    <row r="33" spans="1:8" ht="97.5" customHeight="1" thickBot="1" x14ac:dyDescent="0.25">
      <c r="A33" s="80" t="s">
        <v>12</v>
      </c>
      <c r="B33" s="81"/>
      <c r="C33" s="17"/>
      <c r="D33" s="17"/>
      <c r="E33" s="17"/>
      <c r="F33" s="17"/>
      <c r="G33" s="17"/>
      <c r="H33" s="18" t="s">
        <v>13</v>
      </c>
    </row>
  </sheetData>
  <mergeCells count="17">
    <mergeCell ref="A1:G4"/>
    <mergeCell ref="A5:B6"/>
    <mergeCell ref="C5:C6"/>
    <mergeCell ref="B24:B27"/>
    <mergeCell ref="A28:B29"/>
    <mergeCell ref="A33:B33"/>
    <mergeCell ref="H5:H6"/>
    <mergeCell ref="B21:B23"/>
    <mergeCell ref="A8:B8"/>
    <mergeCell ref="B10:B12"/>
    <mergeCell ref="B13:B16"/>
    <mergeCell ref="B17:B20"/>
    <mergeCell ref="A7:B7"/>
    <mergeCell ref="D5:D6"/>
    <mergeCell ref="E5:G6"/>
    <mergeCell ref="E7:G7"/>
    <mergeCell ref="E8:G8"/>
  </mergeCells>
  <conditionalFormatting sqref="D10:D27">
    <cfRule type="colorScale" priority="26">
      <colorScale>
        <cfvo type="num" val="0"/>
        <cfvo type="num" val="1"/>
        <color rgb="FFFF0000"/>
        <color rgb="FF00B050"/>
      </colorScale>
    </cfRule>
  </conditionalFormatting>
  <conditionalFormatting sqref="D28">
    <cfRule type="colorScale" priority="27">
      <colorScale>
        <cfvo type="num" val="0"/>
        <cfvo type="num" val="1"/>
        <cfvo type="max"/>
        <color rgb="FFFF0000"/>
        <color rgb="FF00B050"/>
        <color rgb="FF63BE7B"/>
      </colorScale>
    </cfRule>
  </conditionalFormatting>
  <conditionalFormatting sqref="E10:E11 E13 E16:E17 E19:E21 E23:E27">
    <cfRule type="colorScale" priority="24">
      <colorScale>
        <cfvo type="num" val="0"/>
        <cfvo type="num" val="1"/>
        <color rgb="FFFF0000"/>
        <color rgb="FF00B050"/>
      </colorScale>
    </cfRule>
  </conditionalFormatting>
  <conditionalFormatting sqref="E14">
    <cfRule type="colorScale" priority="12">
      <colorScale>
        <cfvo type="num" val="0"/>
        <cfvo type="num" val="1"/>
        <color rgb="FFFF0000"/>
        <color rgb="FF00B050"/>
      </colorScale>
    </cfRule>
  </conditionalFormatting>
  <conditionalFormatting sqref="E12:G12">
    <cfRule type="colorScale" priority="21">
      <colorScale>
        <cfvo type="num" val="0"/>
        <cfvo type="num" val="1"/>
        <color rgb="FFFF0000"/>
        <color rgb="FF00B050"/>
      </colorScale>
    </cfRule>
  </conditionalFormatting>
  <conditionalFormatting sqref="E15:G15">
    <cfRule type="colorScale" priority="20">
      <colorScale>
        <cfvo type="num" val="0"/>
        <cfvo type="num" val="1"/>
        <color rgb="FFFF0000"/>
        <color rgb="FF00B050"/>
      </colorScale>
    </cfRule>
  </conditionalFormatting>
  <conditionalFormatting sqref="E18:G18">
    <cfRule type="colorScale" priority="19">
      <colorScale>
        <cfvo type="num" val="0"/>
        <cfvo type="num" val="1"/>
        <color rgb="FFFF0000"/>
        <color rgb="FF00B050"/>
      </colorScale>
    </cfRule>
  </conditionalFormatting>
  <conditionalFormatting sqref="E22:G22">
    <cfRule type="colorScale" priority="16">
      <colorScale>
        <cfvo type="num" val="0"/>
        <cfvo type="num" val="1"/>
        <color rgb="FFFF0000"/>
        <color rgb="FF00B050"/>
      </colorScale>
    </cfRule>
  </conditionalFormatting>
  <conditionalFormatting sqref="E28:G28">
    <cfRule type="colorScale" priority="28">
      <colorScale>
        <cfvo type="num" val="0"/>
        <cfvo type="num" val="1"/>
        <cfvo type="max"/>
        <color rgb="FFFF0000"/>
        <color rgb="FF00B050"/>
        <color rgb="FF63BE7B"/>
      </colorScale>
    </cfRule>
  </conditionalFormatting>
  <conditionalFormatting sqref="F10:G10">
    <cfRule type="colorScale" priority="15">
      <colorScale>
        <cfvo type="num" val="0"/>
        <cfvo type="num" val="1"/>
        <color rgb="FFFF0000"/>
        <color rgb="FF00B050"/>
      </colorScale>
    </cfRule>
  </conditionalFormatting>
  <conditionalFormatting sqref="F11:G11">
    <cfRule type="colorScale" priority="14">
      <colorScale>
        <cfvo type="num" val="0"/>
        <cfvo type="num" val="1"/>
        <color rgb="FFFF0000"/>
        <color rgb="FF00B050"/>
      </colorScale>
    </cfRule>
  </conditionalFormatting>
  <conditionalFormatting sqref="F13:G13">
    <cfRule type="colorScale" priority="13">
      <colorScale>
        <cfvo type="num" val="0"/>
        <cfvo type="num" val="1"/>
        <color rgb="FFFF0000"/>
        <color rgb="FF00B050"/>
      </colorScale>
    </cfRule>
  </conditionalFormatting>
  <conditionalFormatting sqref="F14:G14">
    <cfRule type="colorScale" priority="11">
      <colorScale>
        <cfvo type="num" val="0"/>
        <cfvo type="num" val="1"/>
        <color rgb="FFFF0000"/>
        <color rgb="FF00B050"/>
      </colorScale>
    </cfRule>
  </conditionalFormatting>
  <conditionalFormatting sqref="F16:G16">
    <cfRule type="colorScale" priority="10">
      <colorScale>
        <cfvo type="num" val="0"/>
        <cfvo type="num" val="1"/>
        <color rgb="FFFF0000"/>
        <color rgb="FF00B050"/>
      </colorScale>
    </cfRule>
  </conditionalFormatting>
  <conditionalFormatting sqref="F17:G17">
    <cfRule type="colorScale" priority="9">
      <colorScale>
        <cfvo type="num" val="0"/>
        <cfvo type="num" val="1"/>
        <color rgb="FFFF0000"/>
        <color rgb="FF00B050"/>
      </colorScale>
    </cfRule>
  </conditionalFormatting>
  <conditionalFormatting sqref="F19:G19">
    <cfRule type="colorScale" priority="8">
      <colorScale>
        <cfvo type="num" val="0"/>
        <cfvo type="num" val="1"/>
        <color rgb="FFFF0000"/>
        <color rgb="FF00B050"/>
      </colorScale>
    </cfRule>
  </conditionalFormatting>
  <conditionalFormatting sqref="F20:G20">
    <cfRule type="colorScale" priority="7">
      <colorScale>
        <cfvo type="num" val="0"/>
        <cfvo type="num" val="1"/>
        <color rgb="FFFF0000"/>
        <color rgb="FF00B050"/>
      </colorScale>
    </cfRule>
  </conditionalFormatting>
  <conditionalFormatting sqref="F21:G21">
    <cfRule type="colorScale" priority="6">
      <colorScale>
        <cfvo type="num" val="0"/>
        <cfvo type="num" val="1"/>
        <color rgb="FFFF0000"/>
        <color rgb="FF00B050"/>
      </colorScale>
    </cfRule>
  </conditionalFormatting>
  <conditionalFormatting sqref="F23:G23">
    <cfRule type="colorScale" priority="5">
      <colorScale>
        <cfvo type="num" val="0"/>
        <cfvo type="num" val="1"/>
        <color rgb="FFFF0000"/>
        <color rgb="FF00B050"/>
      </colorScale>
    </cfRule>
  </conditionalFormatting>
  <conditionalFormatting sqref="F24:G24">
    <cfRule type="colorScale" priority="4">
      <colorScale>
        <cfvo type="num" val="0"/>
        <cfvo type="num" val="1"/>
        <color rgb="FFFF0000"/>
        <color rgb="FF00B050"/>
      </colorScale>
    </cfRule>
  </conditionalFormatting>
  <conditionalFormatting sqref="F25:G25">
    <cfRule type="colorScale" priority="3">
      <colorScale>
        <cfvo type="num" val="0"/>
        <cfvo type="num" val="1"/>
        <color rgb="FFFF0000"/>
        <color rgb="FF00B050"/>
      </colorScale>
    </cfRule>
  </conditionalFormatting>
  <conditionalFormatting sqref="F26:G26">
    <cfRule type="colorScale" priority="2">
      <colorScale>
        <cfvo type="num" val="0"/>
        <cfvo type="num" val="1"/>
        <color rgb="FFFF0000"/>
        <color rgb="FF00B050"/>
      </colorScale>
    </cfRule>
  </conditionalFormatting>
  <conditionalFormatting sqref="F27:G27">
    <cfRule type="colorScale" priority="1">
      <colorScale>
        <cfvo type="num" val="0"/>
        <cfvo type="num" val="1"/>
        <color rgb="FFFF0000"/>
        <color rgb="FF00B050"/>
      </colorScale>
    </cfRule>
  </conditionalFormatting>
  <pageMargins left="0.3" right="0.2" top="0.3" bottom="0" header="0.21" footer="0.17"/>
  <pageSetup paperSize="9" scale="45" fitToHeight="0" orientation="landscape" r:id="rId1"/>
  <headerFooter>
    <oddHeader>&amp;C&amp;"Aptos"&amp;10&amp;K000000 Public&amp;1#_x000D_</oddHeader>
    <oddFooter>Page 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6D4E9-53CF-43C5-B5FC-144B96C835C7}">
  <sheetPr>
    <pageSetUpPr fitToPage="1"/>
  </sheetPr>
  <dimension ref="A1:H33"/>
  <sheetViews>
    <sheetView tabSelected="1" topLeftCell="A15" workbookViewId="0">
      <selection activeCell="I16" sqref="I16"/>
    </sheetView>
  </sheetViews>
  <sheetFormatPr defaultRowHeight="15" x14ac:dyDescent="0.25"/>
  <cols>
    <col min="1" max="1" width="7.28515625" bestFit="1" customWidth="1"/>
    <col min="2" max="2" width="8.85546875" bestFit="1" customWidth="1"/>
    <col min="3" max="3" width="37.42578125" customWidth="1"/>
    <col min="4" max="4" width="22.28515625" customWidth="1"/>
    <col min="5" max="5" width="21.28515625" customWidth="1"/>
    <col min="6" max="6" width="21.7109375" customWidth="1"/>
    <col min="7" max="7" width="23.42578125" customWidth="1"/>
    <col min="8" max="8" width="49.42578125" customWidth="1"/>
    <col min="9" max="9" width="11" customWidth="1"/>
  </cols>
  <sheetData>
    <row r="1" spans="1:8" x14ac:dyDescent="0.25">
      <c r="A1" s="65" t="s">
        <v>25</v>
      </c>
      <c r="B1" s="66"/>
      <c r="C1" s="66"/>
      <c r="D1" s="66"/>
      <c r="E1" s="66"/>
      <c r="F1" s="66"/>
      <c r="G1" s="66"/>
      <c r="H1" s="27" t="s">
        <v>20</v>
      </c>
    </row>
    <row r="2" spans="1:8" x14ac:dyDescent="0.25">
      <c r="A2" s="67"/>
      <c r="B2" s="57"/>
      <c r="C2" s="57"/>
      <c r="D2" s="57"/>
      <c r="E2" s="57"/>
      <c r="F2" s="57"/>
      <c r="G2" s="57"/>
      <c r="H2" s="29" t="s">
        <v>16</v>
      </c>
    </row>
    <row r="3" spans="1:8" x14ac:dyDescent="0.25">
      <c r="A3" s="67"/>
      <c r="B3" s="57"/>
      <c r="C3" s="57"/>
      <c r="D3" s="57"/>
      <c r="E3" s="57"/>
      <c r="F3" s="57"/>
      <c r="G3" s="57"/>
      <c r="H3" s="29" t="s">
        <v>17</v>
      </c>
    </row>
    <row r="4" spans="1:8" x14ac:dyDescent="0.25">
      <c r="A4" s="67"/>
      <c r="B4" s="57"/>
      <c r="C4" s="57"/>
      <c r="D4" s="57"/>
      <c r="E4" s="57"/>
      <c r="F4" s="57"/>
      <c r="G4" s="57"/>
      <c r="H4" s="29" t="s">
        <v>19</v>
      </c>
    </row>
    <row r="5" spans="1:8" x14ac:dyDescent="0.25">
      <c r="A5" s="68" t="s">
        <v>2</v>
      </c>
      <c r="B5" s="69"/>
      <c r="C5" s="70" t="s">
        <v>58</v>
      </c>
      <c r="D5" s="70" t="s">
        <v>35</v>
      </c>
      <c r="E5" s="72"/>
      <c r="F5" s="73"/>
      <c r="G5" s="73"/>
      <c r="H5" s="64">
        <v>1</v>
      </c>
    </row>
    <row r="6" spans="1:8" x14ac:dyDescent="0.25">
      <c r="A6" s="68"/>
      <c r="B6" s="69"/>
      <c r="C6" s="71"/>
      <c r="D6" s="71"/>
      <c r="E6" s="74"/>
      <c r="F6" s="75"/>
      <c r="G6" s="75"/>
      <c r="H6" s="64"/>
    </row>
    <row r="7" spans="1:8" x14ac:dyDescent="0.25">
      <c r="A7" s="68" t="s">
        <v>18</v>
      </c>
      <c r="B7" s="69"/>
      <c r="C7" s="30" t="s">
        <v>64</v>
      </c>
      <c r="D7" s="30" t="s">
        <v>36</v>
      </c>
      <c r="E7" s="76"/>
      <c r="F7" s="77"/>
      <c r="G7" s="77"/>
      <c r="H7" s="31">
        <v>0</v>
      </c>
    </row>
    <row r="8" spans="1:8" ht="15.75" thickBot="1" x14ac:dyDescent="0.3">
      <c r="A8" s="62" t="s">
        <v>11</v>
      </c>
      <c r="B8" s="63"/>
      <c r="C8" s="55" t="s">
        <v>60</v>
      </c>
      <c r="D8" s="30" t="s">
        <v>37</v>
      </c>
      <c r="E8" s="78"/>
      <c r="F8" s="79"/>
      <c r="G8" s="79"/>
      <c r="H8" s="33" t="s">
        <v>38</v>
      </c>
    </row>
    <row r="9" spans="1:8" ht="24" x14ac:dyDescent="0.25">
      <c r="A9" s="34" t="s">
        <v>1</v>
      </c>
      <c r="B9" s="35" t="s">
        <v>30</v>
      </c>
      <c r="C9" s="36" t="s">
        <v>0</v>
      </c>
      <c r="D9" s="36" t="s">
        <v>50</v>
      </c>
      <c r="E9" s="36" t="s">
        <v>51</v>
      </c>
      <c r="F9" s="36" t="s">
        <v>52</v>
      </c>
      <c r="G9" s="36" t="s">
        <v>53</v>
      </c>
      <c r="H9" s="37" t="s">
        <v>21</v>
      </c>
    </row>
    <row r="10" spans="1:8" ht="24" x14ac:dyDescent="0.25">
      <c r="A10" s="38">
        <v>1.1000000000000001</v>
      </c>
      <c r="B10" s="56" t="s">
        <v>4</v>
      </c>
      <c r="C10" s="39" t="s">
        <v>45</v>
      </c>
      <c r="D10" s="40">
        <v>1</v>
      </c>
      <c r="E10" s="40">
        <v>0</v>
      </c>
      <c r="F10" s="40">
        <v>0</v>
      </c>
      <c r="G10" s="40">
        <v>0</v>
      </c>
      <c r="H10" s="41"/>
    </row>
    <row r="11" spans="1:8" ht="24" x14ac:dyDescent="0.25">
      <c r="A11" s="38">
        <v>1.2</v>
      </c>
      <c r="B11" s="57"/>
      <c r="C11" s="39" t="s">
        <v>26</v>
      </c>
      <c r="D11" s="40">
        <v>1</v>
      </c>
      <c r="E11" s="40">
        <v>1</v>
      </c>
      <c r="F11" s="40">
        <v>1</v>
      </c>
      <c r="G11" s="40">
        <v>1</v>
      </c>
      <c r="H11" s="41"/>
    </row>
    <row r="12" spans="1:8" ht="24" x14ac:dyDescent="0.25">
      <c r="A12" s="38">
        <v>1.3</v>
      </c>
      <c r="B12" s="57"/>
      <c r="C12" s="39" t="s">
        <v>22</v>
      </c>
      <c r="D12" s="40">
        <v>1</v>
      </c>
      <c r="E12" s="40">
        <v>1</v>
      </c>
      <c r="F12" s="40">
        <v>1</v>
      </c>
      <c r="G12" s="40">
        <v>1</v>
      </c>
      <c r="H12" s="41"/>
    </row>
    <row r="13" spans="1:8" ht="24" x14ac:dyDescent="0.25">
      <c r="A13" s="38">
        <v>2.1</v>
      </c>
      <c r="B13" s="56" t="s">
        <v>5</v>
      </c>
      <c r="C13" s="39" t="s">
        <v>28</v>
      </c>
      <c r="D13" s="40">
        <v>1</v>
      </c>
      <c r="E13" s="40">
        <v>1</v>
      </c>
      <c r="F13" s="40">
        <v>1</v>
      </c>
      <c r="G13" s="40">
        <v>1</v>
      </c>
      <c r="H13" s="41"/>
    </row>
    <row r="14" spans="1:8" ht="24" x14ac:dyDescent="0.25">
      <c r="A14" s="38">
        <v>2.2000000000000002</v>
      </c>
      <c r="B14" s="57"/>
      <c r="C14" s="39" t="s">
        <v>27</v>
      </c>
      <c r="D14" s="40">
        <v>1</v>
      </c>
      <c r="E14" s="40">
        <v>1</v>
      </c>
      <c r="F14" s="40">
        <v>1</v>
      </c>
      <c r="G14" s="40">
        <v>1</v>
      </c>
      <c r="H14" s="41"/>
    </row>
    <row r="15" spans="1:8" ht="24" x14ac:dyDescent="0.25">
      <c r="A15" s="38">
        <v>2.2999999999999998</v>
      </c>
      <c r="B15" s="57"/>
      <c r="C15" s="39" t="s">
        <v>49</v>
      </c>
      <c r="D15" s="40">
        <v>1</v>
      </c>
      <c r="E15" s="40">
        <v>1</v>
      </c>
      <c r="F15" s="40">
        <v>1</v>
      </c>
      <c r="G15" s="40">
        <v>1</v>
      </c>
      <c r="H15" s="41"/>
    </row>
    <row r="16" spans="1:8" ht="48" x14ac:dyDescent="0.25">
      <c r="A16" s="38">
        <v>2.4</v>
      </c>
      <c r="B16" s="57"/>
      <c r="C16" s="39" t="s">
        <v>48</v>
      </c>
      <c r="D16" s="40">
        <v>1</v>
      </c>
      <c r="E16" s="40">
        <v>1</v>
      </c>
      <c r="F16" s="40">
        <v>1</v>
      </c>
      <c r="G16" s="40">
        <v>1</v>
      </c>
      <c r="H16" s="41"/>
    </row>
    <row r="17" spans="1:8" ht="24" x14ac:dyDescent="0.25">
      <c r="A17" s="38">
        <v>3.1</v>
      </c>
      <c r="B17" s="56" t="s">
        <v>6</v>
      </c>
      <c r="C17" s="39" t="s">
        <v>47</v>
      </c>
      <c r="D17" s="40">
        <v>1</v>
      </c>
      <c r="E17" s="40">
        <v>1</v>
      </c>
      <c r="F17" s="40">
        <v>1</v>
      </c>
      <c r="G17" s="40">
        <v>1</v>
      </c>
      <c r="H17" s="41"/>
    </row>
    <row r="18" spans="1:8" ht="24" x14ac:dyDescent="0.25">
      <c r="A18" s="38">
        <v>3.2</v>
      </c>
      <c r="B18" s="57"/>
      <c r="C18" s="39" t="s">
        <v>29</v>
      </c>
      <c r="D18" s="40">
        <v>1</v>
      </c>
      <c r="E18" s="40">
        <v>1</v>
      </c>
      <c r="F18" s="40">
        <v>1</v>
      </c>
      <c r="G18" s="40">
        <v>1</v>
      </c>
      <c r="H18" s="41"/>
    </row>
    <row r="19" spans="1:8" ht="24" x14ac:dyDescent="0.25">
      <c r="A19" s="38">
        <v>3.3</v>
      </c>
      <c r="B19" s="57"/>
      <c r="C19" s="39" t="s">
        <v>33</v>
      </c>
      <c r="D19" s="40">
        <v>1</v>
      </c>
      <c r="E19" s="40">
        <v>1</v>
      </c>
      <c r="F19" s="40">
        <v>1</v>
      </c>
      <c r="G19" s="40">
        <v>1</v>
      </c>
      <c r="H19" s="41"/>
    </row>
    <row r="20" spans="1:8" ht="36" x14ac:dyDescent="0.25">
      <c r="A20" s="38">
        <v>3.4</v>
      </c>
      <c r="B20" s="57"/>
      <c r="C20" s="39" t="s">
        <v>23</v>
      </c>
      <c r="D20" s="40">
        <v>1</v>
      </c>
      <c r="E20" s="40">
        <v>1</v>
      </c>
      <c r="F20" s="40">
        <v>1</v>
      </c>
      <c r="G20" s="40">
        <v>1</v>
      </c>
      <c r="H20" s="41"/>
    </row>
    <row r="21" spans="1:8" ht="24" x14ac:dyDescent="0.25">
      <c r="A21" s="38">
        <v>4.0999999999999996</v>
      </c>
      <c r="B21" s="56" t="s">
        <v>7</v>
      </c>
      <c r="C21" s="39" t="s">
        <v>55</v>
      </c>
      <c r="D21" s="40">
        <v>0</v>
      </c>
      <c r="E21" s="40">
        <v>0</v>
      </c>
      <c r="F21" s="40">
        <v>0</v>
      </c>
      <c r="G21" s="40">
        <v>0</v>
      </c>
      <c r="H21" s="41"/>
    </row>
    <row r="22" spans="1:8" ht="36" x14ac:dyDescent="0.25">
      <c r="A22" s="38">
        <v>4.2</v>
      </c>
      <c r="B22" s="57"/>
      <c r="C22" s="39" t="s">
        <v>24</v>
      </c>
      <c r="D22" s="40">
        <v>1</v>
      </c>
      <c r="E22" s="40">
        <v>1</v>
      </c>
      <c r="F22" s="40">
        <v>1</v>
      </c>
      <c r="G22" s="40">
        <v>1</v>
      </c>
      <c r="H22" s="41"/>
    </row>
    <row r="23" spans="1:8" ht="24" x14ac:dyDescent="0.25">
      <c r="A23" s="38">
        <v>4.3</v>
      </c>
      <c r="B23" s="57"/>
      <c r="C23" s="39" t="s">
        <v>8</v>
      </c>
      <c r="D23" s="40">
        <v>1</v>
      </c>
      <c r="E23" s="40">
        <v>1</v>
      </c>
      <c r="F23" s="40">
        <v>1</v>
      </c>
      <c r="G23" s="40">
        <v>1</v>
      </c>
      <c r="H23" s="41"/>
    </row>
    <row r="24" spans="1:8" ht="24" x14ac:dyDescent="0.25">
      <c r="A24" s="38">
        <v>5.0999999999999996</v>
      </c>
      <c r="B24" s="56" t="s">
        <v>9</v>
      </c>
      <c r="C24" s="39" t="s">
        <v>34</v>
      </c>
      <c r="D24" s="40">
        <v>1</v>
      </c>
      <c r="E24" s="40">
        <v>1</v>
      </c>
      <c r="F24" s="40">
        <v>1</v>
      </c>
      <c r="G24" s="40">
        <v>1</v>
      </c>
      <c r="H24" s="41"/>
    </row>
    <row r="25" spans="1:8" ht="36" x14ac:dyDescent="0.25">
      <c r="A25" s="38">
        <v>5.2</v>
      </c>
      <c r="B25" s="57"/>
      <c r="C25" s="39" t="s">
        <v>46</v>
      </c>
      <c r="D25" s="40">
        <v>1</v>
      </c>
      <c r="E25" s="40">
        <v>1</v>
      </c>
      <c r="F25" s="40">
        <v>1</v>
      </c>
      <c r="G25" s="40">
        <v>1</v>
      </c>
      <c r="H25" s="41"/>
    </row>
    <row r="26" spans="1:8" ht="24" x14ac:dyDescent="0.25">
      <c r="A26" s="38">
        <v>5.3</v>
      </c>
      <c r="B26" s="57"/>
      <c r="C26" s="39" t="s">
        <v>14</v>
      </c>
      <c r="D26" s="40">
        <v>0</v>
      </c>
      <c r="E26" s="40">
        <v>1</v>
      </c>
      <c r="F26" s="40">
        <v>0</v>
      </c>
      <c r="G26" s="40">
        <v>0</v>
      </c>
      <c r="H26" s="41"/>
    </row>
    <row r="27" spans="1:8" ht="24" x14ac:dyDescent="0.25">
      <c r="A27" s="38">
        <v>5.4</v>
      </c>
      <c r="B27" s="57"/>
      <c r="C27" s="39" t="s">
        <v>10</v>
      </c>
      <c r="D27" s="40">
        <v>1</v>
      </c>
      <c r="E27" s="40">
        <v>1</v>
      </c>
      <c r="F27" s="40">
        <v>1</v>
      </c>
      <c r="G27" s="40">
        <v>1</v>
      </c>
      <c r="H27" s="41"/>
    </row>
    <row r="28" spans="1:8" x14ac:dyDescent="0.25">
      <c r="A28" s="58" t="s">
        <v>3</v>
      </c>
      <c r="B28" s="59"/>
      <c r="C28" s="42" t="s">
        <v>32</v>
      </c>
      <c r="D28" s="43">
        <f>SUM(D10:D27)</f>
        <v>16</v>
      </c>
      <c r="E28" s="43">
        <f>SUM(E10:E27)</f>
        <v>16</v>
      </c>
      <c r="F28" s="43">
        <f>SUM(F10:F27)</f>
        <v>15</v>
      </c>
      <c r="G28" s="43">
        <f>SUM(G10:G27)</f>
        <v>15</v>
      </c>
      <c r="H28" s="41"/>
    </row>
    <row r="29" spans="1:8" x14ac:dyDescent="0.25">
      <c r="A29" s="60"/>
      <c r="B29" s="61"/>
      <c r="C29" s="44" t="s">
        <v>31</v>
      </c>
      <c r="D29" s="45">
        <f>D28/18</f>
        <v>0.88888888888888884</v>
      </c>
      <c r="E29" s="45">
        <f>E28/18</f>
        <v>0.88888888888888884</v>
      </c>
      <c r="F29" s="45">
        <f>F28/18</f>
        <v>0.83333333333333337</v>
      </c>
      <c r="G29" s="45">
        <f>G28/18</f>
        <v>0.83333333333333337</v>
      </c>
      <c r="H29" s="46"/>
    </row>
    <row r="30" spans="1:8" ht="24" x14ac:dyDescent="0.25">
      <c r="A30" s="47" t="s">
        <v>40</v>
      </c>
      <c r="B30" s="48" t="s">
        <v>39</v>
      </c>
      <c r="C30" s="44"/>
      <c r="D30" s="45"/>
      <c r="E30" s="45"/>
      <c r="F30" s="45"/>
      <c r="G30" s="45"/>
      <c r="H30" s="46"/>
    </row>
    <row r="31" spans="1:8" ht="24" x14ac:dyDescent="0.25">
      <c r="A31" s="47" t="s">
        <v>41</v>
      </c>
      <c r="B31" s="48" t="s">
        <v>42</v>
      </c>
      <c r="C31" s="49"/>
      <c r="D31" s="49"/>
      <c r="E31" s="49"/>
      <c r="F31" s="49"/>
      <c r="G31" s="49"/>
      <c r="H31" s="41"/>
    </row>
    <row r="32" spans="1:8" ht="24" x14ac:dyDescent="0.25">
      <c r="A32" s="47" t="s">
        <v>43</v>
      </c>
      <c r="B32" s="48" t="s">
        <v>44</v>
      </c>
      <c r="C32" s="50"/>
      <c r="D32" s="50"/>
      <c r="E32" s="50"/>
      <c r="F32" s="50"/>
      <c r="G32" s="50"/>
      <c r="H32" s="46"/>
    </row>
    <row r="33" spans="1:8" ht="47.25" customHeight="1" thickBot="1" x14ac:dyDescent="0.3">
      <c r="A33" s="62" t="s">
        <v>12</v>
      </c>
      <c r="B33" s="63"/>
      <c r="C33" s="51"/>
      <c r="D33" s="51"/>
      <c r="E33" s="51"/>
      <c r="F33" s="51"/>
      <c r="G33" s="51"/>
      <c r="H33" s="52" t="s">
        <v>13</v>
      </c>
    </row>
  </sheetData>
  <mergeCells count="17">
    <mergeCell ref="H5:H6"/>
    <mergeCell ref="B13:B16"/>
    <mergeCell ref="A1:G4"/>
    <mergeCell ref="A5:B6"/>
    <mergeCell ref="C5:C6"/>
    <mergeCell ref="D5:D6"/>
    <mergeCell ref="E5:G6"/>
    <mergeCell ref="A7:B7"/>
    <mergeCell ref="E7:G7"/>
    <mergeCell ref="A8:B8"/>
    <mergeCell ref="E8:G8"/>
    <mergeCell ref="B10:B12"/>
    <mergeCell ref="B17:B20"/>
    <mergeCell ref="B21:B23"/>
    <mergeCell ref="B24:B27"/>
    <mergeCell ref="A28:B29"/>
    <mergeCell ref="A33:B33"/>
  </mergeCells>
  <conditionalFormatting sqref="D10:D27">
    <cfRule type="colorScale" priority="9">
      <colorScale>
        <cfvo type="num" val="0"/>
        <cfvo type="num" val="1"/>
        <color rgb="FFFF0000"/>
        <color rgb="FF00B050"/>
      </colorScale>
    </cfRule>
  </conditionalFormatting>
  <conditionalFormatting sqref="D28">
    <cfRule type="colorScale" priority="10">
      <colorScale>
        <cfvo type="num" val="0"/>
        <cfvo type="num" val="1"/>
        <cfvo type="max"/>
        <color rgb="FFFF0000"/>
        <color rgb="FF00B050"/>
        <color rgb="FF63BE7B"/>
      </colorScale>
    </cfRule>
  </conditionalFormatting>
  <conditionalFormatting sqref="E10:F12 E14:F15 E17:F27">
    <cfRule type="colorScale" priority="7">
      <colorScale>
        <cfvo type="num" val="0"/>
        <cfvo type="num" val="1"/>
        <color rgb="FFFF0000"/>
        <color rgb="FF00B050"/>
      </colorScale>
    </cfRule>
  </conditionalFormatting>
  <conditionalFormatting sqref="E16:F16">
    <cfRule type="colorScale" priority="3">
      <colorScale>
        <cfvo type="num" val="0"/>
        <cfvo type="num" val="1"/>
        <color rgb="FFFF0000"/>
        <color rgb="FF00B050"/>
      </colorScale>
    </cfRule>
  </conditionalFormatting>
  <conditionalFormatting sqref="E28:F28">
    <cfRule type="colorScale" priority="8">
      <colorScale>
        <cfvo type="num" val="0"/>
        <cfvo type="num" val="1"/>
        <cfvo type="max"/>
        <color rgb="FFFF0000"/>
        <color rgb="FF00B050"/>
        <color rgb="FF63BE7B"/>
      </colorScale>
    </cfRule>
  </conditionalFormatting>
  <conditionalFormatting sqref="E13:G13">
    <cfRule type="colorScale" priority="4">
      <colorScale>
        <cfvo type="num" val="0"/>
        <cfvo type="num" val="1"/>
        <color rgb="FFFF0000"/>
        <color rgb="FF00B050"/>
      </colorScale>
    </cfRule>
  </conditionalFormatting>
  <conditionalFormatting sqref="G10:G12 G14:G15 G17:G27">
    <cfRule type="colorScale" priority="5">
      <colorScale>
        <cfvo type="num" val="0"/>
        <cfvo type="num" val="1"/>
        <color rgb="FFFF0000"/>
        <color rgb="FF00B050"/>
      </colorScale>
    </cfRule>
  </conditionalFormatting>
  <conditionalFormatting sqref="G16">
    <cfRule type="colorScale" priority="2">
      <colorScale>
        <cfvo type="num" val="0"/>
        <cfvo type="num" val="1"/>
        <color rgb="FFFF0000"/>
        <color rgb="FF00B050"/>
      </colorScale>
    </cfRule>
  </conditionalFormatting>
  <conditionalFormatting sqref="G28">
    <cfRule type="colorScale" priority="30">
      <colorScale>
        <cfvo type="num" val="0"/>
        <cfvo type="num" val="1"/>
        <cfvo type="max"/>
        <color rgb="FFFF0000"/>
        <color rgb="FF00B050"/>
        <color rgb="FF63BE7B"/>
      </colorScale>
    </cfRule>
  </conditionalFormatting>
  <pageMargins left="0.17" right="0.17" top="0.17" bottom="0.19" header="0.17" footer="0.17"/>
  <pageSetup paperSize="9" scale="75" orientation="landscape" r:id="rId1"/>
  <headerFooter>
    <oddHeader>&amp;C&amp;"Aptos"&amp;10&amp;K000000 Public&amp;1#_x000D_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PRADIP</vt:lpstr>
      <vt:lpstr>SAGAR</vt:lpstr>
      <vt:lpstr>GURUDATTA</vt:lpstr>
      <vt:lpstr>DATTATRAY</vt:lpstr>
      <vt:lpstr>GURUDATTA!Print_Area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2026-06-22T04:22:42Z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16e56841-897a-4359-87a7-ac954c2e1f5c_Enabled">
    <vt:lpwstr>true</vt:lpwstr>
  </property>
  <property fmtid="{D5CDD505-2E9C-101B-9397-08002B2CF9AE}" pid="4" name="MSIP_Label_16e56841-897a-4359-87a7-ac954c2e1f5c_SetDate">
    <vt:lpwstr>2026-06-17T10:29:02Z</vt:lpwstr>
  </property>
  <property fmtid="{D5CDD505-2E9C-101B-9397-08002B2CF9AE}" pid="5" name="MSIP_Label_16e56841-897a-4359-87a7-ac954c2e1f5c_Method">
    <vt:lpwstr>Privileged</vt:lpwstr>
  </property>
  <property fmtid="{D5CDD505-2E9C-101B-9397-08002B2CF9AE}" pid="6" name="MSIP_Label_16e56841-897a-4359-87a7-ac954c2e1f5c_Name">
    <vt:lpwstr>Public-O365</vt:lpwstr>
  </property>
  <property fmtid="{D5CDD505-2E9C-101B-9397-08002B2CF9AE}" pid="7" name="MSIP_Label_16e56841-897a-4359-87a7-ac954c2e1f5c_SiteId">
    <vt:lpwstr>d44ff723-4fa7-405e-afc0-43c21e573043</vt:lpwstr>
  </property>
  <property fmtid="{D5CDD505-2E9C-101B-9397-08002B2CF9AE}" pid="8" name="MSIP_Label_16e56841-897a-4359-87a7-ac954c2e1f5c_ActionId">
    <vt:lpwstr>1601dfd5-9229-48fe-bb76-0d5ac5e85395</vt:lpwstr>
  </property>
  <property fmtid="{D5CDD505-2E9C-101B-9397-08002B2CF9AE}" pid="9" name="MSIP_Label_16e56841-897a-4359-87a7-ac954c2e1f5c_ContentBits">
    <vt:lpwstr>1</vt:lpwstr>
  </property>
  <property fmtid="{D5CDD505-2E9C-101B-9397-08002B2CF9AE}" pid="10" name="MSIP_Label_16e56841-897a-4359-87a7-ac954c2e1f5c_Tag">
    <vt:lpwstr>10, 0, 1, 1</vt:lpwstr>
  </property>
</Properties>
</file>