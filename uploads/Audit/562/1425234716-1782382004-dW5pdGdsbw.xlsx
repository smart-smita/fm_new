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emens.Admin\Desktop\OE Audit\Siemens Industry\"/>
    </mc:Choice>
  </mc:AlternateContent>
  <bookViews>
    <workbookView xWindow="0" yWindow="0" windowWidth="20490" windowHeight="6750" activeTab="1"/>
  </bookViews>
  <sheets>
    <sheet name="April-26" sheetId="1" r:id="rId1"/>
    <sheet name="May-2026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2" l="1"/>
  <c r="J32" i="2" s="1"/>
  <c r="M32" i="2" s="1"/>
  <c r="H32" i="2"/>
  <c r="K32" i="2" s="1"/>
  <c r="G32" i="2"/>
  <c r="N32" i="2" s="1"/>
  <c r="F32" i="2"/>
  <c r="E32" i="2"/>
  <c r="D32" i="2"/>
  <c r="C32" i="2" s="1"/>
  <c r="M31" i="2"/>
  <c r="K31" i="2"/>
  <c r="J31" i="2"/>
  <c r="I31" i="2"/>
  <c r="H31" i="2"/>
  <c r="P31" i="2" s="1"/>
  <c r="G31" i="2"/>
  <c r="O31" i="2" s="1"/>
  <c r="F31" i="2"/>
  <c r="E31" i="2"/>
  <c r="D31" i="2"/>
  <c r="C31" i="2" s="1"/>
  <c r="N30" i="2"/>
  <c r="K30" i="2"/>
  <c r="I30" i="2"/>
  <c r="J30" i="2" s="1"/>
  <c r="M30" i="2" s="1"/>
  <c r="H30" i="2"/>
  <c r="P30" i="2" s="1"/>
  <c r="G30" i="2"/>
  <c r="F30" i="2"/>
  <c r="E30" i="2"/>
  <c r="D30" i="2"/>
  <c r="C30" i="2" s="1"/>
  <c r="L30" i="2" s="1"/>
  <c r="M29" i="2"/>
  <c r="K29" i="2"/>
  <c r="J29" i="2"/>
  <c r="I29" i="2"/>
  <c r="O29" i="2" s="1"/>
  <c r="H29" i="2"/>
  <c r="P29" i="2" s="1"/>
  <c r="G29" i="2"/>
  <c r="N29" i="2" s="1"/>
  <c r="F29" i="2"/>
  <c r="E29" i="2"/>
  <c r="D29" i="2"/>
  <c r="C29" i="2"/>
  <c r="L29" i="2" s="1"/>
  <c r="K28" i="2"/>
  <c r="J28" i="2"/>
  <c r="M28" i="2" s="1"/>
  <c r="I28" i="2"/>
  <c r="O28" i="2" s="1"/>
  <c r="H28" i="2"/>
  <c r="P28" i="2" s="1"/>
  <c r="G28" i="2"/>
  <c r="N28" i="2" s="1"/>
  <c r="F28" i="2"/>
  <c r="E28" i="2"/>
  <c r="D28" i="2"/>
  <c r="C28" i="2" s="1"/>
  <c r="L28" i="2" s="1"/>
  <c r="I27" i="2"/>
  <c r="O27" i="2" s="1"/>
  <c r="H27" i="2"/>
  <c r="P27" i="2" s="1"/>
  <c r="G27" i="2"/>
  <c r="F27" i="2"/>
  <c r="E27" i="2"/>
  <c r="D27" i="2"/>
  <c r="C27" i="2"/>
  <c r="L27" i="2" s="1"/>
  <c r="I26" i="2"/>
  <c r="O26" i="2" s="1"/>
  <c r="H26" i="2"/>
  <c r="P26" i="2" s="1"/>
  <c r="G26" i="2"/>
  <c r="N26" i="2" s="1"/>
  <c r="F26" i="2"/>
  <c r="E26" i="2"/>
  <c r="D26" i="2"/>
  <c r="C26" i="2"/>
  <c r="L26" i="2" s="1"/>
  <c r="I25" i="2"/>
  <c r="K25" i="2" s="1"/>
  <c r="H25" i="2"/>
  <c r="P25" i="2" s="1"/>
  <c r="G25" i="2"/>
  <c r="N25" i="2" s="1"/>
  <c r="F25" i="2"/>
  <c r="E25" i="2"/>
  <c r="D25" i="2"/>
  <c r="C25" i="2" s="1"/>
  <c r="L25" i="2" s="1"/>
  <c r="N24" i="2"/>
  <c r="I24" i="2"/>
  <c r="J24" i="2" s="1"/>
  <c r="M24" i="2" s="1"/>
  <c r="H24" i="2"/>
  <c r="K24" i="2" s="1"/>
  <c r="G24" i="2"/>
  <c r="F24" i="2"/>
  <c r="E24" i="2"/>
  <c r="D24" i="2"/>
  <c r="M23" i="2"/>
  <c r="K23" i="2"/>
  <c r="J23" i="2"/>
  <c r="I23" i="2"/>
  <c r="H23" i="2"/>
  <c r="P23" i="2" s="1"/>
  <c r="G23" i="2"/>
  <c r="O23" i="2" s="1"/>
  <c r="F23" i="2"/>
  <c r="E23" i="2"/>
  <c r="C23" i="2" s="1"/>
  <c r="D23" i="2"/>
  <c r="N22" i="2"/>
  <c r="I22" i="2"/>
  <c r="K22" i="2" s="1"/>
  <c r="H22" i="2"/>
  <c r="P22" i="2" s="1"/>
  <c r="G22" i="2"/>
  <c r="F22" i="2"/>
  <c r="E22" i="2"/>
  <c r="D22" i="2"/>
  <c r="C22" i="2" s="1"/>
  <c r="L22" i="2" s="1"/>
  <c r="K21" i="2"/>
  <c r="I21" i="2"/>
  <c r="J21" i="2" s="1"/>
  <c r="M21" i="2" s="1"/>
  <c r="H21" i="2"/>
  <c r="P21" i="2" s="1"/>
  <c r="G21" i="2"/>
  <c r="F21" i="2"/>
  <c r="L21" i="2" s="1"/>
  <c r="E21" i="2"/>
  <c r="D21" i="2"/>
  <c r="C21" i="2"/>
  <c r="K20" i="2"/>
  <c r="J20" i="2"/>
  <c r="M20" i="2" s="1"/>
  <c r="I20" i="2"/>
  <c r="H20" i="2"/>
  <c r="P20" i="2" s="1"/>
  <c r="G20" i="2"/>
  <c r="O20" i="2" s="1"/>
  <c r="F20" i="2"/>
  <c r="E20" i="2"/>
  <c r="D20" i="2"/>
  <c r="C20" i="2" s="1"/>
  <c r="L20" i="2" s="1"/>
  <c r="I19" i="2"/>
  <c r="O19" i="2" s="1"/>
  <c r="H19" i="2"/>
  <c r="P19" i="2" s="1"/>
  <c r="G19" i="2"/>
  <c r="F19" i="2"/>
  <c r="E19" i="2"/>
  <c r="D19" i="2"/>
  <c r="C19" i="2"/>
  <c r="L19" i="2" s="1"/>
  <c r="I18" i="2"/>
  <c r="O18" i="2" s="1"/>
  <c r="H18" i="2"/>
  <c r="K18" i="2" s="1"/>
  <c r="G18" i="2"/>
  <c r="F18" i="2"/>
  <c r="E18" i="2"/>
  <c r="D18" i="2"/>
  <c r="C18" i="2"/>
  <c r="L18" i="2" s="1"/>
  <c r="I17" i="2"/>
  <c r="K17" i="2" s="1"/>
  <c r="H17" i="2"/>
  <c r="P17" i="2" s="1"/>
  <c r="G17" i="2"/>
  <c r="N17" i="2" s="1"/>
  <c r="F17" i="2"/>
  <c r="E17" i="2"/>
  <c r="D17" i="2"/>
  <c r="C17" i="2" s="1"/>
  <c r="L17" i="2" s="1"/>
  <c r="N16" i="2"/>
  <c r="I16" i="2"/>
  <c r="J16" i="2" s="1"/>
  <c r="M16" i="2" s="1"/>
  <c r="H16" i="2"/>
  <c r="K16" i="2" s="1"/>
  <c r="G16" i="2"/>
  <c r="F16" i="2"/>
  <c r="E16" i="2"/>
  <c r="D16" i="2"/>
  <c r="C16" i="2" s="1"/>
  <c r="M15" i="2"/>
  <c r="K15" i="2"/>
  <c r="J15" i="2"/>
  <c r="I15" i="2"/>
  <c r="H15" i="2"/>
  <c r="P15" i="2" s="1"/>
  <c r="G15" i="2"/>
  <c r="O15" i="2" s="1"/>
  <c r="F15" i="2"/>
  <c r="E15" i="2"/>
  <c r="C15" i="2" s="1"/>
  <c r="L15" i="2" s="1"/>
  <c r="D15" i="2"/>
  <c r="N14" i="2"/>
  <c r="I14" i="2"/>
  <c r="K14" i="2" s="1"/>
  <c r="H14" i="2"/>
  <c r="P14" i="2" s="1"/>
  <c r="G14" i="2"/>
  <c r="F14" i="2"/>
  <c r="E14" i="2"/>
  <c r="D14" i="2"/>
  <c r="C14" i="2" s="1"/>
  <c r="L14" i="2" s="1"/>
  <c r="K13" i="2"/>
  <c r="I13" i="2"/>
  <c r="J13" i="2" s="1"/>
  <c r="M13" i="2" s="1"/>
  <c r="H13" i="2"/>
  <c r="P13" i="2" s="1"/>
  <c r="G13" i="2"/>
  <c r="F13" i="2"/>
  <c r="L13" i="2" s="1"/>
  <c r="E13" i="2"/>
  <c r="D13" i="2"/>
  <c r="C13" i="2"/>
  <c r="J12" i="2"/>
  <c r="M12" i="2" s="1"/>
  <c r="I12" i="2"/>
  <c r="H12" i="2"/>
  <c r="P12" i="2" s="1"/>
  <c r="G12" i="2"/>
  <c r="O12" i="2" s="1"/>
  <c r="F12" i="2"/>
  <c r="E12" i="2"/>
  <c r="D12" i="2"/>
  <c r="C12" i="2" s="1"/>
  <c r="L12" i="2" s="1"/>
  <c r="I11" i="2"/>
  <c r="O11" i="2" s="1"/>
  <c r="H11" i="2"/>
  <c r="P11" i="2" s="1"/>
  <c r="G11" i="2"/>
  <c r="N11" i="2" s="1"/>
  <c r="F11" i="2"/>
  <c r="E11" i="2"/>
  <c r="D11" i="2"/>
  <c r="C11" i="2"/>
  <c r="L11" i="2" s="1"/>
  <c r="N10" i="2"/>
  <c r="I10" i="2"/>
  <c r="H10" i="2"/>
  <c r="P10" i="2" s="1"/>
  <c r="G10" i="2"/>
  <c r="O10" i="2" s="1"/>
  <c r="F10" i="2"/>
  <c r="L10" i="2" s="1"/>
  <c r="E10" i="2"/>
  <c r="D10" i="2"/>
  <c r="C10" i="2"/>
  <c r="I9" i="2"/>
  <c r="K9" i="2" s="1"/>
  <c r="H9" i="2"/>
  <c r="P9" i="2" s="1"/>
  <c r="G9" i="2"/>
  <c r="N9" i="2" s="1"/>
  <c r="F9" i="2"/>
  <c r="E9" i="2"/>
  <c r="D9" i="2"/>
  <c r="C9" i="2" s="1"/>
  <c r="L9" i="2" s="1"/>
  <c r="N8" i="2"/>
  <c r="I8" i="2"/>
  <c r="J8" i="2" s="1"/>
  <c r="M8" i="2" s="1"/>
  <c r="H8" i="2"/>
  <c r="K8" i="2" s="1"/>
  <c r="G8" i="2"/>
  <c r="F8" i="2"/>
  <c r="L8" i="2" s="1"/>
  <c r="E8" i="2"/>
  <c r="D8" i="2"/>
  <c r="C8" i="2" s="1"/>
  <c r="M7" i="2"/>
  <c r="K7" i="2"/>
  <c r="J7" i="2"/>
  <c r="I7" i="2"/>
  <c r="H7" i="2"/>
  <c r="P7" i="2" s="1"/>
  <c r="G7" i="2"/>
  <c r="O7" i="2" s="1"/>
  <c r="F7" i="2"/>
  <c r="E7" i="2"/>
  <c r="C7" i="2" s="1"/>
  <c r="L7" i="2" s="1"/>
  <c r="D7" i="2"/>
  <c r="N6" i="2"/>
  <c r="I6" i="2"/>
  <c r="K6" i="2" s="1"/>
  <c r="H6" i="2"/>
  <c r="P6" i="2" s="1"/>
  <c r="G6" i="2"/>
  <c r="F6" i="2"/>
  <c r="E6" i="2"/>
  <c r="D6" i="2"/>
  <c r="C6" i="2" s="1"/>
  <c r="L6" i="2" s="1"/>
  <c r="K5" i="2"/>
  <c r="I5" i="2"/>
  <c r="J5" i="2" s="1"/>
  <c r="M5" i="2" s="1"/>
  <c r="H5" i="2"/>
  <c r="P5" i="2" s="1"/>
  <c r="G5" i="2"/>
  <c r="F5" i="2"/>
  <c r="L5" i="2" s="1"/>
  <c r="E5" i="2"/>
  <c r="D5" i="2"/>
  <c r="C5" i="2"/>
  <c r="J4" i="2"/>
  <c r="M4" i="2" s="1"/>
  <c r="I4" i="2"/>
  <c r="H4" i="2"/>
  <c r="P4" i="2" s="1"/>
  <c r="G4" i="2"/>
  <c r="O4" i="2" s="1"/>
  <c r="F4" i="2"/>
  <c r="E4" i="2"/>
  <c r="D4" i="2"/>
  <c r="C4" i="2" s="1"/>
  <c r="L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I3" i="2"/>
  <c r="O3" i="2" s="1"/>
  <c r="H3" i="2"/>
  <c r="P3" i="2" s="1"/>
  <c r="G3" i="2"/>
  <c r="F3" i="2"/>
  <c r="E3" i="2"/>
  <c r="D3" i="2"/>
  <c r="C3" i="2" s="1"/>
  <c r="L3" i="2" s="1"/>
  <c r="A3" i="2"/>
  <c r="N2" i="2"/>
  <c r="I2" i="2"/>
  <c r="H2" i="2"/>
  <c r="H33" i="2" s="1"/>
  <c r="G2" i="2"/>
  <c r="O2" i="2" s="1"/>
  <c r="F2" i="2"/>
  <c r="F33" i="2" s="1"/>
  <c r="E2" i="2"/>
  <c r="E33" i="2" s="1"/>
  <c r="D2" i="2"/>
  <c r="C2" i="2" s="1"/>
  <c r="L16" i="2" l="1"/>
  <c r="L31" i="2"/>
  <c r="L32" i="2"/>
  <c r="L2" i="2"/>
  <c r="L23" i="2"/>
  <c r="O32" i="2"/>
  <c r="I33" i="2"/>
  <c r="J3" i="2"/>
  <c r="M3" i="2" s="1"/>
  <c r="K4" i="2"/>
  <c r="N7" i="2"/>
  <c r="O8" i="2"/>
  <c r="J11" i="2"/>
  <c r="M11" i="2" s="1"/>
  <c r="K12" i="2"/>
  <c r="N15" i="2"/>
  <c r="O16" i="2"/>
  <c r="J19" i="2"/>
  <c r="M19" i="2" s="1"/>
  <c r="N23" i="2"/>
  <c r="O24" i="2"/>
  <c r="J27" i="2"/>
  <c r="M27" i="2" s="1"/>
  <c r="N31" i="2"/>
  <c r="P32" i="2"/>
  <c r="P2" i="2"/>
  <c r="P8" i="2"/>
  <c r="J10" i="2"/>
  <c r="M10" i="2" s="1"/>
  <c r="K11" i="2"/>
  <c r="P16" i="2"/>
  <c r="J18" i="2"/>
  <c r="M18" i="2" s="1"/>
  <c r="K19" i="2"/>
  <c r="P24" i="2"/>
  <c r="J26" i="2"/>
  <c r="M26" i="2" s="1"/>
  <c r="K27" i="2"/>
  <c r="O17" i="2"/>
  <c r="P18" i="2"/>
  <c r="N5" i="2"/>
  <c r="O6" i="2"/>
  <c r="J9" i="2"/>
  <c r="M9" i="2" s="1"/>
  <c r="K10" i="2"/>
  <c r="N13" i="2"/>
  <c r="O14" i="2"/>
  <c r="J17" i="2"/>
  <c r="M17" i="2" s="1"/>
  <c r="N21" i="2"/>
  <c r="O22" i="2"/>
  <c r="J25" i="2"/>
  <c r="M25" i="2" s="1"/>
  <c r="K26" i="2"/>
  <c r="O30" i="2"/>
  <c r="D33" i="2"/>
  <c r="O25" i="2"/>
  <c r="J2" i="2"/>
  <c r="K3" i="2"/>
  <c r="N4" i="2"/>
  <c r="O5" i="2"/>
  <c r="O33" i="2" s="1"/>
  <c r="N12" i="2"/>
  <c r="N33" i="2" s="1"/>
  <c r="O13" i="2"/>
  <c r="N20" i="2"/>
  <c r="O21" i="2"/>
  <c r="N3" i="2"/>
  <c r="N19" i="2"/>
  <c r="C24" i="2"/>
  <c r="L24" i="2" s="1"/>
  <c r="N27" i="2"/>
  <c r="O9" i="2"/>
  <c r="K2" i="2"/>
  <c r="J14" i="2"/>
  <c r="M14" i="2" s="1"/>
  <c r="N18" i="2"/>
  <c r="J22" i="2"/>
  <c r="M22" i="2" s="1"/>
  <c r="G33" i="2"/>
  <c r="J6" i="2"/>
  <c r="M6" i="2" s="1"/>
  <c r="P33" i="2" l="1"/>
  <c r="C33" i="2"/>
  <c r="L33" i="2"/>
  <c r="M2" i="2"/>
  <c r="M33" i="2" s="1"/>
  <c r="J33" i="2"/>
  <c r="K33" i="2"/>
  <c r="I32" i="1" l="1"/>
  <c r="J32" i="1" s="1"/>
  <c r="M32" i="1" s="1"/>
  <c r="H32" i="1"/>
  <c r="K32" i="1" s="1"/>
  <c r="G32" i="1"/>
  <c r="N32" i="1" s="1"/>
  <c r="F32" i="1"/>
  <c r="E32" i="1"/>
  <c r="D32" i="1"/>
  <c r="C32" i="1" s="1"/>
  <c r="K31" i="1"/>
  <c r="J31" i="1"/>
  <c r="M31" i="1" s="1"/>
  <c r="I31" i="1"/>
  <c r="O31" i="1" s="1"/>
  <c r="H31" i="1"/>
  <c r="P31" i="1" s="1"/>
  <c r="G31" i="1"/>
  <c r="N31" i="1" s="1"/>
  <c r="F31" i="1"/>
  <c r="E31" i="1"/>
  <c r="D31" i="1"/>
  <c r="C31" i="1" s="1"/>
  <c r="L31" i="1" s="1"/>
  <c r="K30" i="1"/>
  <c r="I30" i="1"/>
  <c r="J30" i="1" s="1"/>
  <c r="M30" i="1" s="1"/>
  <c r="H30" i="1"/>
  <c r="P30" i="1" s="1"/>
  <c r="G30" i="1"/>
  <c r="N30" i="1" s="1"/>
  <c r="F30" i="1"/>
  <c r="L30" i="1" s="1"/>
  <c r="E30" i="1"/>
  <c r="D30" i="1"/>
  <c r="C30" i="1"/>
  <c r="K29" i="1"/>
  <c r="J29" i="1"/>
  <c r="M29" i="1" s="1"/>
  <c r="I29" i="1"/>
  <c r="O29" i="1" s="1"/>
  <c r="H29" i="1"/>
  <c r="P29" i="1" s="1"/>
  <c r="G29" i="1"/>
  <c r="N29" i="1" s="1"/>
  <c r="F29" i="1"/>
  <c r="E29" i="1"/>
  <c r="D29" i="1"/>
  <c r="C29" i="1" s="1"/>
  <c r="L29" i="1" s="1"/>
  <c r="K28" i="1"/>
  <c r="I28" i="1"/>
  <c r="O28" i="1" s="1"/>
  <c r="H28" i="1"/>
  <c r="P28" i="1" s="1"/>
  <c r="G28" i="1"/>
  <c r="N28" i="1" s="1"/>
  <c r="F28" i="1"/>
  <c r="L28" i="1" s="1"/>
  <c r="E28" i="1"/>
  <c r="D28" i="1"/>
  <c r="C28" i="1"/>
  <c r="K27" i="1"/>
  <c r="J27" i="1"/>
  <c r="M27" i="1" s="1"/>
  <c r="I27" i="1"/>
  <c r="O27" i="1" s="1"/>
  <c r="H27" i="1"/>
  <c r="P27" i="1" s="1"/>
  <c r="G27" i="1"/>
  <c r="F27" i="1"/>
  <c r="E27" i="1"/>
  <c r="D27" i="1"/>
  <c r="C27" i="1" s="1"/>
  <c r="K26" i="1"/>
  <c r="I26" i="1"/>
  <c r="O26" i="1" s="1"/>
  <c r="H26" i="1"/>
  <c r="P26" i="1" s="1"/>
  <c r="G26" i="1"/>
  <c r="N26" i="1" s="1"/>
  <c r="F26" i="1"/>
  <c r="E26" i="1"/>
  <c r="D26" i="1"/>
  <c r="C26" i="1" s="1"/>
  <c r="L26" i="1" s="1"/>
  <c r="K25" i="1"/>
  <c r="J25" i="1"/>
  <c r="M25" i="1" s="1"/>
  <c r="I25" i="1"/>
  <c r="N25" i="1" s="1"/>
  <c r="H25" i="1"/>
  <c r="P25" i="1" s="1"/>
  <c r="G25" i="1"/>
  <c r="F25" i="1"/>
  <c r="L25" i="1" s="1"/>
  <c r="E25" i="1"/>
  <c r="D25" i="1"/>
  <c r="C25" i="1" s="1"/>
  <c r="K24" i="1"/>
  <c r="J24" i="1"/>
  <c r="M24" i="1" s="1"/>
  <c r="I24" i="1"/>
  <c r="O24" i="1" s="1"/>
  <c r="H24" i="1"/>
  <c r="P24" i="1" s="1"/>
  <c r="G24" i="1"/>
  <c r="N24" i="1" s="1"/>
  <c r="F24" i="1"/>
  <c r="E24" i="1"/>
  <c r="D24" i="1"/>
  <c r="C24" i="1"/>
  <c r="L24" i="1" s="1"/>
  <c r="J23" i="1"/>
  <c r="M23" i="1" s="1"/>
  <c r="I23" i="1"/>
  <c r="K23" i="1" s="1"/>
  <c r="H23" i="1"/>
  <c r="P23" i="1" s="1"/>
  <c r="G23" i="1"/>
  <c r="F23" i="1"/>
  <c r="E23" i="1"/>
  <c r="D23" i="1"/>
  <c r="C23" i="1" s="1"/>
  <c r="L23" i="1" s="1"/>
  <c r="K22" i="1"/>
  <c r="I22" i="1"/>
  <c r="J22" i="1" s="1"/>
  <c r="M22" i="1" s="1"/>
  <c r="H22" i="1"/>
  <c r="P22" i="1" s="1"/>
  <c r="G22" i="1"/>
  <c r="N22" i="1" s="1"/>
  <c r="F22" i="1"/>
  <c r="E22" i="1"/>
  <c r="D22" i="1"/>
  <c r="C22" i="1"/>
  <c r="L22" i="1" s="1"/>
  <c r="J21" i="1"/>
  <c r="M21" i="1" s="1"/>
  <c r="I21" i="1"/>
  <c r="H21" i="1"/>
  <c r="P21" i="1" s="1"/>
  <c r="G21" i="1"/>
  <c r="O21" i="1" s="1"/>
  <c r="F21" i="1"/>
  <c r="E21" i="1"/>
  <c r="D21" i="1"/>
  <c r="C21" i="1" s="1"/>
  <c r="L21" i="1" s="1"/>
  <c r="K20" i="1"/>
  <c r="I20" i="1"/>
  <c r="O20" i="1" s="1"/>
  <c r="H20" i="1"/>
  <c r="P20" i="1" s="1"/>
  <c r="G20" i="1"/>
  <c r="N20" i="1" s="1"/>
  <c r="F20" i="1"/>
  <c r="L20" i="1" s="1"/>
  <c r="E20" i="1"/>
  <c r="D20" i="1"/>
  <c r="C20" i="1"/>
  <c r="N19" i="1"/>
  <c r="J19" i="1"/>
  <c r="M19" i="1" s="1"/>
  <c r="I19" i="1"/>
  <c r="O19" i="1" s="1"/>
  <c r="H19" i="1"/>
  <c r="P19" i="1" s="1"/>
  <c r="G19" i="1"/>
  <c r="F19" i="1"/>
  <c r="L19" i="1" s="1"/>
  <c r="E19" i="1"/>
  <c r="D19" i="1"/>
  <c r="C19" i="1" s="1"/>
  <c r="K18" i="1"/>
  <c r="I18" i="1"/>
  <c r="O18" i="1" s="1"/>
  <c r="H18" i="1"/>
  <c r="P18" i="1" s="1"/>
  <c r="G18" i="1"/>
  <c r="N18" i="1" s="1"/>
  <c r="F18" i="1"/>
  <c r="E18" i="1"/>
  <c r="D18" i="1"/>
  <c r="C18" i="1" s="1"/>
  <c r="L18" i="1" s="1"/>
  <c r="N17" i="1"/>
  <c r="K17" i="1"/>
  <c r="J17" i="1"/>
  <c r="M17" i="1" s="1"/>
  <c r="I17" i="1"/>
  <c r="O17" i="1" s="1"/>
  <c r="H17" i="1"/>
  <c r="P17" i="1" s="1"/>
  <c r="G17" i="1"/>
  <c r="F17" i="1"/>
  <c r="E17" i="1"/>
  <c r="D17" i="1"/>
  <c r="C17" i="1" s="1"/>
  <c r="L17" i="1" s="1"/>
  <c r="K16" i="1"/>
  <c r="J16" i="1"/>
  <c r="M16" i="1" s="1"/>
  <c r="I16" i="1"/>
  <c r="O16" i="1" s="1"/>
  <c r="H16" i="1"/>
  <c r="P16" i="1" s="1"/>
  <c r="G16" i="1"/>
  <c r="N16" i="1" s="1"/>
  <c r="F16" i="1"/>
  <c r="E16" i="1"/>
  <c r="D16" i="1"/>
  <c r="C16" i="1"/>
  <c r="L16" i="1" s="1"/>
  <c r="K15" i="1"/>
  <c r="J15" i="1"/>
  <c r="M15" i="1" s="1"/>
  <c r="I15" i="1"/>
  <c r="O15" i="1" s="1"/>
  <c r="H15" i="1"/>
  <c r="P15" i="1" s="1"/>
  <c r="G15" i="1"/>
  <c r="F15" i="1"/>
  <c r="E15" i="1"/>
  <c r="D15" i="1"/>
  <c r="C15" i="1" s="1"/>
  <c r="L15" i="1" s="1"/>
  <c r="K14" i="1"/>
  <c r="I14" i="1"/>
  <c r="J14" i="1" s="1"/>
  <c r="M14" i="1" s="1"/>
  <c r="H14" i="1"/>
  <c r="P14" i="1" s="1"/>
  <c r="G14" i="1"/>
  <c r="N14" i="1" s="1"/>
  <c r="F14" i="1"/>
  <c r="E14" i="1"/>
  <c r="D14" i="1"/>
  <c r="C14" i="1"/>
  <c r="L14" i="1" s="1"/>
  <c r="J13" i="1"/>
  <c r="M13" i="1" s="1"/>
  <c r="I13" i="1"/>
  <c r="O13" i="1" s="1"/>
  <c r="H13" i="1"/>
  <c r="P13" i="1" s="1"/>
  <c r="G13" i="1"/>
  <c r="N13" i="1" s="1"/>
  <c r="F13" i="1"/>
  <c r="E13" i="1"/>
  <c r="D13" i="1"/>
  <c r="C13" i="1" s="1"/>
  <c r="L13" i="1" s="1"/>
  <c r="K12" i="1"/>
  <c r="I12" i="1"/>
  <c r="O12" i="1" s="1"/>
  <c r="H12" i="1"/>
  <c r="P12" i="1" s="1"/>
  <c r="G12" i="1"/>
  <c r="N12" i="1" s="1"/>
  <c r="F12" i="1"/>
  <c r="L12" i="1" s="1"/>
  <c r="E12" i="1"/>
  <c r="D12" i="1"/>
  <c r="C12" i="1"/>
  <c r="N11" i="1"/>
  <c r="I11" i="1"/>
  <c r="O11" i="1" s="1"/>
  <c r="H11" i="1"/>
  <c r="P11" i="1" s="1"/>
  <c r="G11" i="1"/>
  <c r="F11" i="1"/>
  <c r="L11" i="1" s="1"/>
  <c r="E11" i="1"/>
  <c r="D11" i="1"/>
  <c r="C11" i="1" s="1"/>
  <c r="K10" i="1"/>
  <c r="I10" i="1"/>
  <c r="J10" i="1" s="1"/>
  <c r="M10" i="1" s="1"/>
  <c r="H10" i="1"/>
  <c r="P10" i="1" s="1"/>
  <c r="G10" i="1"/>
  <c r="O10" i="1" s="1"/>
  <c r="F10" i="1"/>
  <c r="E10" i="1"/>
  <c r="D10" i="1"/>
  <c r="C10" i="1" s="1"/>
  <c r="L10" i="1" s="1"/>
  <c r="N9" i="1"/>
  <c r="K9" i="1"/>
  <c r="J9" i="1"/>
  <c r="M9" i="1" s="1"/>
  <c r="I9" i="1"/>
  <c r="O9" i="1" s="1"/>
  <c r="H9" i="1"/>
  <c r="P9" i="1" s="1"/>
  <c r="G9" i="1"/>
  <c r="F9" i="1"/>
  <c r="E9" i="1"/>
  <c r="D9" i="1"/>
  <c r="C9" i="1" s="1"/>
  <c r="L9" i="1" s="1"/>
  <c r="K8" i="1"/>
  <c r="J8" i="1"/>
  <c r="M8" i="1" s="1"/>
  <c r="I8" i="1"/>
  <c r="O8" i="1" s="1"/>
  <c r="H8" i="1"/>
  <c r="P8" i="1" s="1"/>
  <c r="G8" i="1"/>
  <c r="N8" i="1" s="1"/>
  <c r="F8" i="1"/>
  <c r="E8" i="1"/>
  <c r="D8" i="1"/>
  <c r="C8" i="1"/>
  <c r="L8" i="1" s="1"/>
  <c r="J7" i="1"/>
  <c r="M7" i="1" s="1"/>
  <c r="I7" i="1"/>
  <c r="K7" i="1" s="1"/>
  <c r="H7" i="1"/>
  <c r="P7" i="1" s="1"/>
  <c r="G7" i="1"/>
  <c r="F7" i="1"/>
  <c r="E7" i="1"/>
  <c r="D7" i="1"/>
  <c r="C7" i="1" s="1"/>
  <c r="L7" i="1" s="1"/>
  <c r="I6" i="1"/>
  <c r="K6" i="1" s="1"/>
  <c r="H6" i="1"/>
  <c r="P6" i="1" s="1"/>
  <c r="G6" i="1"/>
  <c r="N6" i="1" s="1"/>
  <c r="F6" i="1"/>
  <c r="E6" i="1"/>
  <c r="D6" i="1"/>
  <c r="C6" i="1"/>
  <c r="L6" i="1" s="1"/>
  <c r="I5" i="1"/>
  <c r="H5" i="1"/>
  <c r="J5" i="1" s="1"/>
  <c r="M5" i="1" s="1"/>
  <c r="G5" i="1"/>
  <c r="O5" i="1" s="1"/>
  <c r="F5" i="1"/>
  <c r="E5" i="1"/>
  <c r="D5" i="1"/>
  <c r="C5" i="1" s="1"/>
  <c r="L5" i="1" s="1"/>
  <c r="K4" i="1"/>
  <c r="I4" i="1"/>
  <c r="J4" i="1" s="1"/>
  <c r="M4" i="1" s="1"/>
  <c r="H4" i="1"/>
  <c r="P4" i="1" s="1"/>
  <c r="G4" i="1"/>
  <c r="O4" i="1" s="1"/>
  <c r="F4" i="1"/>
  <c r="L4" i="1" s="1"/>
  <c r="E4" i="1"/>
  <c r="D4" i="1"/>
  <c r="C4" i="1"/>
  <c r="N3" i="1"/>
  <c r="K3" i="1"/>
  <c r="J3" i="1"/>
  <c r="M3" i="1" s="1"/>
  <c r="I3" i="1"/>
  <c r="O3" i="1" s="1"/>
  <c r="H3" i="1"/>
  <c r="P3" i="1" s="1"/>
  <c r="G3" i="1"/>
  <c r="F3" i="1"/>
  <c r="E3" i="1"/>
  <c r="D3" i="1"/>
  <c r="C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K2" i="1"/>
  <c r="I2" i="1"/>
  <c r="O2" i="1" s="1"/>
  <c r="H2" i="1"/>
  <c r="H33" i="1" s="1"/>
  <c r="G2" i="1"/>
  <c r="G33" i="1" s="1"/>
  <c r="F2" i="1"/>
  <c r="F33" i="1" s="1"/>
  <c r="E2" i="1"/>
  <c r="E33" i="1" s="1"/>
  <c r="D2" i="1"/>
  <c r="D33" i="1" s="1"/>
  <c r="L3" i="1" l="1"/>
  <c r="L27" i="1"/>
  <c r="L32" i="1"/>
  <c r="P2" i="1"/>
  <c r="K5" i="1"/>
  <c r="J12" i="1"/>
  <c r="M12" i="1" s="1"/>
  <c r="K13" i="1"/>
  <c r="J20" i="1"/>
  <c r="M20" i="1" s="1"/>
  <c r="K21" i="1"/>
  <c r="O25" i="1"/>
  <c r="J28" i="1"/>
  <c r="M28" i="1" s="1"/>
  <c r="O32" i="1"/>
  <c r="I33" i="1"/>
  <c r="N7" i="1"/>
  <c r="J11" i="1"/>
  <c r="M11" i="1" s="1"/>
  <c r="N15" i="1"/>
  <c r="N23" i="1"/>
  <c r="P32" i="1"/>
  <c r="C2" i="1"/>
  <c r="J2" i="1"/>
  <c r="O7" i="1"/>
  <c r="K11" i="1"/>
  <c r="K33" i="1" s="1"/>
  <c r="J18" i="1"/>
  <c r="M18" i="1" s="1"/>
  <c r="K19" i="1"/>
  <c r="O23" i="1"/>
  <c r="J26" i="1"/>
  <c r="M26" i="1" s="1"/>
  <c r="N5" i="1"/>
  <c r="O6" i="1"/>
  <c r="O14" i="1"/>
  <c r="N21" i="1"/>
  <c r="O22" i="1"/>
  <c r="O33" i="1" s="1"/>
  <c r="O30" i="1"/>
  <c r="N4" i="1"/>
  <c r="P5" i="1"/>
  <c r="N27" i="1"/>
  <c r="N2" i="1"/>
  <c r="J6" i="1"/>
  <c r="M6" i="1" s="1"/>
  <c r="N10" i="1"/>
  <c r="N33" i="1" l="1"/>
  <c r="M2" i="1"/>
  <c r="M33" i="1" s="1"/>
  <c r="J33" i="1"/>
  <c r="P33" i="1"/>
  <c r="L2" i="1"/>
  <c r="L33" i="1" s="1"/>
  <c r="C33" i="1"/>
</calcChain>
</file>

<file path=xl/sharedStrings.xml><?xml version="1.0" encoding="utf-8"?>
<sst xmlns="http://schemas.openxmlformats.org/spreadsheetml/2006/main" count="58" uniqueCount="23">
  <si>
    <t>Sr. No</t>
  </si>
  <si>
    <t>Date</t>
  </si>
  <si>
    <t>No of 
Parts</t>
  </si>
  <si>
    <t>EX</t>
  </si>
  <si>
    <t>SH</t>
  </si>
  <si>
    <t>Tallied</t>
  </si>
  <si>
    <t>Total Counting Value</t>
  </si>
  <si>
    <t>Total 
+ Ve variances</t>
  </si>
  <si>
    <t>Total 
-  Ve variances</t>
  </si>
  <si>
    <t>Total 
Variances</t>
  </si>
  <si>
    <t>Net 
Variances</t>
  </si>
  <si>
    <t>Inventory Record 
Accuracy</t>
  </si>
  <si>
    <t>Inventory 
Accuracy (Value)</t>
  </si>
  <si>
    <t>Talled item value</t>
  </si>
  <si>
    <t>% Short Contribution</t>
  </si>
  <si>
    <t>% Excess Contribution</t>
  </si>
  <si>
    <t>Remaeks</t>
  </si>
  <si>
    <t>Physical Inventory counting April 2026</t>
  </si>
  <si>
    <t>Sunday</t>
  </si>
  <si>
    <t>s</t>
  </si>
  <si>
    <t>END</t>
  </si>
  <si>
    <t>End</t>
  </si>
  <si>
    <t>International Workers'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</si>
</sst>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Helv"/>
      <family val="2"/>
    </font>
    <font>
      <b/>
      <sz val="10"/>
      <name val="Bookman Old Style"/>
      <family val="1"/>
    </font>
    <font>
      <sz val="10"/>
      <name val="Calibri"/>
      <family val="2"/>
      <scheme val="minor"/>
    </font>
    <font>
      <sz val="10"/>
      <name val="Bookman Old Style"/>
      <family val="1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horizontal="center" vertical="center"/>
    </xf>
    <xf numFmtId="39" fontId="7" fillId="4" borderId="1" xfId="3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39" fontId="0" fillId="0" borderId="1" xfId="0" applyNumberFormat="1" applyBorder="1"/>
    <xf numFmtId="10" fontId="0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8" fillId="5" borderId="1" xfId="0" applyFont="1" applyFill="1" applyBorder="1"/>
    <xf numFmtId="39" fontId="8" fillId="5" borderId="1" xfId="0" applyNumberFormat="1" applyFont="1" applyFill="1" applyBorder="1"/>
    <xf numFmtId="10" fontId="8" fillId="5" borderId="1" xfId="0" applyNumberFormat="1" applyFont="1" applyFill="1" applyBorder="1" applyAlignment="1">
      <alignment horizontal="center"/>
    </xf>
    <xf numFmtId="0" fontId="9" fillId="0" borderId="0" xfId="0" applyFont="1"/>
  </cellXfs>
  <cellStyles count="4">
    <cellStyle name="Comma 3" xfId="3"/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emens.Admin/Downloads/Cycle%20count%20Daily%20April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emens.Admin/Downloads/Cycle%20count%20Daily%20May_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A IVA Graph"/>
      <sheetName val="Daily IRA IVA Score card"/>
      <sheetName val="Cycle counting report"/>
      <sheetName val="Detsils"/>
      <sheetName val="Back up files if any"/>
    </sheetNames>
    <sheetDataSet>
      <sheetData sheetId="0" refreshError="1"/>
      <sheetData sheetId="1">
        <row r="1">
          <cell r="B1" t="str">
            <v>Date</v>
          </cell>
        </row>
        <row r="2">
          <cell r="B2">
            <v>46113</v>
          </cell>
        </row>
        <row r="3">
          <cell r="B3">
            <v>46114</v>
          </cell>
        </row>
        <row r="4">
          <cell r="B4">
            <v>46115</v>
          </cell>
        </row>
        <row r="5">
          <cell r="B5">
            <v>46116</v>
          </cell>
        </row>
        <row r="6">
          <cell r="B6">
            <v>46117</v>
          </cell>
        </row>
        <row r="7">
          <cell r="B7">
            <v>46118</v>
          </cell>
        </row>
        <row r="8">
          <cell r="B8">
            <v>46119</v>
          </cell>
        </row>
        <row r="9">
          <cell r="B9">
            <v>46120</v>
          </cell>
        </row>
        <row r="10">
          <cell r="B10">
            <v>46121</v>
          </cell>
        </row>
        <row r="11">
          <cell r="B11">
            <v>46122</v>
          </cell>
        </row>
        <row r="12">
          <cell r="B12">
            <v>46123</v>
          </cell>
        </row>
        <row r="13">
          <cell r="B13">
            <v>46124</v>
          </cell>
        </row>
        <row r="14">
          <cell r="B14">
            <v>46125</v>
          </cell>
        </row>
        <row r="15">
          <cell r="B15">
            <v>46126</v>
          </cell>
        </row>
        <row r="16">
          <cell r="B16">
            <v>46127</v>
          </cell>
        </row>
        <row r="17">
          <cell r="B17">
            <v>46128</v>
          </cell>
        </row>
        <row r="18">
          <cell r="B18">
            <v>46129</v>
          </cell>
        </row>
        <row r="19">
          <cell r="B19">
            <v>46130</v>
          </cell>
        </row>
        <row r="20">
          <cell r="B20">
            <v>46131</v>
          </cell>
        </row>
        <row r="21">
          <cell r="B21">
            <v>46132</v>
          </cell>
        </row>
        <row r="22">
          <cell r="B22">
            <v>46133</v>
          </cell>
        </row>
        <row r="23">
          <cell r="B23">
            <v>46134</v>
          </cell>
        </row>
        <row r="24">
          <cell r="B24">
            <v>46135</v>
          </cell>
        </row>
        <row r="25">
          <cell r="B25">
            <v>46136</v>
          </cell>
        </row>
        <row r="26">
          <cell r="B26">
            <v>46137</v>
          </cell>
        </row>
        <row r="27">
          <cell r="B27">
            <v>46138</v>
          </cell>
        </row>
        <row r="28">
          <cell r="B28">
            <v>46139</v>
          </cell>
        </row>
        <row r="29">
          <cell r="B29">
            <v>46140</v>
          </cell>
        </row>
        <row r="30">
          <cell r="B30">
            <v>46141</v>
          </cell>
        </row>
        <row r="31">
          <cell r="B31">
            <v>46142</v>
          </cell>
        </row>
        <row r="33">
          <cell r="B33" t="str">
            <v>END</v>
          </cell>
        </row>
      </sheetData>
      <sheetData sheetId="2">
        <row r="2">
          <cell r="B2" t="str">
            <v>Date</v>
          </cell>
          <cell r="K2" t="str">
            <v>Excess Value</v>
          </cell>
          <cell r="M2" t="str">
            <v>Short 
value</v>
          </cell>
          <cell r="P2" t="str">
            <v>System Value</v>
          </cell>
          <cell r="Q2" t="str">
            <v xml:space="preserve">Status </v>
          </cell>
        </row>
        <row r="3">
          <cell r="B3">
            <v>46121</v>
          </cell>
          <cell r="K3">
            <v>0</v>
          </cell>
          <cell r="M3">
            <v>0</v>
          </cell>
          <cell r="P3">
            <v>1580644.5</v>
          </cell>
          <cell r="Q3" t="str">
            <v>Tallied</v>
          </cell>
        </row>
        <row r="4">
          <cell r="B4">
            <v>46121</v>
          </cell>
          <cell r="K4">
            <v>0</v>
          </cell>
          <cell r="M4">
            <v>0</v>
          </cell>
          <cell r="P4">
            <v>211578.63999999998</v>
          </cell>
          <cell r="Q4" t="str">
            <v>Tallied</v>
          </cell>
        </row>
        <row r="5">
          <cell r="B5">
            <v>46121</v>
          </cell>
          <cell r="K5">
            <v>0</v>
          </cell>
          <cell r="M5">
            <v>0</v>
          </cell>
          <cell r="P5">
            <v>2628369.09</v>
          </cell>
          <cell r="Q5" t="str">
            <v>Tallied</v>
          </cell>
        </row>
        <row r="6">
          <cell r="B6">
            <v>46121</v>
          </cell>
          <cell r="K6">
            <v>0</v>
          </cell>
          <cell r="M6">
            <v>0</v>
          </cell>
          <cell r="P6">
            <v>682539</v>
          </cell>
          <cell r="Q6" t="str">
            <v>Tallied</v>
          </cell>
        </row>
        <row r="7">
          <cell r="B7">
            <v>46121</v>
          </cell>
          <cell r="K7">
            <v>0</v>
          </cell>
          <cell r="M7">
            <v>0</v>
          </cell>
          <cell r="P7">
            <v>535518</v>
          </cell>
          <cell r="Q7" t="str">
            <v>Tallied</v>
          </cell>
        </row>
        <row r="8">
          <cell r="B8">
            <v>46121</v>
          </cell>
          <cell r="K8">
            <v>0</v>
          </cell>
          <cell r="M8">
            <v>0</v>
          </cell>
          <cell r="P8">
            <v>608761.29999999993</v>
          </cell>
          <cell r="Q8" t="str">
            <v>Tallied</v>
          </cell>
        </row>
        <row r="9">
          <cell r="B9">
            <v>46121</v>
          </cell>
          <cell r="K9">
            <v>0</v>
          </cell>
          <cell r="M9">
            <v>0</v>
          </cell>
          <cell r="P9">
            <v>121379.26000000001</v>
          </cell>
          <cell r="Q9" t="str">
            <v>Tallied</v>
          </cell>
        </row>
        <row r="10">
          <cell r="B10">
            <v>46121</v>
          </cell>
          <cell r="K10">
            <v>0</v>
          </cell>
          <cell r="M10">
            <v>0</v>
          </cell>
          <cell r="P10">
            <v>532757.61</v>
          </cell>
          <cell r="Q10" t="str">
            <v>Tallied</v>
          </cell>
        </row>
        <row r="11">
          <cell r="B11">
            <v>46121</v>
          </cell>
          <cell r="K11">
            <v>0</v>
          </cell>
          <cell r="M11">
            <v>0</v>
          </cell>
          <cell r="P11">
            <v>40290.42</v>
          </cell>
          <cell r="Q11" t="str">
            <v>Tallied</v>
          </cell>
        </row>
        <row r="12">
          <cell r="B12">
            <v>46121</v>
          </cell>
          <cell r="K12">
            <v>0</v>
          </cell>
          <cell r="M12">
            <v>0</v>
          </cell>
          <cell r="P12">
            <v>107185.56</v>
          </cell>
          <cell r="Q12" t="str">
            <v>Tallied</v>
          </cell>
        </row>
        <row r="13">
          <cell r="B13">
            <v>46121</v>
          </cell>
          <cell r="K13">
            <v>0</v>
          </cell>
          <cell r="M13">
            <v>0</v>
          </cell>
          <cell r="P13">
            <v>109551.78</v>
          </cell>
          <cell r="Q13" t="str">
            <v>Tallied</v>
          </cell>
        </row>
        <row r="14">
          <cell r="B14">
            <v>46121</v>
          </cell>
          <cell r="K14">
            <v>0</v>
          </cell>
          <cell r="M14">
            <v>0</v>
          </cell>
          <cell r="P14">
            <v>511842.75</v>
          </cell>
          <cell r="Q14" t="str">
            <v>Tallied</v>
          </cell>
        </row>
        <row r="15">
          <cell r="B15">
            <v>46121</v>
          </cell>
          <cell r="K15">
            <v>0</v>
          </cell>
          <cell r="M15">
            <v>0</v>
          </cell>
          <cell r="P15">
            <v>169950.25</v>
          </cell>
          <cell r="Q15" t="str">
            <v>Tallied</v>
          </cell>
        </row>
        <row r="16">
          <cell r="B16">
            <v>46121</v>
          </cell>
          <cell r="K16">
            <v>0</v>
          </cell>
          <cell r="M16">
            <v>0</v>
          </cell>
          <cell r="P16">
            <v>48038.559999999998</v>
          </cell>
          <cell r="Q16" t="str">
            <v>Tallied</v>
          </cell>
        </row>
        <row r="17">
          <cell r="B17">
            <v>46121</v>
          </cell>
          <cell r="K17">
            <v>0</v>
          </cell>
          <cell r="M17">
            <v>0</v>
          </cell>
          <cell r="P17">
            <v>301821.12</v>
          </cell>
          <cell r="Q17" t="str">
            <v>Tallied</v>
          </cell>
        </row>
        <row r="18">
          <cell r="B18">
            <v>46121</v>
          </cell>
          <cell r="K18">
            <v>0</v>
          </cell>
          <cell r="M18">
            <v>0</v>
          </cell>
          <cell r="P18">
            <v>51946.36</v>
          </cell>
          <cell r="Q18" t="str">
            <v>Tallied</v>
          </cell>
        </row>
        <row r="19">
          <cell r="B19">
            <v>46121</v>
          </cell>
          <cell r="K19">
            <v>0</v>
          </cell>
          <cell r="M19">
            <v>0</v>
          </cell>
          <cell r="P19">
            <v>93835.3</v>
          </cell>
          <cell r="Q19" t="str">
            <v>Tallied</v>
          </cell>
        </row>
        <row r="20">
          <cell r="B20">
            <v>46121</v>
          </cell>
          <cell r="K20">
            <v>0</v>
          </cell>
          <cell r="M20">
            <v>0</v>
          </cell>
          <cell r="P20">
            <v>163303.20000000001</v>
          </cell>
          <cell r="Q20" t="str">
            <v>Tallied</v>
          </cell>
        </row>
        <row r="21">
          <cell r="B21">
            <v>46121</v>
          </cell>
          <cell r="K21">
            <v>0</v>
          </cell>
          <cell r="M21">
            <v>0</v>
          </cell>
          <cell r="P21">
            <v>60816.600000000006</v>
          </cell>
          <cell r="Q21" t="str">
            <v>Tallied</v>
          </cell>
        </row>
        <row r="22">
          <cell r="B22">
            <v>46121</v>
          </cell>
          <cell r="K22">
            <v>0</v>
          </cell>
          <cell r="M22">
            <v>0</v>
          </cell>
          <cell r="P22">
            <v>13943.099999999999</v>
          </cell>
          <cell r="Q22" t="str">
            <v>Tallied</v>
          </cell>
        </row>
        <row r="23">
          <cell r="B23">
            <v>46121</v>
          </cell>
          <cell r="K23">
            <v>0</v>
          </cell>
          <cell r="M23">
            <v>0</v>
          </cell>
          <cell r="P23">
            <v>438516.58</v>
          </cell>
          <cell r="Q23" t="str">
            <v>Tallied</v>
          </cell>
        </row>
        <row r="24">
          <cell r="B24">
            <v>46121</v>
          </cell>
          <cell r="K24">
            <v>0</v>
          </cell>
          <cell r="M24">
            <v>0</v>
          </cell>
          <cell r="P24">
            <v>1</v>
          </cell>
          <cell r="Q24" t="str">
            <v>Tallied</v>
          </cell>
        </row>
        <row r="25">
          <cell r="B25">
            <v>46121</v>
          </cell>
          <cell r="K25">
            <v>0</v>
          </cell>
          <cell r="M25">
            <v>0</v>
          </cell>
          <cell r="P25">
            <v>35017.800000000003</v>
          </cell>
          <cell r="Q25" t="str">
            <v>Tallied</v>
          </cell>
        </row>
        <row r="26">
          <cell r="B26">
            <v>46121</v>
          </cell>
          <cell r="K26">
            <v>0</v>
          </cell>
          <cell r="M26">
            <v>0</v>
          </cell>
          <cell r="P26">
            <v>12</v>
          </cell>
          <cell r="Q26" t="str">
            <v>Tallied</v>
          </cell>
        </row>
        <row r="27">
          <cell r="B27">
            <v>46121</v>
          </cell>
          <cell r="K27">
            <v>0</v>
          </cell>
          <cell r="M27">
            <v>0</v>
          </cell>
          <cell r="P27">
            <v>-165070.76</v>
          </cell>
          <cell r="Q27" t="str">
            <v>Tallied</v>
          </cell>
        </row>
        <row r="28">
          <cell r="B28">
            <v>46121</v>
          </cell>
          <cell r="K28">
            <v>0</v>
          </cell>
          <cell r="M28">
            <v>0</v>
          </cell>
          <cell r="P28">
            <v>8364.36</v>
          </cell>
          <cell r="Q28" t="str">
            <v>Tallied</v>
          </cell>
        </row>
        <row r="29">
          <cell r="B29">
            <v>46121</v>
          </cell>
          <cell r="K29">
            <v>0</v>
          </cell>
          <cell r="M29">
            <v>0</v>
          </cell>
          <cell r="P29">
            <v>64665.53</v>
          </cell>
          <cell r="Q29" t="str">
            <v>Tallied</v>
          </cell>
        </row>
        <row r="30">
          <cell r="B30">
            <v>46121</v>
          </cell>
          <cell r="K30">
            <v>0</v>
          </cell>
          <cell r="M30">
            <v>0</v>
          </cell>
          <cell r="P30">
            <v>54580</v>
          </cell>
          <cell r="Q30" t="str">
            <v>Tallied</v>
          </cell>
        </row>
        <row r="31">
          <cell r="B31">
            <v>46121</v>
          </cell>
          <cell r="K31">
            <v>0</v>
          </cell>
          <cell r="M31">
            <v>0</v>
          </cell>
          <cell r="P31">
            <v>2250.7399999999998</v>
          </cell>
          <cell r="Q31" t="str">
            <v>Tallied</v>
          </cell>
        </row>
        <row r="32">
          <cell r="B32">
            <v>46121</v>
          </cell>
          <cell r="K32">
            <v>0</v>
          </cell>
          <cell r="M32">
            <v>0</v>
          </cell>
          <cell r="P32">
            <v>24449.55</v>
          </cell>
          <cell r="Q32" t="str">
            <v>Tallied</v>
          </cell>
        </row>
        <row r="33">
          <cell r="B33">
            <v>46121</v>
          </cell>
          <cell r="K33">
            <v>0</v>
          </cell>
          <cell r="M33">
            <v>0</v>
          </cell>
          <cell r="P33">
            <v>16875.039999999997</v>
          </cell>
          <cell r="Q33" t="str">
            <v>Tallied</v>
          </cell>
        </row>
        <row r="34">
          <cell r="B34">
            <v>46121</v>
          </cell>
          <cell r="K34">
            <v>0</v>
          </cell>
          <cell r="M34">
            <v>0</v>
          </cell>
          <cell r="P34">
            <v>217238.94</v>
          </cell>
          <cell r="Q34" t="str">
            <v>Tallied</v>
          </cell>
        </row>
        <row r="35">
          <cell r="B35">
            <v>46121</v>
          </cell>
          <cell r="K35">
            <v>0</v>
          </cell>
          <cell r="M35">
            <v>0</v>
          </cell>
          <cell r="P35">
            <v>67185.2</v>
          </cell>
          <cell r="Q35" t="str">
            <v>Tallied</v>
          </cell>
        </row>
        <row r="36">
          <cell r="B36">
            <v>46121</v>
          </cell>
          <cell r="K36">
            <v>0</v>
          </cell>
          <cell r="M36">
            <v>0</v>
          </cell>
          <cell r="P36">
            <v>415938.93</v>
          </cell>
          <cell r="Q36" t="str">
            <v>Tallied</v>
          </cell>
        </row>
        <row r="37">
          <cell r="B37">
            <v>46121</v>
          </cell>
          <cell r="K37">
            <v>0</v>
          </cell>
          <cell r="M37">
            <v>0</v>
          </cell>
          <cell r="P37">
            <v>2098612</v>
          </cell>
          <cell r="Q37" t="str">
            <v>Tallied</v>
          </cell>
        </row>
        <row r="38">
          <cell r="B38">
            <v>46121</v>
          </cell>
          <cell r="K38">
            <v>0</v>
          </cell>
          <cell r="M38">
            <v>0</v>
          </cell>
          <cell r="P38">
            <v>265469.33</v>
          </cell>
          <cell r="Q38" t="str">
            <v>Tallied</v>
          </cell>
        </row>
        <row r="39">
          <cell r="B39">
            <v>46121</v>
          </cell>
          <cell r="K39">
            <v>0</v>
          </cell>
          <cell r="M39">
            <v>0</v>
          </cell>
          <cell r="P39">
            <v>24019.61</v>
          </cell>
          <cell r="Q39" t="str">
            <v>Tallied</v>
          </cell>
        </row>
        <row r="40">
          <cell r="B40">
            <v>46121</v>
          </cell>
          <cell r="K40">
            <v>0</v>
          </cell>
          <cell r="M40">
            <v>0</v>
          </cell>
          <cell r="P40">
            <v>114259.79999999999</v>
          </cell>
          <cell r="Q40" t="str">
            <v>Tallied</v>
          </cell>
        </row>
        <row r="41">
          <cell r="B41">
            <v>46121</v>
          </cell>
          <cell r="K41">
            <v>0</v>
          </cell>
          <cell r="M41">
            <v>0</v>
          </cell>
          <cell r="P41">
            <v>37353.480000000003</v>
          </cell>
          <cell r="Q41" t="str">
            <v>Tallied</v>
          </cell>
        </row>
        <row r="42">
          <cell r="B42">
            <v>46121</v>
          </cell>
          <cell r="K42">
            <v>0</v>
          </cell>
          <cell r="M42">
            <v>0</v>
          </cell>
          <cell r="P42">
            <v>0</v>
          </cell>
          <cell r="Q42" t="str">
            <v>Tallied</v>
          </cell>
        </row>
        <row r="43">
          <cell r="B43">
            <v>46121</v>
          </cell>
          <cell r="K43">
            <v>0</v>
          </cell>
          <cell r="M43">
            <v>0</v>
          </cell>
          <cell r="P43">
            <v>0</v>
          </cell>
          <cell r="Q43" t="str">
            <v>Tallied</v>
          </cell>
        </row>
        <row r="44">
          <cell r="B44">
            <v>46121</v>
          </cell>
          <cell r="K44">
            <v>0</v>
          </cell>
          <cell r="M44">
            <v>0</v>
          </cell>
          <cell r="P44">
            <v>96948.84</v>
          </cell>
          <cell r="Q44" t="str">
            <v>Tallied</v>
          </cell>
        </row>
        <row r="45">
          <cell r="B45">
            <v>46121</v>
          </cell>
          <cell r="K45">
            <v>0</v>
          </cell>
          <cell r="M45">
            <v>0</v>
          </cell>
          <cell r="P45">
            <v>241425.59999999998</v>
          </cell>
          <cell r="Q45" t="str">
            <v>Tallied</v>
          </cell>
        </row>
        <row r="46">
          <cell r="B46">
            <v>46121</v>
          </cell>
          <cell r="K46">
            <v>0</v>
          </cell>
          <cell r="M46">
            <v>0</v>
          </cell>
          <cell r="P46">
            <v>1487571.84</v>
          </cell>
          <cell r="Q46" t="str">
            <v>Tallied</v>
          </cell>
        </row>
        <row r="47">
          <cell r="B47">
            <v>46121</v>
          </cell>
          <cell r="K47">
            <v>0</v>
          </cell>
          <cell r="M47">
            <v>0</v>
          </cell>
          <cell r="P47">
            <v>33570.54</v>
          </cell>
          <cell r="Q47" t="str">
            <v>Tallied</v>
          </cell>
        </row>
        <row r="48">
          <cell r="B48">
            <v>46121</v>
          </cell>
          <cell r="K48">
            <v>0</v>
          </cell>
          <cell r="M48">
            <v>0</v>
          </cell>
          <cell r="P48">
            <v>7130852.6399999997</v>
          </cell>
          <cell r="Q48" t="str">
            <v>Tallied</v>
          </cell>
        </row>
        <row r="49">
          <cell r="B49">
            <v>46121</v>
          </cell>
          <cell r="K49">
            <v>0</v>
          </cell>
          <cell r="M49">
            <v>0</v>
          </cell>
          <cell r="P49">
            <v>17697.84</v>
          </cell>
          <cell r="Q49" t="str">
            <v>Tallied</v>
          </cell>
        </row>
        <row r="50">
          <cell r="B50">
            <v>46121</v>
          </cell>
          <cell r="K50">
            <v>0</v>
          </cell>
          <cell r="M50">
            <v>0</v>
          </cell>
          <cell r="P50">
            <v>491600.64000000001</v>
          </cell>
          <cell r="Q50" t="str">
            <v>Tallied</v>
          </cell>
        </row>
        <row r="51">
          <cell r="B51">
            <v>46121</v>
          </cell>
          <cell r="K51">
            <v>0</v>
          </cell>
          <cell r="M51">
            <v>0</v>
          </cell>
          <cell r="P51">
            <v>11960.64</v>
          </cell>
          <cell r="Q51" t="str">
            <v>Tallied</v>
          </cell>
        </row>
        <row r="52">
          <cell r="B52">
            <v>46121</v>
          </cell>
          <cell r="K52">
            <v>0</v>
          </cell>
          <cell r="M52">
            <v>0</v>
          </cell>
          <cell r="P52">
            <v>18133.5</v>
          </cell>
          <cell r="Q52" t="str">
            <v>Tallied</v>
          </cell>
        </row>
        <row r="53">
          <cell r="B53">
            <v>46121</v>
          </cell>
          <cell r="K53">
            <v>0</v>
          </cell>
          <cell r="M53">
            <v>0</v>
          </cell>
          <cell r="P53">
            <v>1286772.8999999999</v>
          </cell>
          <cell r="Q53" t="str">
            <v>Tallied</v>
          </cell>
        </row>
        <row r="54">
          <cell r="B54">
            <v>46121</v>
          </cell>
          <cell r="K54">
            <v>0</v>
          </cell>
          <cell r="M54">
            <v>0</v>
          </cell>
          <cell r="P54">
            <v>68190</v>
          </cell>
          <cell r="Q54" t="str">
            <v>Tallied</v>
          </cell>
        </row>
        <row r="55">
          <cell r="B55">
            <v>46122</v>
          </cell>
          <cell r="K55">
            <v>0</v>
          </cell>
          <cell r="M55">
            <v>0</v>
          </cell>
          <cell r="P55">
            <v>69293.119999999995</v>
          </cell>
          <cell r="Q55" t="str">
            <v>Tallied</v>
          </cell>
        </row>
        <row r="56">
          <cell r="B56">
            <v>46122</v>
          </cell>
          <cell r="K56">
            <v>0</v>
          </cell>
          <cell r="M56">
            <v>0</v>
          </cell>
          <cell r="P56">
            <v>209934.59999999998</v>
          </cell>
          <cell r="Q56" t="str">
            <v>Tallied</v>
          </cell>
        </row>
        <row r="57">
          <cell r="B57">
            <v>46122</v>
          </cell>
          <cell r="K57">
            <v>0</v>
          </cell>
          <cell r="M57">
            <v>0</v>
          </cell>
          <cell r="P57">
            <v>9583.0499999999993</v>
          </cell>
          <cell r="Q57" t="str">
            <v>Tallied</v>
          </cell>
        </row>
        <row r="58">
          <cell r="B58">
            <v>46122</v>
          </cell>
          <cell r="K58">
            <v>0</v>
          </cell>
          <cell r="M58">
            <v>0</v>
          </cell>
          <cell r="P58">
            <v>18471.47</v>
          </cell>
          <cell r="Q58" t="str">
            <v>Tallied</v>
          </cell>
        </row>
        <row r="59">
          <cell r="B59">
            <v>46122</v>
          </cell>
          <cell r="K59">
            <v>0</v>
          </cell>
          <cell r="M59">
            <v>0</v>
          </cell>
          <cell r="P59">
            <v>1950822.98</v>
          </cell>
          <cell r="Q59" t="str">
            <v>Tallied</v>
          </cell>
        </row>
        <row r="60">
          <cell r="B60">
            <v>46122</v>
          </cell>
          <cell r="K60">
            <v>0</v>
          </cell>
          <cell r="M60">
            <v>0</v>
          </cell>
          <cell r="P60">
            <v>18555.449999999997</v>
          </cell>
          <cell r="Q60" t="str">
            <v>Tallied</v>
          </cell>
        </row>
        <row r="61">
          <cell r="B61">
            <v>46122</v>
          </cell>
          <cell r="K61">
            <v>0</v>
          </cell>
          <cell r="M61">
            <v>0</v>
          </cell>
          <cell r="P61">
            <v>416151.5</v>
          </cell>
          <cell r="Q61" t="str">
            <v>Tallied</v>
          </cell>
        </row>
        <row r="62">
          <cell r="B62">
            <v>46122</v>
          </cell>
          <cell r="K62">
            <v>0</v>
          </cell>
          <cell r="M62">
            <v>0</v>
          </cell>
          <cell r="P62">
            <v>976427.74</v>
          </cell>
          <cell r="Q62" t="str">
            <v>Tallied</v>
          </cell>
        </row>
        <row r="63">
          <cell r="B63">
            <v>46122</v>
          </cell>
          <cell r="K63">
            <v>0</v>
          </cell>
          <cell r="M63">
            <v>0</v>
          </cell>
          <cell r="P63">
            <v>848794.42999999993</v>
          </cell>
          <cell r="Q63" t="str">
            <v>Tallied</v>
          </cell>
        </row>
        <row r="64">
          <cell r="B64">
            <v>46122</v>
          </cell>
          <cell r="K64">
            <v>0</v>
          </cell>
          <cell r="M64">
            <v>0</v>
          </cell>
          <cell r="P64">
            <v>425908.25000000006</v>
          </cell>
          <cell r="Q64" t="str">
            <v>Tallied</v>
          </cell>
        </row>
        <row r="65">
          <cell r="B65">
            <v>46122</v>
          </cell>
          <cell r="K65">
            <v>0</v>
          </cell>
          <cell r="M65">
            <v>0</v>
          </cell>
          <cell r="P65">
            <v>175386.68</v>
          </cell>
          <cell r="Q65" t="str">
            <v>Tallied</v>
          </cell>
        </row>
        <row r="66">
          <cell r="B66">
            <v>46122</v>
          </cell>
          <cell r="K66">
            <v>0</v>
          </cell>
          <cell r="M66">
            <v>0</v>
          </cell>
          <cell r="P66">
            <v>29815.86</v>
          </cell>
          <cell r="Q66" t="str">
            <v>Tallied</v>
          </cell>
        </row>
        <row r="67">
          <cell r="B67">
            <v>46122</v>
          </cell>
          <cell r="K67">
            <v>0</v>
          </cell>
          <cell r="M67">
            <v>0</v>
          </cell>
          <cell r="P67">
            <v>1245997.2</v>
          </cell>
          <cell r="Q67" t="str">
            <v>Tallied</v>
          </cell>
        </row>
        <row r="68">
          <cell r="B68">
            <v>46122</v>
          </cell>
          <cell r="K68">
            <v>0</v>
          </cell>
          <cell r="M68">
            <v>0</v>
          </cell>
          <cell r="P68">
            <v>39023.43</v>
          </cell>
          <cell r="Q68" t="str">
            <v>Tallied</v>
          </cell>
        </row>
        <row r="69">
          <cell r="B69">
            <v>46122</v>
          </cell>
          <cell r="K69">
            <v>0</v>
          </cell>
          <cell r="M69">
            <v>0</v>
          </cell>
          <cell r="P69">
            <v>1376.22</v>
          </cell>
          <cell r="Q69" t="str">
            <v>Tallied</v>
          </cell>
        </row>
        <row r="70">
          <cell r="B70">
            <v>46122</v>
          </cell>
          <cell r="K70">
            <v>0</v>
          </cell>
          <cell r="M70">
            <v>0</v>
          </cell>
          <cell r="P70">
            <v>4984835.8899999997</v>
          </cell>
          <cell r="Q70" t="str">
            <v>Tallied</v>
          </cell>
        </row>
        <row r="71">
          <cell r="B71">
            <v>46122</v>
          </cell>
          <cell r="K71">
            <v>0</v>
          </cell>
          <cell r="M71">
            <v>0</v>
          </cell>
          <cell r="P71">
            <v>4289.16</v>
          </cell>
          <cell r="Q71" t="str">
            <v>Tallied</v>
          </cell>
        </row>
        <row r="72">
          <cell r="B72">
            <v>46122</v>
          </cell>
          <cell r="K72">
            <v>0</v>
          </cell>
          <cell r="M72">
            <v>0</v>
          </cell>
          <cell r="P72">
            <v>1674.6000000000001</v>
          </cell>
          <cell r="Q72" t="str">
            <v>Tallied</v>
          </cell>
        </row>
        <row r="73">
          <cell r="B73">
            <v>46122</v>
          </cell>
          <cell r="K73">
            <v>0</v>
          </cell>
          <cell r="M73">
            <v>0</v>
          </cell>
          <cell r="P73">
            <v>4052714.6399999997</v>
          </cell>
          <cell r="Q73" t="str">
            <v>Tallied</v>
          </cell>
        </row>
        <row r="74">
          <cell r="B74">
            <v>46122</v>
          </cell>
          <cell r="K74">
            <v>0</v>
          </cell>
          <cell r="M74">
            <v>0</v>
          </cell>
          <cell r="P74">
            <v>13610.84</v>
          </cell>
          <cell r="Q74" t="str">
            <v>Tallied</v>
          </cell>
        </row>
        <row r="75">
          <cell r="B75">
            <v>46122</v>
          </cell>
          <cell r="K75">
            <v>0</v>
          </cell>
          <cell r="M75">
            <v>0</v>
          </cell>
          <cell r="P75">
            <v>185583.22</v>
          </cell>
          <cell r="Q75" t="str">
            <v>Tallied</v>
          </cell>
        </row>
        <row r="76">
          <cell r="B76">
            <v>46122</v>
          </cell>
          <cell r="K76">
            <v>0</v>
          </cell>
          <cell r="M76">
            <v>0</v>
          </cell>
          <cell r="P76">
            <v>1844258.18</v>
          </cell>
          <cell r="Q76" t="str">
            <v>Tallied</v>
          </cell>
        </row>
        <row r="77">
          <cell r="B77">
            <v>46122</v>
          </cell>
          <cell r="K77">
            <v>0</v>
          </cell>
          <cell r="M77">
            <v>0</v>
          </cell>
          <cell r="P77">
            <v>212493.75</v>
          </cell>
          <cell r="Q77" t="str">
            <v>Tallied</v>
          </cell>
        </row>
        <row r="78">
          <cell r="B78">
            <v>46122</v>
          </cell>
          <cell r="K78">
            <v>0</v>
          </cell>
          <cell r="M78">
            <v>0</v>
          </cell>
          <cell r="P78">
            <v>5885.78</v>
          </cell>
          <cell r="Q78" t="str">
            <v>Tallied</v>
          </cell>
        </row>
        <row r="79">
          <cell r="B79">
            <v>46122</v>
          </cell>
          <cell r="K79">
            <v>0</v>
          </cell>
          <cell r="M79">
            <v>0</v>
          </cell>
          <cell r="P79">
            <v>2703480.48</v>
          </cell>
          <cell r="Q79" t="str">
            <v>Tallied</v>
          </cell>
        </row>
        <row r="80">
          <cell r="B80">
            <v>46122</v>
          </cell>
          <cell r="K80">
            <v>0</v>
          </cell>
          <cell r="M80">
            <v>0</v>
          </cell>
          <cell r="P80">
            <v>60364.08</v>
          </cell>
          <cell r="Q80" t="str">
            <v>Tallied</v>
          </cell>
        </row>
        <row r="81">
          <cell r="B81">
            <v>46122</v>
          </cell>
          <cell r="K81">
            <v>0</v>
          </cell>
          <cell r="M81">
            <v>0</v>
          </cell>
          <cell r="P81">
            <v>7108.2800000000007</v>
          </cell>
          <cell r="Q81" t="str">
            <v>Tallied</v>
          </cell>
        </row>
        <row r="82">
          <cell r="B82">
            <v>46122</v>
          </cell>
          <cell r="K82">
            <v>0</v>
          </cell>
          <cell r="M82">
            <v>0</v>
          </cell>
          <cell r="P82">
            <v>7377.72</v>
          </cell>
          <cell r="Q82" t="str">
            <v>Tallied</v>
          </cell>
        </row>
        <row r="83">
          <cell r="B83">
            <v>46122</v>
          </cell>
          <cell r="K83">
            <v>0</v>
          </cell>
          <cell r="M83">
            <v>0</v>
          </cell>
          <cell r="P83">
            <v>7350916.5</v>
          </cell>
          <cell r="Q83" t="str">
            <v>Tallied</v>
          </cell>
        </row>
        <row r="84">
          <cell r="B84">
            <v>46122</v>
          </cell>
          <cell r="K84">
            <v>0</v>
          </cell>
          <cell r="M84">
            <v>0</v>
          </cell>
          <cell r="P84">
            <v>1675043.04</v>
          </cell>
          <cell r="Q84" t="str">
            <v>Tallied</v>
          </cell>
        </row>
        <row r="85">
          <cell r="B85">
            <v>46122</v>
          </cell>
          <cell r="K85">
            <v>0</v>
          </cell>
          <cell r="M85">
            <v>0</v>
          </cell>
          <cell r="P85">
            <v>3627.75</v>
          </cell>
          <cell r="Q85" t="str">
            <v>Tallied</v>
          </cell>
        </row>
        <row r="86">
          <cell r="B86">
            <v>46122</v>
          </cell>
          <cell r="K86">
            <v>0</v>
          </cell>
          <cell r="M86">
            <v>0</v>
          </cell>
          <cell r="P86">
            <v>82473.22</v>
          </cell>
          <cell r="Q86" t="str">
            <v>Tallied</v>
          </cell>
        </row>
        <row r="87">
          <cell r="B87">
            <v>46122</v>
          </cell>
          <cell r="K87">
            <v>0</v>
          </cell>
          <cell r="M87">
            <v>0</v>
          </cell>
          <cell r="P87">
            <v>225407</v>
          </cell>
          <cell r="Q87" t="str">
            <v>Tallied</v>
          </cell>
        </row>
        <row r="88">
          <cell r="B88">
            <v>46122</v>
          </cell>
          <cell r="K88">
            <v>0</v>
          </cell>
          <cell r="M88">
            <v>0</v>
          </cell>
          <cell r="P88">
            <v>7</v>
          </cell>
          <cell r="Q88" t="str">
            <v>Tallied</v>
          </cell>
        </row>
        <row r="89">
          <cell r="B89">
            <v>46122</v>
          </cell>
          <cell r="K89">
            <v>0</v>
          </cell>
          <cell r="M89">
            <v>0</v>
          </cell>
          <cell r="P89">
            <v>4953.8500000000004</v>
          </cell>
          <cell r="Q89" t="str">
            <v>Tallied</v>
          </cell>
        </row>
        <row r="90">
          <cell r="B90">
            <v>46122</v>
          </cell>
          <cell r="K90">
            <v>0</v>
          </cell>
          <cell r="M90">
            <v>0</v>
          </cell>
          <cell r="P90">
            <v>138684.15</v>
          </cell>
          <cell r="Q90" t="str">
            <v>Tallied</v>
          </cell>
        </row>
        <row r="91">
          <cell r="B91">
            <v>46122</v>
          </cell>
          <cell r="K91">
            <v>0</v>
          </cell>
          <cell r="M91">
            <v>0</v>
          </cell>
          <cell r="P91">
            <v>16194.1</v>
          </cell>
          <cell r="Q91" t="str">
            <v>Tallied</v>
          </cell>
        </row>
        <row r="92">
          <cell r="B92">
            <v>46122</v>
          </cell>
          <cell r="K92">
            <v>0</v>
          </cell>
          <cell r="M92">
            <v>0</v>
          </cell>
          <cell r="P92">
            <v>1092335.04</v>
          </cell>
          <cell r="Q92" t="str">
            <v>Tallied</v>
          </cell>
        </row>
        <row r="93">
          <cell r="B93">
            <v>46122</v>
          </cell>
          <cell r="K93">
            <v>0</v>
          </cell>
          <cell r="M93">
            <v>0</v>
          </cell>
          <cell r="P93">
            <v>529838.54</v>
          </cell>
          <cell r="Q93" t="str">
            <v>Tallied</v>
          </cell>
        </row>
        <row r="94">
          <cell r="B94">
            <v>46122</v>
          </cell>
          <cell r="K94">
            <v>0</v>
          </cell>
          <cell r="M94">
            <v>0</v>
          </cell>
          <cell r="P94">
            <v>53753.84</v>
          </cell>
          <cell r="Q94" t="str">
            <v>Tallied</v>
          </cell>
        </row>
        <row r="95">
          <cell r="B95">
            <v>46122</v>
          </cell>
          <cell r="K95">
            <v>0</v>
          </cell>
          <cell r="M95">
            <v>0</v>
          </cell>
          <cell r="P95">
            <v>229165.5</v>
          </cell>
          <cell r="Q95" t="str">
            <v>Tallied</v>
          </cell>
        </row>
        <row r="96">
          <cell r="B96">
            <v>46122</v>
          </cell>
          <cell r="K96">
            <v>0</v>
          </cell>
          <cell r="M96">
            <v>0</v>
          </cell>
          <cell r="P96">
            <v>1964472</v>
          </cell>
          <cell r="Q96" t="str">
            <v>Tallied</v>
          </cell>
        </row>
        <row r="97">
          <cell r="B97">
            <v>46122</v>
          </cell>
          <cell r="K97">
            <v>0</v>
          </cell>
          <cell r="M97">
            <v>0</v>
          </cell>
          <cell r="P97">
            <v>4853588.2200000007</v>
          </cell>
          <cell r="Q97" t="str">
            <v>Tallied</v>
          </cell>
        </row>
        <row r="98">
          <cell r="B98">
            <v>46122</v>
          </cell>
          <cell r="K98">
            <v>0</v>
          </cell>
          <cell r="M98">
            <v>0</v>
          </cell>
          <cell r="P98">
            <v>115270</v>
          </cell>
          <cell r="Q98" t="str">
            <v>Tallied</v>
          </cell>
        </row>
        <row r="99">
          <cell r="B99">
            <v>46122</v>
          </cell>
          <cell r="K99">
            <v>0</v>
          </cell>
          <cell r="M99">
            <v>0</v>
          </cell>
          <cell r="P99">
            <v>203294.59999999998</v>
          </cell>
          <cell r="Q99" t="str">
            <v>Tallied</v>
          </cell>
        </row>
        <row r="100">
          <cell r="B100">
            <v>46122</v>
          </cell>
          <cell r="K100">
            <v>0</v>
          </cell>
          <cell r="M100">
            <v>0</v>
          </cell>
          <cell r="P100">
            <v>1232365.44</v>
          </cell>
          <cell r="Q100" t="str">
            <v>Tallied</v>
          </cell>
        </row>
        <row r="101">
          <cell r="B101">
            <v>46122</v>
          </cell>
          <cell r="K101">
            <v>0</v>
          </cell>
          <cell r="M101">
            <v>0</v>
          </cell>
          <cell r="P101">
            <v>203213.24</v>
          </cell>
          <cell r="Q101" t="str">
            <v>Tallied</v>
          </cell>
        </row>
        <row r="102">
          <cell r="B102">
            <v>46122</v>
          </cell>
          <cell r="K102">
            <v>0</v>
          </cell>
          <cell r="M102">
            <v>0</v>
          </cell>
          <cell r="P102">
            <v>5</v>
          </cell>
          <cell r="Q102" t="str">
            <v>Tallied</v>
          </cell>
        </row>
        <row r="103">
          <cell r="B103">
            <v>46122</v>
          </cell>
          <cell r="K103">
            <v>0</v>
          </cell>
          <cell r="M103">
            <v>0</v>
          </cell>
          <cell r="P103">
            <v>4</v>
          </cell>
          <cell r="Q103" t="str">
            <v>Tallied</v>
          </cell>
        </row>
        <row r="104">
          <cell r="B104">
            <v>46122</v>
          </cell>
          <cell r="K104">
            <v>0</v>
          </cell>
          <cell r="M104">
            <v>0</v>
          </cell>
          <cell r="P104">
            <v>1015987.5</v>
          </cell>
          <cell r="Q104" t="str">
            <v>Tallied</v>
          </cell>
        </row>
        <row r="105">
          <cell r="B105">
            <v>46122</v>
          </cell>
          <cell r="K105">
            <v>0</v>
          </cell>
          <cell r="M105">
            <v>0</v>
          </cell>
          <cell r="P105">
            <v>534433.30000000005</v>
          </cell>
          <cell r="Q105" t="str">
            <v>Tallied</v>
          </cell>
        </row>
        <row r="106">
          <cell r="B106">
            <v>46123</v>
          </cell>
          <cell r="K106">
            <v>0</v>
          </cell>
          <cell r="M106">
            <v>0</v>
          </cell>
          <cell r="P106">
            <v>1465618.2000000002</v>
          </cell>
          <cell r="Q106" t="str">
            <v>Tallied</v>
          </cell>
        </row>
        <row r="107">
          <cell r="B107">
            <v>46123</v>
          </cell>
          <cell r="K107">
            <v>0</v>
          </cell>
          <cell r="M107">
            <v>0</v>
          </cell>
          <cell r="P107">
            <v>176316.99</v>
          </cell>
          <cell r="Q107" t="str">
            <v>Tallied</v>
          </cell>
        </row>
        <row r="108">
          <cell r="B108">
            <v>46123</v>
          </cell>
          <cell r="K108">
            <v>0</v>
          </cell>
          <cell r="M108">
            <v>0</v>
          </cell>
          <cell r="P108">
            <v>1</v>
          </cell>
          <cell r="Q108" t="str">
            <v>Tallied</v>
          </cell>
        </row>
        <row r="109">
          <cell r="B109">
            <v>46123</v>
          </cell>
          <cell r="K109">
            <v>0</v>
          </cell>
          <cell r="M109">
            <v>0</v>
          </cell>
          <cell r="P109">
            <v>87421.18</v>
          </cell>
          <cell r="Q109" t="str">
            <v>Tallied</v>
          </cell>
        </row>
        <row r="110">
          <cell r="B110">
            <v>46123</v>
          </cell>
          <cell r="K110">
            <v>0</v>
          </cell>
          <cell r="M110">
            <v>0</v>
          </cell>
          <cell r="P110">
            <v>103372.54999999999</v>
          </cell>
          <cell r="Q110" t="str">
            <v>Tallied</v>
          </cell>
        </row>
        <row r="111">
          <cell r="B111">
            <v>46123</v>
          </cell>
          <cell r="K111">
            <v>0</v>
          </cell>
          <cell r="M111">
            <v>0</v>
          </cell>
          <cell r="P111">
            <v>14012.81</v>
          </cell>
          <cell r="Q111" t="str">
            <v>Tallied</v>
          </cell>
        </row>
        <row r="112">
          <cell r="B112">
            <v>46123</v>
          </cell>
          <cell r="K112">
            <v>0</v>
          </cell>
          <cell r="M112">
            <v>0</v>
          </cell>
          <cell r="P112">
            <v>122126.32</v>
          </cell>
          <cell r="Q112" t="str">
            <v>Tallied</v>
          </cell>
        </row>
        <row r="113">
          <cell r="B113">
            <v>46123</v>
          </cell>
          <cell r="K113">
            <v>0</v>
          </cell>
          <cell r="M113">
            <v>0</v>
          </cell>
          <cell r="P113">
            <v>23555.48</v>
          </cell>
          <cell r="Q113" t="str">
            <v>Tallied</v>
          </cell>
        </row>
        <row r="114">
          <cell r="B114">
            <v>46123</v>
          </cell>
          <cell r="K114">
            <v>0</v>
          </cell>
          <cell r="M114">
            <v>0</v>
          </cell>
          <cell r="P114">
            <v>237855.00000000003</v>
          </cell>
          <cell r="Q114" t="str">
            <v>Tallied</v>
          </cell>
        </row>
        <row r="115">
          <cell r="B115">
            <v>46123</v>
          </cell>
          <cell r="K115">
            <v>0</v>
          </cell>
          <cell r="M115">
            <v>0</v>
          </cell>
          <cell r="P115">
            <v>692860.5</v>
          </cell>
          <cell r="Q115" t="str">
            <v>Tallied</v>
          </cell>
        </row>
        <row r="116">
          <cell r="B116">
            <v>46123</v>
          </cell>
          <cell r="K116">
            <v>0</v>
          </cell>
          <cell r="M116">
            <v>0</v>
          </cell>
          <cell r="P116">
            <v>213257.03999999998</v>
          </cell>
          <cell r="Q116" t="str">
            <v>Tallied</v>
          </cell>
        </row>
        <row r="117">
          <cell r="B117">
            <v>46123</v>
          </cell>
          <cell r="K117">
            <v>0</v>
          </cell>
          <cell r="M117">
            <v>0</v>
          </cell>
          <cell r="P117">
            <v>139719.48000000001</v>
          </cell>
          <cell r="Q117" t="str">
            <v>Tallied</v>
          </cell>
        </row>
        <row r="118">
          <cell r="B118">
            <v>46123</v>
          </cell>
          <cell r="K118">
            <v>0</v>
          </cell>
          <cell r="M118">
            <v>0</v>
          </cell>
          <cell r="P118">
            <v>14866.470000000001</v>
          </cell>
          <cell r="Q118" t="str">
            <v>Tallied</v>
          </cell>
        </row>
        <row r="119">
          <cell r="B119">
            <v>46123</v>
          </cell>
          <cell r="K119">
            <v>0</v>
          </cell>
          <cell r="M119">
            <v>0</v>
          </cell>
          <cell r="P119">
            <v>3303.66</v>
          </cell>
          <cell r="Q119" t="str">
            <v>Tallied</v>
          </cell>
        </row>
        <row r="120">
          <cell r="B120">
            <v>46123</v>
          </cell>
          <cell r="K120">
            <v>0</v>
          </cell>
          <cell r="M120">
            <v>0</v>
          </cell>
          <cell r="P120">
            <v>14315.86</v>
          </cell>
          <cell r="Q120" t="str">
            <v>Tallied</v>
          </cell>
        </row>
        <row r="121">
          <cell r="B121">
            <v>46123</v>
          </cell>
          <cell r="K121">
            <v>0</v>
          </cell>
          <cell r="M121">
            <v>0</v>
          </cell>
          <cell r="P121">
            <v>4102.32</v>
          </cell>
          <cell r="Q121" t="str">
            <v>Tallied</v>
          </cell>
        </row>
        <row r="122">
          <cell r="B122">
            <v>46123</v>
          </cell>
          <cell r="K122">
            <v>0</v>
          </cell>
          <cell r="M122">
            <v>0</v>
          </cell>
          <cell r="P122">
            <v>6416.0999999999995</v>
          </cell>
          <cell r="Q122" t="str">
            <v>Tallied</v>
          </cell>
        </row>
        <row r="123">
          <cell r="B123">
            <v>46123</v>
          </cell>
          <cell r="K123">
            <v>0</v>
          </cell>
          <cell r="M123">
            <v>0</v>
          </cell>
          <cell r="P123">
            <v>7818.2999999999993</v>
          </cell>
          <cell r="Q123" t="str">
            <v>Tallied</v>
          </cell>
        </row>
        <row r="124">
          <cell r="B124">
            <v>46123</v>
          </cell>
          <cell r="K124">
            <v>0</v>
          </cell>
          <cell r="M124">
            <v>0</v>
          </cell>
          <cell r="P124">
            <v>442216.3</v>
          </cell>
          <cell r="Q124" t="str">
            <v>Tallied</v>
          </cell>
        </row>
        <row r="125">
          <cell r="B125">
            <v>46123</v>
          </cell>
          <cell r="K125">
            <v>0</v>
          </cell>
          <cell r="M125">
            <v>0</v>
          </cell>
          <cell r="P125">
            <v>36166.800000000003</v>
          </cell>
          <cell r="Q125" t="str">
            <v>Tallied</v>
          </cell>
        </row>
        <row r="126">
          <cell r="B126">
            <v>46123</v>
          </cell>
          <cell r="K126">
            <v>0</v>
          </cell>
          <cell r="M126">
            <v>0</v>
          </cell>
          <cell r="P126">
            <v>35937.199999999997</v>
          </cell>
          <cell r="Q126" t="str">
            <v>Tallied</v>
          </cell>
        </row>
        <row r="127">
          <cell r="B127">
            <v>46123</v>
          </cell>
          <cell r="K127">
            <v>0</v>
          </cell>
          <cell r="M127">
            <v>0</v>
          </cell>
          <cell r="P127">
            <v>401664.35</v>
          </cell>
          <cell r="Q127" t="str">
            <v>Tallied</v>
          </cell>
        </row>
        <row r="128">
          <cell r="B128">
            <v>46123</v>
          </cell>
          <cell r="K128">
            <v>0</v>
          </cell>
          <cell r="M128">
            <v>0</v>
          </cell>
          <cell r="P128">
            <v>223118.06</v>
          </cell>
          <cell r="Q128" t="str">
            <v>Tallied</v>
          </cell>
        </row>
        <row r="129">
          <cell r="B129">
            <v>46123</v>
          </cell>
          <cell r="K129">
            <v>0</v>
          </cell>
          <cell r="M129">
            <v>0</v>
          </cell>
          <cell r="P129">
            <v>4010345.07</v>
          </cell>
          <cell r="Q129" t="str">
            <v>Tallied</v>
          </cell>
        </row>
        <row r="130">
          <cell r="B130">
            <v>46123</v>
          </cell>
          <cell r="K130">
            <v>0</v>
          </cell>
          <cell r="M130">
            <v>0</v>
          </cell>
          <cell r="P130">
            <v>3650.04</v>
          </cell>
          <cell r="Q130" t="str">
            <v>Tallied</v>
          </cell>
        </row>
        <row r="131">
          <cell r="B131">
            <v>46123</v>
          </cell>
          <cell r="K131">
            <v>0</v>
          </cell>
          <cell r="M131">
            <v>0</v>
          </cell>
          <cell r="P131">
            <v>167845.08</v>
          </cell>
          <cell r="Q131" t="str">
            <v>Tallied</v>
          </cell>
        </row>
        <row r="132">
          <cell r="B132">
            <v>46123</v>
          </cell>
          <cell r="K132">
            <v>0</v>
          </cell>
          <cell r="M132">
            <v>0</v>
          </cell>
          <cell r="P132">
            <v>1494</v>
          </cell>
          <cell r="Q132" t="str">
            <v>Tallied</v>
          </cell>
        </row>
        <row r="133">
          <cell r="B133">
            <v>46123</v>
          </cell>
          <cell r="K133">
            <v>0</v>
          </cell>
          <cell r="M133">
            <v>0</v>
          </cell>
          <cell r="P133">
            <v>47930</v>
          </cell>
          <cell r="Q133" t="str">
            <v>Tallied</v>
          </cell>
        </row>
        <row r="134">
          <cell r="B134">
            <v>46123</v>
          </cell>
          <cell r="K134">
            <v>0</v>
          </cell>
          <cell r="M134">
            <v>0</v>
          </cell>
          <cell r="P134">
            <v>17115.080000000002</v>
          </cell>
          <cell r="Q134" t="str">
            <v>Tallied</v>
          </cell>
        </row>
        <row r="135">
          <cell r="B135">
            <v>46123</v>
          </cell>
          <cell r="K135">
            <v>0</v>
          </cell>
          <cell r="M135">
            <v>0</v>
          </cell>
          <cell r="P135">
            <v>74065.38</v>
          </cell>
          <cell r="Q135" t="str">
            <v>Tallied</v>
          </cell>
        </row>
        <row r="136">
          <cell r="B136">
            <v>46123</v>
          </cell>
          <cell r="K136">
            <v>0</v>
          </cell>
          <cell r="M136">
            <v>0</v>
          </cell>
          <cell r="P136">
            <v>239301.25</v>
          </cell>
          <cell r="Q136" t="str">
            <v>Tallied</v>
          </cell>
        </row>
        <row r="137">
          <cell r="B137">
            <v>46123</v>
          </cell>
          <cell r="K137">
            <v>0</v>
          </cell>
          <cell r="M137">
            <v>0</v>
          </cell>
          <cell r="P137">
            <v>47714.86</v>
          </cell>
          <cell r="Q137" t="str">
            <v>Tallied</v>
          </cell>
        </row>
        <row r="138">
          <cell r="B138">
            <v>46123</v>
          </cell>
          <cell r="K138">
            <v>0</v>
          </cell>
          <cell r="M138">
            <v>0</v>
          </cell>
          <cell r="P138">
            <v>718552.07</v>
          </cell>
          <cell r="Q138" t="str">
            <v>Tallied</v>
          </cell>
        </row>
        <row r="139">
          <cell r="B139">
            <v>46123</v>
          </cell>
          <cell r="K139">
            <v>0</v>
          </cell>
          <cell r="M139">
            <v>0</v>
          </cell>
          <cell r="P139">
            <v>210437.46000000002</v>
          </cell>
          <cell r="Q139" t="str">
            <v>Tallied</v>
          </cell>
        </row>
        <row r="140">
          <cell r="B140">
            <v>46123</v>
          </cell>
          <cell r="K140">
            <v>0</v>
          </cell>
          <cell r="M140">
            <v>0</v>
          </cell>
          <cell r="P140">
            <v>14128.96</v>
          </cell>
          <cell r="Q140" t="str">
            <v>Tallied</v>
          </cell>
        </row>
        <row r="141">
          <cell r="B141">
            <v>46123</v>
          </cell>
          <cell r="K141">
            <v>0</v>
          </cell>
          <cell r="M141">
            <v>0</v>
          </cell>
          <cell r="P141">
            <v>1287.3900000000001</v>
          </cell>
          <cell r="Q141" t="str">
            <v>Tallied</v>
          </cell>
        </row>
        <row r="142">
          <cell r="B142">
            <v>46123</v>
          </cell>
          <cell r="K142">
            <v>0</v>
          </cell>
          <cell r="M142">
            <v>0</v>
          </cell>
          <cell r="P142">
            <v>-2009.59</v>
          </cell>
          <cell r="Q142" t="str">
            <v>Tallied</v>
          </cell>
        </row>
        <row r="143">
          <cell r="B143">
            <v>46123</v>
          </cell>
          <cell r="K143">
            <v>0</v>
          </cell>
          <cell r="M143">
            <v>0</v>
          </cell>
          <cell r="P143">
            <v>79347</v>
          </cell>
          <cell r="Q143" t="str">
            <v>Tallied</v>
          </cell>
        </row>
        <row r="144">
          <cell r="B144">
            <v>46123</v>
          </cell>
          <cell r="K144">
            <v>0</v>
          </cell>
          <cell r="M144">
            <v>0</v>
          </cell>
          <cell r="P144">
            <v>183482.36</v>
          </cell>
          <cell r="Q144" t="str">
            <v>Tallied</v>
          </cell>
        </row>
        <row r="145">
          <cell r="B145">
            <v>46123</v>
          </cell>
          <cell r="K145">
            <v>0</v>
          </cell>
          <cell r="M145">
            <v>0</v>
          </cell>
          <cell r="P145">
            <v>117388.95</v>
          </cell>
          <cell r="Q145" t="str">
            <v>Tallied</v>
          </cell>
        </row>
        <row r="146">
          <cell r="B146">
            <v>46123</v>
          </cell>
          <cell r="K146">
            <v>0</v>
          </cell>
          <cell r="M146">
            <v>0</v>
          </cell>
          <cell r="P146">
            <v>267049.40000000002</v>
          </cell>
          <cell r="Q146" t="str">
            <v>Tallied</v>
          </cell>
        </row>
        <row r="147">
          <cell r="B147">
            <v>46123</v>
          </cell>
          <cell r="K147">
            <v>0</v>
          </cell>
          <cell r="M147">
            <v>0</v>
          </cell>
          <cell r="P147">
            <v>13912.48</v>
          </cell>
          <cell r="Q147" t="str">
            <v>Tallied</v>
          </cell>
        </row>
        <row r="148">
          <cell r="B148">
            <v>46123</v>
          </cell>
          <cell r="K148">
            <v>0</v>
          </cell>
          <cell r="M148">
            <v>0</v>
          </cell>
          <cell r="P148">
            <v>235331.71999999997</v>
          </cell>
          <cell r="Q148" t="str">
            <v>Tallied</v>
          </cell>
        </row>
        <row r="149">
          <cell r="B149">
            <v>46123</v>
          </cell>
          <cell r="K149">
            <v>0</v>
          </cell>
          <cell r="M149">
            <v>0</v>
          </cell>
          <cell r="P149">
            <v>230693.16</v>
          </cell>
          <cell r="Q149" t="str">
            <v>Tallied</v>
          </cell>
        </row>
        <row r="150">
          <cell r="B150">
            <v>46123</v>
          </cell>
          <cell r="K150">
            <v>0</v>
          </cell>
          <cell r="M150">
            <v>0</v>
          </cell>
          <cell r="P150">
            <v>7431.46</v>
          </cell>
          <cell r="Q150" t="str">
            <v>Tallied</v>
          </cell>
        </row>
        <row r="151">
          <cell r="B151">
            <v>46123</v>
          </cell>
          <cell r="K151">
            <v>0</v>
          </cell>
          <cell r="M151">
            <v>0</v>
          </cell>
          <cell r="P151">
            <v>201815.06</v>
          </cell>
          <cell r="Q151" t="str">
            <v>Tallied</v>
          </cell>
        </row>
        <row r="152">
          <cell r="B152">
            <v>46123</v>
          </cell>
          <cell r="K152">
            <v>0</v>
          </cell>
          <cell r="M152">
            <v>0</v>
          </cell>
          <cell r="P152">
            <v>920009.7</v>
          </cell>
          <cell r="Q152" t="str">
            <v>Tallied</v>
          </cell>
        </row>
        <row r="153">
          <cell r="B153">
            <v>46123</v>
          </cell>
          <cell r="K153">
            <v>0</v>
          </cell>
          <cell r="M153">
            <v>0</v>
          </cell>
          <cell r="P153">
            <v>2808.42</v>
          </cell>
          <cell r="Q153" t="str">
            <v>Tallied</v>
          </cell>
        </row>
        <row r="154">
          <cell r="B154">
            <v>46123</v>
          </cell>
          <cell r="K154">
            <v>0</v>
          </cell>
          <cell r="M154">
            <v>0</v>
          </cell>
          <cell r="P154">
            <v>964469.12</v>
          </cell>
          <cell r="Q154" t="str">
            <v>Tallied</v>
          </cell>
        </row>
        <row r="155">
          <cell r="B155">
            <v>46123</v>
          </cell>
          <cell r="K155">
            <v>0</v>
          </cell>
          <cell r="M155">
            <v>0</v>
          </cell>
          <cell r="P155">
            <v>1915.36</v>
          </cell>
          <cell r="Q155" t="str">
            <v>Tallied</v>
          </cell>
        </row>
        <row r="156">
          <cell r="B156">
            <v>46125</v>
          </cell>
          <cell r="K156">
            <v>0</v>
          </cell>
          <cell r="M156">
            <v>0</v>
          </cell>
          <cell r="P156">
            <v>201271.52999999997</v>
          </cell>
          <cell r="Q156" t="str">
            <v>Tallied</v>
          </cell>
        </row>
        <row r="157">
          <cell r="B157">
            <v>46125</v>
          </cell>
          <cell r="K157">
            <v>0</v>
          </cell>
          <cell r="M157">
            <v>0</v>
          </cell>
          <cell r="P157">
            <v>87844.61</v>
          </cell>
          <cell r="Q157" t="str">
            <v>Tallied</v>
          </cell>
        </row>
        <row r="158">
          <cell r="B158">
            <v>46125</v>
          </cell>
          <cell r="K158">
            <v>0</v>
          </cell>
          <cell r="M158">
            <v>0</v>
          </cell>
          <cell r="P158">
            <v>34561.050000000003</v>
          </cell>
          <cell r="Q158" t="str">
            <v>Tallied</v>
          </cell>
        </row>
        <row r="159">
          <cell r="B159">
            <v>46125</v>
          </cell>
          <cell r="K159">
            <v>0</v>
          </cell>
          <cell r="M159">
            <v>0</v>
          </cell>
          <cell r="P159">
            <v>157604.1</v>
          </cell>
          <cell r="Q159" t="str">
            <v>Tallied</v>
          </cell>
        </row>
        <row r="160">
          <cell r="B160">
            <v>46125</v>
          </cell>
          <cell r="K160">
            <v>0</v>
          </cell>
          <cell r="M160">
            <v>0</v>
          </cell>
          <cell r="P160">
            <v>432368.46</v>
          </cell>
          <cell r="Q160" t="str">
            <v>Tallied</v>
          </cell>
        </row>
        <row r="161">
          <cell r="B161">
            <v>46125</v>
          </cell>
          <cell r="K161">
            <v>0</v>
          </cell>
          <cell r="M161">
            <v>0</v>
          </cell>
          <cell r="P161">
            <v>21174.97</v>
          </cell>
          <cell r="Q161" t="str">
            <v>Tallied</v>
          </cell>
        </row>
        <row r="162">
          <cell r="B162">
            <v>46125</v>
          </cell>
          <cell r="K162">
            <v>0</v>
          </cell>
          <cell r="M162">
            <v>0</v>
          </cell>
          <cell r="P162">
            <v>37934.5</v>
          </cell>
          <cell r="Q162" t="str">
            <v>Tallied</v>
          </cell>
        </row>
        <row r="163">
          <cell r="B163">
            <v>46125</v>
          </cell>
          <cell r="K163">
            <v>0</v>
          </cell>
          <cell r="M163">
            <v>0</v>
          </cell>
          <cell r="P163">
            <v>180063.56</v>
          </cell>
          <cell r="Q163" t="str">
            <v>Tallied</v>
          </cell>
        </row>
        <row r="164">
          <cell r="B164">
            <v>46125</v>
          </cell>
          <cell r="K164">
            <v>0</v>
          </cell>
          <cell r="M164">
            <v>0</v>
          </cell>
          <cell r="P164">
            <v>73449.599999999991</v>
          </cell>
          <cell r="Q164" t="str">
            <v>Tallied</v>
          </cell>
        </row>
        <row r="165">
          <cell r="B165">
            <v>46125</v>
          </cell>
          <cell r="K165">
            <v>0</v>
          </cell>
          <cell r="M165">
            <v>0</v>
          </cell>
          <cell r="P165">
            <v>8284.7999999999993</v>
          </cell>
          <cell r="Q165" t="str">
            <v>Tallied</v>
          </cell>
        </row>
        <row r="166">
          <cell r="B166">
            <v>46125</v>
          </cell>
          <cell r="K166">
            <v>0</v>
          </cell>
          <cell r="M166">
            <v>0</v>
          </cell>
          <cell r="P166">
            <v>47818.080000000002</v>
          </cell>
          <cell r="Q166" t="str">
            <v>Tallied</v>
          </cell>
        </row>
        <row r="167">
          <cell r="B167">
            <v>46125</v>
          </cell>
          <cell r="K167">
            <v>0</v>
          </cell>
          <cell r="M167">
            <v>0</v>
          </cell>
          <cell r="P167">
            <v>3001536.72</v>
          </cell>
          <cell r="Q167" t="str">
            <v>Tallied</v>
          </cell>
        </row>
        <row r="168">
          <cell r="B168">
            <v>46125</v>
          </cell>
          <cell r="K168">
            <v>0</v>
          </cell>
          <cell r="M168">
            <v>0</v>
          </cell>
          <cell r="P168">
            <v>644232.95999999996</v>
          </cell>
          <cell r="Q168" t="str">
            <v>Tallied</v>
          </cell>
        </row>
        <row r="169">
          <cell r="B169">
            <v>46125</v>
          </cell>
          <cell r="K169">
            <v>0</v>
          </cell>
          <cell r="M169">
            <v>0</v>
          </cell>
          <cell r="P169">
            <v>705279.12</v>
          </cell>
          <cell r="Q169" t="str">
            <v>Tallied</v>
          </cell>
        </row>
        <row r="170">
          <cell r="B170">
            <v>46125</v>
          </cell>
          <cell r="K170">
            <v>0</v>
          </cell>
          <cell r="M170">
            <v>0</v>
          </cell>
          <cell r="P170">
            <v>1166229.8400000001</v>
          </cell>
          <cell r="Q170" t="str">
            <v>Tallied</v>
          </cell>
        </row>
        <row r="171">
          <cell r="B171">
            <v>46125</v>
          </cell>
          <cell r="K171">
            <v>0</v>
          </cell>
          <cell r="M171">
            <v>0</v>
          </cell>
          <cell r="P171">
            <v>362979.4</v>
          </cell>
          <cell r="Q171" t="str">
            <v>Tallied</v>
          </cell>
        </row>
        <row r="172">
          <cell r="B172">
            <v>46125</v>
          </cell>
          <cell r="K172">
            <v>0</v>
          </cell>
          <cell r="M172">
            <v>0</v>
          </cell>
          <cell r="P172">
            <v>20696.78</v>
          </cell>
          <cell r="Q172" t="str">
            <v>Tallied</v>
          </cell>
        </row>
        <row r="173">
          <cell r="B173">
            <v>46125</v>
          </cell>
          <cell r="K173">
            <v>0</v>
          </cell>
          <cell r="M173">
            <v>0</v>
          </cell>
          <cell r="P173">
            <v>142877.07</v>
          </cell>
          <cell r="Q173" t="str">
            <v>Tallied</v>
          </cell>
        </row>
        <row r="174">
          <cell r="B174">
            <v>46125</v>
          </cell>
          <cell r="K174">
            <v>0</v>
          </cell>
          <cell r="M174">
            <v>0</v>
          </cell>
          <cell r="P174">
            <v>449176.56</v>
          </cell>
          <cell r="Q174" t="str">
            <v>Tallied</v>
          </cell>
        </row>
        <row r="175">
          <cell r="B175">
            <v>46125</v>
          </cell>
          <cell r="K175">
            <v>0</v>
          </cell>
          <cell r="M175">
            <v>0</v>
          </cell>
          <cell r="P175">
            <v>427706.16</v>
          </cell>
          <cell r="Q175" t="str">
            <v>Tallied</v>
          </cell>
        </row>
        <row r="176">
          <cell r="B176">
            <v>46125</v>
          </cell>
          <cell r="K176">
            <v>0</v>
          </cell>
          <cell r="M176">
            <v>0</v>
          </cell>
          <cell r="P176">
            <v>4930.2</v>
          </cell>
          <cell r="Q176" t="str">
            <v>Tallied</v>
          </cell>
        </row>
        <row r="177">
          <cell r="B177">
            <v>46125</v>
          </cell>
          <cell r="K177">
            <v>0</v>
          </cell>
          <cell r="M177">
            <v>0</v>
          </cell>
          <cell r="P177">
            <v>74845.680000000008</v>
          </cell>
          <cell r="Q177" t="str">
            <v>Tallied</v>
          </cell>
        </row>
        <row r="178">
          <cell r="B178">
            <v>46125</v>
          </cell>
          <cell r="K178">
            <v>0</v>
          </cell>
          <cell r="M178">
            <v>0</v>
          </cell>
          <cell r="P178">
            <v>43107.840000000004</v>
          </cell>
          <cell r="Q178" t="str">
            <v>Tallied</v>
          </cell>
        </row>
        <row r="179">
          <cell r="B179">
            <v>46125</v>
          </cell>
          <cell r="K179">
            <v>0</v>
          </cell>
          <cell r="M179">
            <v>0</v>
          </cell>
          <cell r="P179">
            <v>1557522.72</v>
          </cell>
          <cell r="Q179" t="str">
            <v>Tallied</v>
          </cell>
        </row>
        <row r="180">
          <cell r="B180">
            <v>46125</v>
          </cell>
          <cell r="K180">
            <v>0</v>
          </cell>
          <cell r="M180">
            <v>0</v>
          </cell>
          <cell r="P180">
            <v>62993.95</v>
          </cell>
          <cell r="Q180" t="str">
            <v>Tallied</v>
          </cell>
        </row>
        <row r="181">
          <cell r="B181">
            <v>46125</v>
          </cell>
          <cell r="K181">
            <v>0</v>
          </cell>
          <cell r="M181">
            <v>0</v>
          </cell>
          <cell r="P181">
            <v>7804043.3399999999</v>
          </cell>
          <cell r="Q181" t="str">
            <v>Tallied</v>
          </cell>
        </row>
        <row r="182">
          <cell r="B182">
            <v>46125</v>
          </cell>
          <cell r="K182">
            <v>0</v>
          </cell>
          <cell r="M182">
            <v>0</v>
          </cell>
          <cell r="P182">
            <v>48863.040000000001</v>
          </cell>
          <cell r="Q182" t="str">
            <v>Tallied</v>
          </cell>
        </row>
        <row r="183">
          <cell r="B183">
            <v>46125</v>
          </cell>
          <cell r="K183">
            <v>0</v>
          </cell>
          <cell r="M183">
            <v>0</v>
          </cell>
          <cell r="P183">
            <v>3194578.8000000003</v>
          </cell>
          <cell r="Q183" t="str">
            <v>Tallied</v>
          </cell>
        </row>
        <row r="184">
          <cell r="B184">
            <v>46125</v>
          </cell>
          <cell r="K184">
            <v>0</v>
          </cell>
          <cell r="M184">
            <v>0</v>
          </cell>
          <cell r="P184">
            <v>23368.62</v>
          </cell>
          <cell r="Q184" t="str">
            <v>Tallied</v>
          </cell>
        </row>
        <row r="185">
          <cell r="B185">
            <v>46125</v>
          </cell>
          <cell r="K185">
            <v>0</v>
          </cell>
          <cell r="M185">
            <v>0</v>
          </cell>
          <cell r="P185">
            <v>2126207.6999999997</v>
          </cell>
          <cell r="Q185" t="str">
            <v>Tallied</v>
          </cell>
        </row>
        <row r="186">
          <cell r="B186">
            <v>46125</v>
          </cell>
          <cell r="K186">
            <v>0</v>
          </cell>
          <cell r="M186">
            <v>0</v>
          </cell>
          <cell r="P186">
            <v>931659.6</v>
          </cell>
          <cell r="Q186" t="str">
            <v>Tallied</v>
          </cell>
        </row>
        <row r="187">
          <cell r="B187">
            <v>46125</v>
          </cell>
          <cell r="K187">
            <v>0</v>
          </cell>
          <cell r="M187">
            <v>0</v>
          </cell>
          <cell r="P187">
            <v>540811.32000000007</v>
          </cell>
          <cell r="Q187" t="str">
            <v>Tallied</v>
          </cell>
        </row>
        <row r="188">
          <cell r="B188">
            <v>46125</v>
          </cell>
          <cell r="K188">
            <v>0</v>
          </cell>
          <cell r="M188">
            <v>0</v>
          </cell>
          <cell r="P188">
            <v>1089260.7</v>
          </cell>
          <cell r="Q188" t="str">
            <v>Tallied</v>
          </cell>
        </row>
        <row r="189">
          <cell r="B189">
            <v>46125</v>
          </cell>
          <cell r="K189">
            <v>0</v>
          </cell>
          <cell r="M189">
            <v>0</v>
          </cell>
          <cell r="P189">
            <v>89737.44</v>
          </cell>
          <cell r="Q189" t="str">
            <v>Tallied</v>
          </cell>
        </row>
        <row r="190">
          <cell r="B190">
            <v>46125</v>
          </cell>
          <cell r="K190">
            <v>0</v>
          </cell>
          <cell r="M190">
            <v>0</v>
          </cell>
          <cell r="P190">
            <v>5125.1400000000003</v>
          </cell>
          <cell r="Q190" t="str">
            <v>Tallied</v>
          </cell>
        </row>
        <row r="191">
          <cell r="B191">
            <v>46125</v>
          </cell>
          <cell r="K191">
            <v>0</v>
          </cell>
          <cell r="M191">
            <v>0</v>
          </cell>
          <cell r="P191">
            <v>67893.119999999995</v>
          </cell>
          <cell r="Q191" t="str">
            <v>Tallied</v>
          </cell>
        </row>
        <row r="192">
          <cell r="B192">
            <v>46125</v>
          </cell>
          <cell r="K192">
            <v>0</v>
          </cell>
          <cell r="M192">
            <v>0</v>
          </cell>
          <cell r="P192">
            <v>1610072.64</v>
          </cell>
          <cell r="Q192" t="str">
            <v>Tallied</v>
          </cell>
        </row>
        <row r="193">
          <cell r="B193">
            <v>46125</v>
          </cell>
          <cell r="K193">
            <v>0</v>
          </cell>
          <cell r="M193">
            <v>0</v>
          </cell>
          <cell r="P193">
            <v>14981.679999999998</v>
          </cell>
          <cell r="Q193" t="str">
            <v>Tallied</v>
          </cell>
        </row>
        <row r="194">
          <cell r="B194">
            <v>46125</v>
          </cell>
          <cell r="K194">
            <v>0</v>
          </cell>
          <cell r="M194">
            <v>0</v>
          </cell>
          <cell r="P194">
            <v>94703.88</v>
          </cell>
          <cell r="Q194" t="str">
            <v>Tallied</v>
          </cell>
        </row>
        <row r="195">
          <cell r="B195">
            <v>46125</v>
          </cell>
          <cell r="K195">
            <v>0</v>
          </cell>
          <cell r="M195">
            <v>0</v>
          </cell>
          <cell r="P195">
            <v>1481025.92</v>
          </cell>
          <cell r="Q195" t="str">
            <v>Tallied</v>
          </cell>
        </row>
        <row r="196">
          <cell r="B196">
            <v>46125</v>
          </cell>
          <cell r="K196">
            <v>0</v>
          </cell>
          <cell r="M196">
            <v>0</v>
          </cell>
          <cell r="P196">
            <v>763561.12</v>
          </cell>
          <cell r="Q196" t="str">
            <v>Tallied</v>
          </cell>
        </row>
        <row r="197">
          <cell r="B197">
            <v>46125</v>
          </cell>
          <cell r="K197">
            <v>0</v>
          </cell>
          <cell r="M197">
            <v>0</v>
          </cell>
          <cell r="P197">
            <v>35542.239999999998</v>
          </cell>
          <cell r="Q197" t="str">
            <v>Tallied</v>
          </cell>
        </row>
        <row r="198">
          <cell r="B198">
            <v>46125</v>
          </cell>
          <cell r="K198">
            <v>0</v>
          </cell>
          <cell r="M198">
            <v>0</v>
          </cell>
          <cell r="P198">
            <v>1594449.56</v>
          </cell>
          <cell r="Q198" t="str">
            <v>Tallied</v>
          </cell>
        </row>
        <row r="199">
          <cell r="B199">
            <v>46125</v>
          </cell>
          <cell r="K199">
            <v>0</v>
          </cell>
          <cell r="M199">
            <v>0</v>
          </cell>
          <cell r="P199">
            <v>312934.56</v>
          </cell>
          <cell r="Q199" t="str">
            <v>Tallied</v>
          </cell>
        </row>
        <row r="200">
          <cell r="B200">
            <v>46125</v>
          </cell>
          <cell r="K200">
            <v>0</v>
          </cell>
          <cell r="M200">
            <v>0</v>
          </cell>
          <cell r="P200">
            <v>1349223.92</v>
          </cell>
          <cell r="Q200" t="str">
            <v>Tallied</v>
          </cell>
        </row>
        <row r="201">
          <cell r="B201">
            <v>46125</v>
          </cell>
          <cell r="K201">
            <v>0</v>
          </cell>
          <cell r="M201">
            <v>0</v>
          </cell>
          <cell r="P201">
            <v>1060957.96</v>
          </cell>
          <cell r="Q201" t="str">
            <v>Tallied</v>
          </cell>
        </row>
        <row r="202">
          <cell r="B202">
            <v>46125</v>
          </cell>
          <cell r="K202">
            <v>0</v>
          </cell>
          <cell r="M202">
            <v>0</v>
          </cell>
          <cell r="P202">
            <v>75657.600000000006</v>
          </cell>
          <cell r="Q202" t="str">
            <v>Tallied</v>
          </cell>
        </row>
        <row r="203">
          <cell r="B203">
            <v>46125</v>
          </cell>
          <cell r="K203">
            <v>0</v>
          </cell>
          <cell r="M203">
            <v>0</v>
          </cell>
          <cell r="P203">
            <v>866789.36</v>
          </cell>
          <cell r="Q203" t="str">
            <v>Tallied</v>
          </cell>
        </row>
        <row r="204">
          <cell r="B204">
            <v>46125</v>
          </cell>
          <cell r="K204">
            <v>0</v>
          </cell>
          <cell r="M204">
            <v>0</v>
          </cell>
          <cell r="P204">
            <v>183780.9</v>
          </cell>
          <cell r="Q204" t="str">
            <v>Tallied</v>
          </cell>
        </row>
        <row r="205">
          <cell r="B205">
            <v>46125</v>
          </cell>
          <cell r="K205">
            <v>0</v>
          </cell>
          <cell r="M205">
            <v>0</v>
          </cell>
          <cell r="P205">
            <v>2202336.63</v>
          </cell>
          <cell r="Q205" t="str">
            <v>Tallied</v>
          </cell>
        </row>
        <row r="206">
          <cell r="B206">
            <v>46125</v>
          </cell>
          <cell r="K206">
            <v>0</v>
          </cell>
          <cell r="M206">
            <v>0</v>
          </cell>
          <cell r="P206">
            <v>385222.32</v>
          </cell>
          <cell r="Q206" t="str">
            <v>Tallied</v>
          </cell>
        </row>
        <row r="207">
          <cell r="B207">
            <v>46125</v>
          </cell>
          <cell r="K207">
            <v>0</v>
          </cell>
          <cell r="M207">
            <v>0</v>
          </cell>
          <cell r="P207">
            <v>764287.11</v>
          </cell>
          <cell r="Q207" t="str">
            <v>Tallied</v>
          </cell>
        </row>
        <row r="208">
          <cell r="B208">
            <v>46125</v>
          </cell>
          <cell r="K208">
            <v>0</v>
          </cell>
          <cell r="M208">
            <v>0</v>
          </cell>
          <cell r="P208">
            <v>569040.12</v>
          </cell>
          <cell r="Q208" t="str">
            <v>Tallied</v>
          </cell>
        </row>
        <row r="209">
          <cell r="B209">
            <v>46126</v>
          </cell>
          <cell r="K209">
            <v>0</v>
          </cell>
          <cell r="M209">
            <v>0</v>
          </cell>
          <cell r="P209">
            <v>629892.24</v>
          </cell>
          <cell r="Q209" t="str">
            <v>Tallied</v>
          </cell>
        </row>
        <row r="210">
          <cell r="B210">
            <v>46126</v>
          </cell>
          <cell r="K210">
            <v>0</v>
          </cell>
          <cell r="M210">
            <v>0</v>
          </cell>
          <cell r="P210">
            <v>1276936.92</v>
          </cell>
          <cell r="Q210" t="str">
            <v>Tallied</v>
          </cell>
        </row>
        <row r="211">
          <cell r="B211">
            <v>46126</v>
          </cell>
          <cell r="K211">
            <v>0</v>
          </cell>
          <cell r="M211">
            <v>0</v>
          </cell>
          <cell r="P211">
            <v>67384.799999999988</v>
          </cell>
          <cell r="Q211" t="str">
            <v>Tallied</v>
          </cell>
        </row>
        <row r="212">
          <cell r="B212">
            <v>46126</v>
          </cell>
          <cell r="K212">
            <v>0</v>
          </cell>
          <cell r="M212">
            <v>0</v>
          </cell>
          <cell r="P212">
            <v>764044.05</v>
          </cell>
          <cell r="Q212" t="str">
            <v>Tallied</v>
          </cell>
        </row>
        <row r="213">
          <cell r="B213">
            <v>46126</v>
          </cell>
          <cell r="K213">
            <v>0</v>
          </cell>
          <cell r="M213">
            <v>0</v>
          </cell>
          <cell r="P213">
            <v>166326.07999999999</v>
          </cell>
          <cell r="Q213" t="str">
            <v>Tallied</v>
          </cell>
        </row>
        <row r="214">
          <cell r="B214">
            <v>46126</v>
          </cell>
          <cell r="K214">
            <v>0</v>
          </cell>
          <cell r="M214">
            <v>0</v>
          </cell>
          <cell r="P214">
            <v>405036.17</v>
          </cell>
          <cell r="Q214" t="str">
            <v>Tallied</v>
          </cell>
        </row>
        <row r="215">
          <cell r="B215">
            <v>46126</v>
          </cell>
          <cell r="K215">
            <v>0</v>
          </cell>
          <cell r="M215">
            <v>0</v>
          </cell>
          <cell r="P215">
            <v>459740.4</v>
          </cell>
          <cell r="Q215" t="str">
            <v>Tallied</v>
          </cell>
        </row>
        <row r="216">
          <cell r="B216">
            <v>46126</v>
          </cell>
          <cell r="K216">
            <v>0</v>
          </cell>
          <cell r="M216">
            <v>0</v>
          </cell>
          <cell r="P216">
            <v>307646.99</v>
          </cell>
          <cell r="Q216" t="str">
            <v>Tallied</v>
          </cell>
        </row>
        <row r="217">
          <cell r="B217">
            <v>46126</v>
          </cell>
          <cell r="K217">
            <v>0</v>
          </cell>
          <cell r="M217">
            <v>0</v>
          </cell>
          <cell r="P217">
            <v>72571.199999999997</v>
          </cell>
          <cell r="Q217" t="str">
            <v>Tallied</v>
          </cell>
        </row>
        <row r="218">
          <cell r="B218">
            <v>46126</v>
          </cell>
          <cell r="K218">
            <v>0</v>
          </cell>
          <cell r="M218">
            <v>0</v>
          </cell>
          <cell r="P218">
            <v>12813706.260000002</v>
          </cell>
          <cell r="Q218" t="str">
            <v>Tallied</v>
          </cell>
        </row>
        <row r="219">
          <cell r="B219">
            <v>46126</v>
          </cell>
          <cell r="K219">
            <v>0</v>
          </cell>
          <cell r="M219">
            <v>0</v>
          </cell>
          <cell r="P219">
            <v>263128.89</v>
          </cell>
          <cell r="Q219" t="str">
            <v>Tallied</v>
          </cell>
        </row>
        <row r="220">
          <cell r="B220">
            <v>46126</v>
          </cell>
          <cell r="K220">
            <v>0</v>
          </cell>
          <cell r="M220">
            <v>0</v>
          </cell>
          <cell r="P220">
            <v>16465.759999999998</v>
          </cell>
          <cell r="Q220" t="str">
            <v>Tallied</v>
          </cell>
        </row>
        <row r="221">
          <cell r="B221">
            <v>46126</v>
          </cell>
          <cell r="K221">
            <v>0</v>
          </cell>
          <cell r="M221">
            <v>0</v>
          </cell>
          <cell r="P221">
            <v>209932.5</v>
          </cell>
          <cell r="Q221" t="str">
            <v>Tallied</v>
          </cell>
        </row>
        <row r="222">
          <cell r="B222">
            <v>46126</v>
          </cell>
          <cell r="K222">
            <v>0</v>
          </cell>
          <cell r="M222">
            <v>0</v>
          </cell>
          <cell r="P222">
            <v>64819.020000000004</v>
          </cell>
          <cell r="Q222" t="str">
            <v>Tallied</v>
          </cell>
        </row>
        <row r="223">
          <cell r="B223">
            <v>46126</v>
          </cell>
          <cell r="K223">
            <v>0</v>
          </cell>
          <cell r="M223">
            <v>0</v>
          </cell>
          <cell r="P223">
            <v>1640724.42</v>
          </cell>
          <cell r="Q223" t="str">
            <v>Tallied</v>
          </cell>
        </row>
        <row r="224">
          <cell r="B224">
            <v>46126</v>
          </cell>
          <cell r="K224">
            <v>0</v>
          </cell>
          <cell r="M224">
            <v>0</v>
          </cell>
          <cell r="P224">
            <v>260811.04</v>
          </cell>
          <cell r="Q224" t="str">
            <v>Tallied</v>
          </cell>
        </row>
        <row r="225">
          <cell r="B225">
            <v>46126</v>
          </cell>
          <cell r="K225">
            <v>0</v>
          </cell>
          <cell r="M225">
            <v>0</v>
          </cell>
          <cell r="P225">
            <v>171595.3</v>
          </cell>
          <cell r="Q225" t="str">
            <v>Tallied</v>
          </cell>
        </row>
        <row r="226">
          <cell r="B226">
            <v>46126</v>
          </cell>
          <cell r="K226">
            <v>0</v>
          </cell>
          <cell r="M226">
            <v>0</v>
          </cell>
          <cell r="P226">
            <v>519124.32</v>
          </cell>
          <cell r="Q226" t="str">
            <v>Tallied</v>
          </cell>
        </row>
        <row r="227">
          <cell r="B227">
            <v>46126</v>
          </cell>
          <cell r="K227">
            <v>0</v>
          </cell>
          <cell r="M227">
            <v>0</v>
          </cell>
          <cell r="P227">
            <v>53384.24</v>
          </cell>
          <cell r="Q227" t="str">
            <v>Tallied</v>
          </cell>
        </row>
        <row r="228">
          <cell r="B228">
            <v>46126</v>
          </cell>
          <cell r="K228">
            <v>0</v>
          </cell>
          <cell r="M228">
            <v>0</v>
          </cell>
          <cell r="P228">
            <v>1949073</v>
          </cell>
          <cell r="Q228" t="str">
            <v>Tallied</v>
          </cell>
        </row>
        <row r="229">
          <cell r="B229">
            <v>46126</v>
          </cell>
          <cell r="K229">
            <v>0</v>
          </cell>
          <cell r="M229">
            <v>0</v>
          </cell>
          <cell r="P229">
            <v>622529.92000000004</v>
          </cell>
          <cell r="Q229" t="str">
            <v>Tallied</v>
          </cell>
        </row>
        <row r="230">
          <cell r="B230">
            <v>46126</v>
          </cell>
          <cell r="K230">
            <v>0</v>
          </cell>
          <cell r="M230">
            <v>0</v>
          </cell>
          <cell r="P230">
            <v>3914.7599999999998</v>
          </cell>
          <cell r="Q230" t="str">
            <v>Tallied</v>
          </cell>
        </row>
        <row r="231">
          <cell r="B231">
            <v>46126</v>
          </cell>
          <cell r="K231">
            <v>0</v>
          </cell>
          <cell r="M231">
            <v>0</v>
          </cell>
          <cell r="P231">
            <v>88823.25</v>
          </cell>
          <cell r="Q231" t="str">
            <v>Tallied</v>
          </cell>
        </row>
        <row r="232">
          <cell r="B232">
            <v>46126</v>
          </cell>
          <cell r="K232">
            <v>0</v>
          </cell>
          <cell r="M232">
            <v>0</v>
          </cell>
          <cell r="P232">
            <v>738422.16</v>
          </cell>
          <cell r="Q232" t="str">
            <v>Tallied</v>
          </cell>
        </row>
        <row r="233">
          <cell r="B233">
            <v>46126</v>
          </cell>
          <cell r="K233">
            <v>0</v>
          </cell>
          <cell r="M233">
            <v>0</v>
          </cell>
          <cell r="P233">
            <v>105949.34</v>
          </cell>
          <cell r="Q233" t="str">
            <v>Tallied</v>
          </cell>
        </row>
        <row r="234">
          <cell r="B234">
            <v>46126</v>
          </cell>
          <cell r="K234">
            <v>0</v>
          </cell>
          <cell r="M234">
            <v>0</v>
          </cell>
          <cell r="P234">
            <v>8315.26</v>
          </cell>
          <cell r="Q234" t="str">
            <v>Tallied</v>
          </cell>
        </row>
        <row r="235">
          <cell r="B235">
            <v>46126</v>
          </cell>
          <cell r="K235">
            <v>0</v>
          </cell>
          <cell r="M235">
            <v>0</v>
          </cell>
          <cell r="P235">
            <v>42926.52</v>
          </cell>
          <cell r="Q235" t="str">
            <v>Tallied</v>
          </cell>
        </row>
        <row r="236">
          <cell r="B236">
            <v>46126</v>
          </cell>
          <cell r="K236">
            <v>0</v>
          </cell>
          <cell r="M236">
            <v>0</v>
          </cell>
          <cell r="P236">
            <v>1503404.52</v>
          </cell>
          <cell r="Q236" t="str">
            <v>Tallied</v>
          </cell>
        </row>
        <row r="237">
          <cell r="B237">
            <v>46126</v>
          </cell>
          <cell r="K237">
            <v>0</v>
          </cell>
          <cell r="M237">
            <v>0</v>
          </cell>
          <cell r="P237">
            <v>170357.28</v>
          </cell>
          <cell r="Q237" t="str">
            <v>Tallied</v>
          </cell>
        </row>
        <row r="238">
          <cell r="B238">
            <v>46126</v>
          </cell>
          <cell r="K238">
            <v>0</v>
          </cell>
          <cell r="M238">
            <v>0</v>
          </cell>
          <cell r="P238">
            <v>26148.32</v>
          </cell>
          <cell r="Q238" t="str">
            <v>Tallied</v>
          </cell>
        </row>
        <row r="239">
          <cell r="B239">
            <v>46126</v>
          </cell>
          <cell r="K239">
            <v>0</v>
          </cell>
          <cell r="M239">
            <v>0</v>
          </cell>
          <cell r="P239">
            <v>238068.88</v>
          </cell>
          <cell r="Q239" t="str">
            <v>Tallied</v>
          </cell>
        </row>
        <row r="240">
          <cell r="B240">
            <v>46126</v>
          </cell>
          <cell r="K240">
            <v>0</v>
          </cell>
          <cell r="M240">
            <v>0</v>
          </cell>
          <cell r="P240">
            <v>526294.5</v>
          </cell>
          <cell r="Q240" t="str">
            <v>Tallied</v>
          </cell>
        </row>
        <row r="241">
          <cell r="B241">
            <v>46126</v>
          </cell>
          <cell r="K241">
            <v>0</v>
          </cell>
          <cell r="M241">
            <v>0</v>
          </cell>
          <cell r="P241">
            <v>479857.32</v>
          </cell>
          <cell r="Q241" t="str">
            <v>Tallied</v>
          </cell>
        </row>
        <row r="242">
          <cell r="B242">
            <v>46126</v>
          </cell>
          <cell r="K242">
            <v>0</v>
          </cell>
          <cell r="M242">
            <v>0</v>
          </cell>
          <cell r="P242">
            <v>896953.00000000012</v>
          </cell>
          <cell r="Q242" t="str">
            <v>Tallied</v>
          </cell>
        </row>
        <row r="243">
          <cell r="B243">
            <v>46126</v>
          </cell>
          <cell r="K243">
            <v>0</v>
          </cell>
          <cell r="M243">
            <v>0</v>
          </cell>
          <cell r="P243">
            <v>78260.05</v>
          </cell>
          <cell r="Q243" t="str">
            <v>Tallied</v>
          </cell>
        </row>
        <row r="244">
          <cell r="B244">
            <v>46126</v>
          </cell>
          <cell r="K244">
            <v>0</v>
          </cell>
          <cell r="M244">
            <v>0</v>
          </cell>
          <cell r="P244">
            <v>13490556.399999999</v>
          </cell>
          <cell r="Q244" t="str">
            <v>Tallied</v>
          </cell>
        </row>
        <row r="245">
          <cell r="B245">
            <v>46126</v>
          </cell>
          <cell r="K245">
            <v>0</v>
          </cell>
          <cell r="M245">
            <v>0</v>
          </cell>
          <cell r="P245">
            <v>4811288.92</v>
          </cell>
          <cell r="Q245" t="str">
            <v>Tallied</v>
          </cell>
        </row>
        <row r="246">
          <cell r="B246">
            <v>46126</v>
          </cell>
          <cell r="K246">
            <v>0</v>
          </cell>
          <cell r="M246">
            <v>0</v>
          </cell>
          <cell r="P246">
            <v>5441454.8000000007</v>
          </cell>
          <cell r="Q246" t="str">
            <v>Tallied</v>
          </cell>
        </row>
        <row r="247">
          <cell r="B247">
            <v>46126</v>
          </cell>
          <cell r="K247">
            <v>0</v>
          </cell>
          <cell r="M247">
            <v>0</v>
          </cell>
          <cell r="P247">
            <v>8908086.7400000002</v>
          </cell>
          <cell r="Q247" t="str">
            <v>Tallied</v>
          </cell>
        </row>
        <row r="248">
          <cell r="B248">
            <v>46126</v>
          </cell>
          <cell r="K248">
            <v>0</v>
          </cell>
          <cell r="M248">
            <v>0</v>
          </cell>
          <cell r="P248">
            <v>680339.66</v>
          </cell>
          <cell r="Q248" t="str">
            <v>Tallied</v>
          </cell>
        </row>
        <row r="249">
          <cell r="B249">
            <v>46126</v>
          </cell>
          <cell r="K249">
            <v>0</v>
          </cell>
          <cell r="M249">
            <v>0</v>
          </cell>
          <cell r="P249">
            <v>188318.2</v>
          </cell>
          <cell r="Q249" t="str">
            <v>Tallied</v>
          </cell>
        </row>
        <row r="250">
          <cell r="B250">
            <v>46126</v>
          </cell>
          <cell r="K250">
            <v>0</v>
          </cell>
          <cell r="M250">
            <v>0</v>
          </cell>
          <cell r="P250">
            <v>1796843.25</v>
          </cell>
          <cell r="Q250" t="str">
            <v>Tallied</v>
          </cell>
        </row>
        <row r="251">
          <cell r="B251">
            <v>46126</v>
          </cell>
          <cell r="K251">
            <v>0</v>
          </cell>
          <cell r="M251">
            <v>0</v>
          </cell>
          <cell r="P251">
            <v>38660.639999999999</v>
          </cell>
          <cell r="Q251" t="str">
            <v>Tallied</v>
          </cell>
        </row>
        <row r="252">
          <cell r="B252">
            <v>46126</v>
          </cell>
          <cell r="K252">
            <v>0</v>
          </cell>
          <cell r="M252">
            <v>0</v>
          </cell>
          <cell r="P252">
            <v>96774.950000000012</v>
          </cell>
          <cell r="Q252" t="str">
            <v>Tallied</v>
          </cell>
        </row>
        <row r="253">
          <cell r="B253">
            <v>46126</v>
          </cell>
          <cell r="K253">
            <v>0</v>
          </cell>
          <cell r="M253">
            <v>0</v>
          </cell>
          <cell r="P253">
            <v>1078488.54</v>
          </cell>
          <cell r="Q253" t="str">
            <v>Tallied</v>
          </cell>
        </row>
        <row r="254">
          <cell r="B254">
            <v>46126</v>
          </cell>
          <cell r="K254">
            <v>0</v>
          </cell>
          <cell r="M254">
            <v>0</v>
          </cell>
          <cell r="P254">
            <v>643849.77999999991</v>
          </cell>
          <cell r="Q254" t="str">
            <v>Tallied</v>
          </cell>
        </row>
        <row r="255">
          <cell r="B255">
            <v>46126</v>
          </cell>
          <cell r="K255">
            <v>0</v>
          </cell>
          <cell r="M255">
            <v>0</v>
          </cell>
          <cell r="P255">
            <v>95987.5</v>
          </cell>
          <cell r="Q255" t="str">
            <v>Tallied</v>
          </cell>
        </row>
        <row r="256">
          <cell r="B256">
            <v>46126</v>
          </cell>
          <cell r="K256">
            <v>0</v>
          </cell>
          <cell r="M256">
            <v>0</v>
          </cell>
          <cell r="P256">
            <v>412835.92</v>
          </cell>
          <cell r="Q256" t="str">
            <v>Tallied</v>
          </cell>
        </row>
        <row r="257">
          <cell r="B257">
            <v>46126</v>
          </cell>
          <cell r="K257">
            <v>0</v>
          </cell>
          <cell r="M257">
            <v>0</v>
          </cell>
          <cell r="P257">
            <v>111616.96000000001</v>
          </cell>
          <cell r="Q257" t="str">
            <v>Tallied</v>
          </cell>
        </row>
        <row r="258">
          <cell r="B258">
            <v>46126</v>
          </cell>
          <cell r="K258">
            <v>0</v>
          </cell>
          <cell r="M258">
            <v>0</v>
          </cell>
          <cell r="P258">
            <v>299084.57</v>
          </cell>
          <cell r="Q258" t="str">
            <v>Tallied</v>
          </cell>
        </row>
        <row r="259">
          <cell r="B259">
            <v>46126</v>
          </cell>
          <cell r="K259">
            <v>0</v>
          </cell>
          <cell r="M259">
            <v>0</v>
          </cell>
          <cell r="P259">
            <v>470033.52</v>
          </cell>
          <cell r="Q259" t="str">
            <v>Tallied</v>
          </cell>
        </row>
        <row r="260">
          <cell r="B260">
            <v>46126</v>
          </cell>
          <cell r="K260">
            <v>0</v>
          </cell>
          <cell r="M260">
            <v>0</v>
          </cell>
          <cell r="P260">
            <v>60874.39</v>
          </cell>
          <cell r="Q260" t="str">
            <v>Tallied</v>
          </cell>
        </row>
        <row r="261">
          <cell r="B261">
            <v>46126</v>
          </cell>
          <cell r="K261">
            <v>0</v>
          </cell>
          <cell r="M261">
            <v>0</v>
          </cell>
          <cell r="P261">
            <v>23</v>
          </cell>
          <cell r="Q261" t="str">
            <v>Tallied</v>
          </cell>
        </row>
        <row r="262">
          <cell r="B262">
            <v>46126</v>
          </cell>
          <cell r="K262">
            <v>0</v>
          </cell>
          <cell r="M262">
            <v>0</v>
          </cell>
          <cell r="P262">
            <v>67640.319999999992</v>
          </cell>
          <cell r="Q262" t="str">
            <v>Tallied</v>
          </cell>
        </row>
        <row r="263">
          <cell r="B263">
            <v>46127</v>
          </cell>
          <cell r="K263">
            <v>0</v>
          </cell>
          <cell r="M263">
            <v>0</v>
          </cell>
          <cell r="P263">
            <v>121248.51</v>
          </cell>
          <cell r="Q263" t="str">
            <v>Tallied</v>
          </cell>
        </row>
        <row r="264">
          <cell r="B264">
            <v>46127</v>
          </cell>
          <cell r="K264">
            <v>0</v>
          </cell>
          <cell r="M264">
            <v>0</v>
          </cell>
          <cell r="P264">
            <v>2</v>
          </cell>
          <cell r="Q264" t="str">
            <v>Tallied</v>
          </cell>
        </row>
        <row r="265">
          <cell r="B265">
            <v>46127</v>
          </cell>
          <cell r="K265">
            <v>0</v>
          </cell>
          <cell r="M265">
            <v>0</v>
          </cell>
          <cell r="P265">
            <v>63831.58</v>
          </cell>
          <cell r="Q265" t="str">
            <v>Tallied</v>
          </cell>
        </row>
        <row r="266">
          <cell r="B266">
            <v>46127</v>
          </cell>
          <cell r="K266">
            <v>0</v>
          </cell>
          <cell r="M266">
            <v>0</v>
          </cell>
          <cell r="P266">
            <v>55405.08</v>
          </cell>
          <cell r="Q266" t="str">
            <v>Tallied</v>
          </cell>
        </row>
        <row r="267">
          <cell r="B267">
            <v>46127</v>
          </cell>
          <cell r="K267">
            <v>0</v>
          </cell>
          <cell r="M267">
            <v>0</v>
          </cell>
          <cell r="P267">
            <v>18150.810000000001</v>
          </cell>
          <cell r="Q267" t="str">
            <v>Tallied</v>
          </cell>
        </row>
        <row r="268">
          <cell r="B268">
            <v>46127</v>
          </cell>
          <cell r="K268">
            <v>0</v>
          </cell>
          <cell r="M268">
            <v>0</v>
          </cell>
          <cell r="P268">
            <v>3</v>
          </cell>
          <cell r="Q268" t="str">
            <v>Tallied</v>
          </cell>
        </row>
        <row r="269">
          <cell r="B269">
            <v>46127</v>
          </cell>
          <cell r="K269">
            <v>0</v>
          </cell>
          <cell r="M269">
            <v>0</v>
          </cell>
          <cell r="P269">
            <v>440213.27999999997</v>
          </cell>
          <cell r="Q269" t="str">
            <v>Tallied</v>
          </cell>
        </row>
        <row r="270">
          <cell r="B270">
            <v>46127</v>
          </cell>
          <cell r="K270">
            <v>0</v>
          </cell>
          <cell r="M270">
            <v>0</v>
          </cell>
          <cell r="P270">
            <v>15337.8</v>
          </cell>
          <cell r="Q270" t="str">
            <v>Tallied</v>
          </cell>
        </row>
        <row r="271">
          <cell r="B271">
            <v>46127</v>
          </cell>
          <cell r="K271">
            <v>0</v>
          </cell>
          <cell r="M271">
            <v>0</v>
          </cell>
          <cell r="P271">
            <v>20246</v>
          </cell>
          <cell r="Q271" t="str">
            <v>Tallied</v>
          </cell>
        </row>
        <row r="272">
          <cell r="B272">
            <v>46127</v>
          </cell>
          <cell r="K272">
            <v>0</v>
          </cell>
          <cell r="M272">
            <v>0</v>
          </cell>
          <cell r="P272">
            <v>61841.759999999995</v>
          </cell>
          <cell r="Q272" t="str">
            <v>Tallied</v>
          </cell>
        </row>
        <row r="273">
          <cell r="B273">
            <v>46127</v>
          </cell>
          <cell r="K273">
            <v>0</v>
          </cell>
          <cell r="M273">
            <v>0</v>
          </cell>
          <cell r="P273">
            <v>125162.81</v>
          </cell>
          <cell r="Q273" t="str">
            <v>Tallied</v>
          </cell>
        </row>
        <row r="274">
          <cell r="B274">
            <v>46127</v>
          </cell>
          <cell r="K274">
            <v>0</v>
          </cell>
          <cell r="M274">
            <v>0</v>
          </cell>
          <cell r="P274">
            <v>50517.26</v>
          </cell>
          <cell r="Q274" t="str">
            <v>Tallied</v>
          </cell>
        </row>
        <row r="275">
          <cell r="B275">
            <v>46127</v>
          </cell>
          <cell r="K275">
            <v>0</v>
          </cell>
          <cell r="M275">
            <v>0</v>
          </cell>
          <cell r="P275">
            <v>15858.060000000001</v>
          </cell>
          <cell r="Q275" t="str">
            <v>Tallied</v>
          </cell>
        </row>
        <row r="276">
          <cell r="B276">
            <v>46127</v>
          </cell>
          <cell r="K276">
            <v>0</v>
          </cell>
          <cell r="M276">
            <v>0</v>
          </cell>
          <cell r="P276">
            <v>80264.639999999999</v>
          </cell>
          <cell r="Q276" t="str">
            <v>Tallied</v>
          </cell>
        </row>
        <row r="277">
          <cell r="B277">
            <v>46127</v>
          </cell>
          <cell r="K277">
            <v>0</v>
          </cell>
          <cell r="M277">
            <v>0</v>
          </cell>
          <cell r="P277">
            <v>234749.55</v>
          </cell>
          <cell r="Q277" t="str">
            <v>Tallied</v>
          </cell>
        </row>
        <row r="278">
          <cell r="B278">
            <v>46127</v>
          </cell>
          <cell r="K278">
            <v>0</v>
          </cell>
          <cell r="M278">
            <v>0</v>
          </cell>
          <cell r="P278">
            <v>11360241.360000001</v>
          </cell>
          <cell r="Q278" t="str">
            <v>Tallied</v>
          </cell>
        </row>
        <row r="279">
          <cell r="B279">
            <v>46127</v>
          </cell>
          <cell r="K279">
            <v>0</v>
          </cell>
          <cell r="M279">
            <v>0</v>
          </cell>
          <cell r="P279">
            <v>315915.99</v>
          </cell>
          <cell r="Q279" t="str">
            <v>Tallied</v>
          </cell>
        </row>
        <row r="280">
          <cell r="B280">
            <v>46127</v>
          </cell>
          <cell r="K280">
            <v>0</v>
          </cell>
          <cell r="M280">
            <v>0</v>
          </cell>
          <cell r="P280">
            <v>407211.04</v>
          </cell>
          <cell r="Q280" t="str">
            <v>Tallied</v>
          </cell>
        </row>
        <row r="281">
          <cell r="B281">
            <v>46127</v>
          </cell>
          <cell r="K281">
            <v>0</v>
          </cell>
          <cell r="M281">
            <v>0</v>
          </cell>
          <cell r="P281">
            <v>184288.91999999998</v>
          </cell>
          <cell r="Q281" t="str">
            <v>Tallied</v>
          </cell>
        </row>
        <row r="282">
          <cell r="B282">
            <v>46127</v>
          </cell>
          <cell r="K282">
            <v>0</v>
          </cell>
          <cell r="M282">
            <v>0</v>
          </cell>
          <cell r="P282">
            <v>1779.7</v>
          </cell>
          <cell r="Q282" t="str">
            <v>Tallied</v>
          </cell>
        </row>
        <row r="283">
          <cell r="B283">
            <v>46127</v>
          </cell>
          <cell r="K283">
            <v>0</v>
          </cell>
          <cell r="M283">
            <v>0</v>
          </cell>
          <cell r="P283">
            <v>857550.25</v>
          </cell>
          <cell r="Q283" t="str">
            <v>Tallied</v>
          </cell>
        </row>
        <row r="284">
          <cell r="B284">
            <v>46127</v>
          </cell>
          <cell r="K284">
            <v>0</v>
          </cell>
          <cell r="M284">
            <v>0</v>
          </cell>
          <cell r="P284">
            <v>2092472.74</v>
          </cell>
          <cell r="Q284" t="str">
            <v>Tallied</v>
          </cell>
        </row>
        <row r="285">
          <cell r="B285">
            <v>46127</v>
          </cell>
          <cell r="K285">
            <v>0</v>
          </cell>
          <cell r="M285">
            <v>0</v>
          </cell>
          <cell r="P285">
            <v>4696956.96</v>
          </cell>
          <cell r="Q285" t="str">
            <v>Tallied</v>
          </cell>
        </row>
        <row r="286">
          <cell r="B286">
            <v>46127</v>
          </cell>
          <cell r="K286">
            <v>0</v>
          </cell>
          <cell r="M286">
            <v>0</v>
          </cell>
          <cell r="P286">
            <v>5848404.7999999998</v>
          </cell>
          <cell r="Q286" t="str">
            <v>Tallied</v>
          </cell>
        </row>
        <row r="287">
          <cell r="B287">
            <v>46127</v>
          </cell>
          <cell r="K287">
            <v>0</v>
          </cell>
          <cell r="M287">
            <v>0</v>
          </cell>
          <cell r="P287">
            <v>5317163.34</v>
          </cell>
          <cell r="Q287" t="str">
            <v>Tallied</v>
          </cell>
        </row>
        <row r="288">
          <cell r="B288">
            <v>46127</v>
          </cell>
          <cell r="K288">
            <v>0</v>
          </cell>
          <cell r="M288">
            <v>0</v>
          </cell>
          <cell r="P288">
            <v>10539085.379999999</v>
          </cell>
          <cell r="Q288" t="str">
            <v>Tallied</v>
          </cell>
        </row>
        <row r="289">
          <cell r="B289">
            <v>46127</v>
          </cell>
          <cell r="K289">
            <v>0</v>
          </cell>
          <cell r="M289">
            <v>0</v>
          </cell>
          <cell r="P289">
            <v>7146452.5200000005</v>
          </cell>
          <cell r="Q289" t="str">
            <v>Tallied</v>
          </cell>
        </row>
        <row r="290">
          <cell r="B290">
            <v>46127</v>
          </cell>
          <cell r="K290">
            <v>0</v>
          </cell>
          <cell r="M290">
            <v>0</v>
          </cell>
          <cell r="P290">
            <v>7795844.4000000004</v>
          </cell>
          <cell r="Q290" t="str">
            <v>Tallied</v>
          </cell>
        </row>
        <row r="291">
          <cell r="B291">
            <v>46127</v>
          </cell>
          <cell r="K291">
            <v>0</v>
          </cell>
          <cell r="M291">
            <v>0</v>
          </cell>
          <cell r="P291">
            <v>9733892.120000001</v>
          </cell>
          <cell r="Q291" t="str">
            <v>Tallied</v>
          </cell>
        </row>
        <row r="292">
          <cell r="B292">
            <v>46127</v>
          </cell>
          <cell r="K292">
            <v>0</v>
          </cell>
          <cell r="M292">
            <v>0</v>
          </cell>
          <cell r="P292">
            <v>926056.57</v>
          </cell>
          <cell r="Q292" t="str">
            <v>Tallied</v>
          </cell>
        </row>
        <row r="293">
          <cell r="B293">
            <v>46127</v>
          </cell>
          <cell r="K293">
            <v>0</v>
          </cell>
          <cell r="M293">
            <v>0</v>
          </cell>
          <cell r="P293">
            <v>1726337.52</v>
          </cell>
          <cell r="Q293" t="str">
            <v>Tallied</v>
          </cell>
        </row>
        <row r="294">
          <cell r="B294">
            <v>46127</v>
          </cell>
          <cell r="K294">
            <v>0</v>
          </cell>
          <cell r="M294">
            <v>0</v>
          </cell>
          <cell r="P294">
            <v>151275.69</v>
          </cell>
          <cell r="Q294" t="str">
            <v>Tallied</v>
          </cell>
        </row>
        <row r="295">
          <cell r="B295">
            <v>46127</v>
          </cell>
          <cell r="K295">
            <v>0</v>
          </cell>
          <cell r="M295">
            <v>0</v>
          </cell>
          <cell r="P295">
            <v>13654.199999999999</v>
          </cell>
          <cell r="Q295" t="str">
            <v>Tallied</v>
          </cell>
        </row>
        <row r="296">
          <cell r="B296">
            <v>46127</v>
          </cell>
          <cell r="K296">
            <v>0</v>
          </cell>
          <cell r="M296">
            <v>0</v>
          </cell>
          <cell r="P296">
            <v>24634.799999999999</v>
          </cell>
          <cell r="Q296" t="str">
            <v>Tallied</v>
          </cell>
        </row>
        <row r="297">
          <cell r="B297">
            <v>46127</v>
          </cell>
          <cell r="K297">
            <v>0</v>
          </cell>
          <cell r="M297">
            <v>0</v>
          </cell>
          <cell r="P297">
            <v>61428.4</v>
          </cell>
          <cell r="Q297" t="str">
            <v>Tallied</v>
          </cell>
        </row>
        <row r="298">
          <cell r="B298">
            <v>46127</v>
          </cell>
          <cell r="K298">
            <v>0</v>
          </cell>
          <cell r="M298">
            <v>0</v>
          </cell>
          <cell r="P298">
            <v>1228322.94</v>
          </cell>
          <cell r="Q298" t="str">
            <v>Tallied</v>
          </cell>
        </row>
        <row r="299">
          <cell r="B299">
            <v>46127</v>
          </cell>
          <cell r="K299">
            <v>0</v>
          </cell>
          <cell r="M299">
            <v>0</v>
          </cell>
          <cell r="P299">
            <v>314112.87</v>
          </cell>
          <cell r="Q299" t="str">
            <v>Tallied</v>
          </cell>
        </row>
        <row r="300">
          <cell r="B300">
            <v>46127</v>
          </cell>
          <cell r="K300">
            <v>0</v>
          </cell>
          <cell r="M300">
            <v>0</v>
          </cell>
          <cell r="P300">
            <v>12715.9</v>
          </cell>
          <cell r="Q300" t="str">
            <v>Tallied</v>
          </cell>
        </row>
        <row r="301">
          <cell r="B301">
            <v>46127</v>
          </cell>
          <cell r="K301">
            <v>0</v>
          </cell>
          <cell r="M301">
            <v>0</v>
          </cell>
          <cell r="P301">
            <v>437346</v>
          </cell>
          <cell r="Q301" t="str">
            <v>Tallied</v>
          </cell>
        </row>
        <row r="302">
          <cell r="B302">
            <v>46127</v>
          </cell>
          <cell r="K302">
            <v>0</v>
          </cell>
          <cell r="M302">
            <v>0</v>
          </cell>
          <cell r="P302">
            <v>90263.2</v>
          </cell>
          <cell r="Q302" t="str">
            <v>Tallied</v>
          </cell>
        </row>
        <row r="303">
          <cell r="B303">
            <v>46127</v>
          </cell>
          <cell r="K303">
            <v>0</v>
          </cell>
          <cell r="M303">
            <v>0</v>
          </cell>
          <cell r="P303">
            <v>655219.60000000009</v>
          </cell>
          <cell r="Q303" t="str">
            <v>Tallied</v>
          </cell>
        </row>
        <row r="304">
          <cell r="B304">
            <v>46127</v>
          </cell>
          <cell r="K304">
            <v>0</v>
          </cell>
          <cell r="M304">
            <v>0</v>
          </cell>
          <cell r="P304">
            <v>164383.51999999999</v>
          </cell>
          <cell r="Q304" t="str">
            <v>Tallied</v>
          </cell>
        </row>
        <row r="305">
          <cell r="B305">
            <v>46127</v>
          </cell>
          <cell r="K305">
            <v>0</v>
          </cell>
          <cell r="M305">
            <v>0</v>
          </cell>
          <cell r="P305">
            <v>48718.32</v>
          </cell>
          <cell r="Q305" t="str">
            <v>Tallied</v>
          </cell>
        </row>
        <row r="306">
          <cell r="B306">
            <v>46127</v>
          </cell>
          <cell r="K306">
            <v>0</v>
          </cell>
          <cell r="M306">
            <v>0</v>
          </cell>
          <cell r="P306">
            <v>1854.31</v>
          </cell>
          <cell r="Q306" t="str">
            <v>Tallied</v>
          </cell>
        </row>
        <row r="307">
          <cell r="B307">
            <v>46127</v>
          </cell>
          <cell r="K307">
            <v>0</v>
          </cell>
          <cell r="M307">
            <v>0</v>
          </cell>
          <cell r="P307">
            <v>26850.600000000002</v>
          </cell>
          <cell r="Q307" t="str">
            <v>Tallied</v>
          </cell>
        </row>
        <row r="308">
          <cell r="B308">
            <v>46127</v>
          </cell>
          <cell r="K308">
            <v>0</v>
          </cell>
          <cell r="M308">
            <v>0</v>
          </cell>
          <cell r="P308">
            <v>83893.5</v>
          </cell>
          <cell r="Q308" t="str">
            <v>Tallied</v>
          </cell>
        </row>
        <row r="309">
          <cell r="B309">
            <v>46127</v>
          </cell>
          <cell r="K309">
            <v>0</v>
          </cell>
          <cell r="M309">
            <v>0</v>
          </cell>
          <cell r="P309">
            <v>139822.5</v>
          </cell>
          <cell r="Q309" t="str">
            <v>Tallied</v>
          </cell>
        </row>
        <row r="310">
          <cell r="B310">
            <v>46127</v>
          </cell>
          <cell r="K310">
            <v>0</v>
          </cell>
          <cell r="M310">
            <v>0</v>
          </cell>
          <cell r="P310">
            <v>111858</v>
          </cell>
          <cell r="Q310" t="str">
            <v>Tallied</v>
          </cell>
        </row>
        <row r="311">
          <cell r="B311">
            <v>46127</v>
          </cell>
          <cell r="K311">
            <v>0</v>
          </cell>
          <cell r="M311">
            <v>0</v>
          </cell>
          <cell r="P311">
            <v>27964.5</v>
          </cell>
          <cell r="Q311" t="str">
            <v>Tallied</v>
          </cell>
        </row>
        <row r="312">
          <cell r="B312">
            <v>46127</v>
          </cell>
          <cell r="K312">
            <v>0</v>
          </cell>
          <cell r="M312">
            <v>0</v>
          </cell>
          <cell r="P312">
            <v>41212.36</v>
          </cell>
          <cell r="Q312" t="str">
            <v>Tallied</v>
          </cell>
        </row>
        <row r="313">
          <cell r="B313">
            <v>46128</v>
          </cell>
          <cell r="K313">
            <v>0</v>
          </cell>
          <cell r="M313">
            <v>0</v>
          </cell>
          <cell r="P313">
            <v>370911.24</v>
          </cell>
          <cell r="Q313" t="str">
            <v>Tallied</v>
          </cell>
        </row>
        <row r="314">
          <cell r="B314">
            <v>46128</v>
          </cell>
          <cell r="K314">
            <v>0</v>
          </cell>
          <cell r="M314">
            <v>0</v>
          </cell>
          <cell r="P314">
            <v>473942.14</v>
          </cell>
          <cell r="Q314" t="str">
            <v>Tallied</v>
          </cell>
        </row>
        <row r="315">
          <cell r="B315">
            <v>46128</v>
          </cell>
          <cell r="K315">
            <v>0</v>
          </cell>
          <cell r="M315">
            <v>0</v>
          </cell>
          <cell r="P315">
            <v>13099.800000000001</v>
          </cell>
          <cell r="Q315" t="str">
            <v>Tallied</v>
          </cell>
        </row>
        <row r="316">
          <cell r="B316">
            <v>46128</v>
          </cell>
          <cell r="K316">
            <v>0</v>
          </cell>
          <cell r="M316">
            <v>0</v>
          </cell>
          <cell r="P316">
            <v>115986.78</v>
          </cell>
          <cell r="Q316" t="str">
            <v>Tallied</v>
          </cell>
        </row>
        <row r="317">
          <cell r="B317">
            <v>46128</v>
          </cell>
          <cell r="K317">
            <v>0</v>
          </cell>
          <cell r="M317">
            <v>0</v>
          </cell>
          <cell r="P317">
            <v>32335.5</v>
          </cell>
          <cell r="Q317" t="str">
            <v>Tallied</v>
          </cell>
        </row>
        <row r="318">
          <cell r="B318">
            <v>46128</v>
          </cell>
          <cell r="K318">
            <v>0</v>
          </cell>
          <cell r="M318">
            <v>0</v>
          </cell>
          <cell r="P318">
            <v>186178.34000000003</v>
          </cell>
          <cell r="Q318" t="str">
            <v>Tallied</v>
          </cell>
        </row>
        <row r="319">
          <cell r="B319">
            <v>46128</v>
          </cell>
          <cell r="K319">
            <v>0</v>
          </cell>
          <cell r="M319">
            <v>0</v>
          </cell>
          <cell r="P319">
            <v>15917.670000000002</v>
          </cell>
          <cell r="Q319" t="str">
            <v>Tallied</v>
          </cell>
        </row>
        <row r="320">
          <cell r="B320">
            <v>46128</v>
          </cell>
          <cell r="K320">
            <v>0</v>
          </cell>
          <cell r="M320">
            <v>0</v>
          </cell>
          <cell r="P320">
            <v>34894.369999999995</v>
          </cell>
          <cell r="Q320" t="str">
            <v>Tallied</v>
          </cell>
        </row>
        <row r="321">
          <cell r="B321">
            <v>46128</v>
          </cell>
          <cell r="K321">
            <v>0</v>
          </cell>
          <cell r="M321">
            <v>0</v>
          </cell>
          <cell r="P321">
            <v>114219</v>
          </cell>
          <cell r="Q321" t="str">
            <v>Tallied</v>
          </cell>
        </row>
        <row r="322">
          <cell r="B322">
            <v>46128</v>
          </cell>
          <cell r="K322">
            <v>0</v>
          </cell>
          <cell r="M322">
            <v>0</v>
          </cell>
          <cell r="P322">
            <v>99859.68</v>
          </cell>
          <cell r="Q322" t="str">
            <v>Tallied</v>
          </cell>
        </row>
        <row r="323">
          <cell r="B323">
            <v>46128</v>
          </cell>
          <cell r="K323">
            <v>0</v>
          </cell>
          <cell r="M323">
            <v>0</v>
          </cell>
          <cell r="P323">
            <v>290238.67</v>
          </cell>
          <cell r="Q323" t="str">
            <v>Tallied</v>
          </cell>
        </row>
        <row r="324">
          <cell r="B324">
            <v>46128</v>
          </cell>
          <cell r="K324">
            <v>0</v>
          </cell>
          <cell r="M324">
            <v>0</v>
          </cell>
          <cell r="P324">
            <v>270046.90999999997</v>
          </cell>
          <cell r="Q324" t="str">
            <v>Tallied</v>
          </cell>
        </row>
        <row r="325">
          <cell r="B325">
            <v>46128</v>
          </cell>
          <cell r="K325">
            <v>0</v>
          </cell>
          <cell r="M325">
            <v>0</v>
          </cell>
          <cell r="P325">
            <v>129232.73999999999</v>
          </cell>
          <cell r="Q325" t="str">
            <v>Tallied</v>
          </cell>
        </row>
        <row r="326">
          <cell r="B326">
            <v>46128</v>
          </cell>
          <cell r="K326">
            <v>0</v>
          </cell>
          <cell r="M326">
            <v>0</v>
          </cell>
          <cell r="P326">
            <v>59507.630000000005</v>
          </cell>
          <cell r="Q326" t="str">
            <v>Tallied</v>
          </cell>
        </row>
        <row r="327">
          <cell r="B327">
            <v>46128</v>
          </cell>
          <cell r="K327">
            <v>0</v>
          </cell>
          <cell r="M327">
            <v>0</v>
          </cell>
          <cell r="P327">
            <v>113889.7</v>
          </cell>
          <cell r="Q327" t="str">
            <v>Tallied</v>
          </cell>
        </row>
        <row r="328">
          <cell r="B328">
            <v>46128</v>
          </cell>
          <cell r="K328">
            <v>0</v>
          </cell>
          <cell r="M328">
            <v>0</v>
          </cell>
          <cell r="P328">
            <v>202132.04</v>
          </cell>
          <cell r="Q328" t="str">
            <v>Tallied</v>
          </cell>
        </row>
        <row r="329">
          <cell r="B329">
            <v>46128</v>
          </cell>
          <cell r="K329">
            <v>0</v>
          </cell>
          <cell r="M329">
            <v>0</v>
          </cell>
          <cell r="P329">
            <v>32043.15</v>
          </cell>
          <cell r="Q329" t="str">
            <v>Tallied</v>
          </cell>
        </row>
        <row r="330">
          <cell r="B330">
            <v>46128</v>
          </cell>
          <cell r="K330">
            <v>0</v>
          </cell>
          <cell r="M330">
            <v>0</v>
          </cell>
          <cell r="P330">
            <v>7896.27</v>
          </cell>
          <cell r="Q330" t="str">
            <v>Tallied</v>
          </cell>
        </row>
        <row r="331">
          <cell r="B331">
            <v>46128</v>
          </cell>
          <cell r="K331">
            <v>0</v>
          </cell>
          <cell r="M331">
            <v>0</v>
          </cell>
          <cell r="P331">
            <v>293491.73</v>
          </cell>
          <cell r="Q331" t="str">
            <v>Tallied</v>
          </cell>
        </row>
        <row r="332">
          <cell r="B332">
            <v>46128</v>
          </cell>
          <cell r="K332">
            <v>0</v>
          </cell>
          <cell r="M332">
            <v>0</v>
          </cell>
          <cell r="P332">
            <v>161955.94</v>
          </cell>
          <cell r="Q332" t="str">
            <v>Tallied</v>
          </cell>
        </row>
        <row r="333">
          <cell r="B333">
            <v>46128</v>
          </cell>
          <cell r="K333">
            <v>0</v>
          </cell>
          <cell r="M333">
            <v>0</v>
          </cell>
          <cell r="P333">
            <v>104579.64</v>
          </cell>
          <cell r="Q333" t="str">
            <v>Tallied</v>
          </cell>
        </row>
        <row r="334">
          <cell r="B334">
            <v>46128</v>
          </cell>
          <cell r="K334">
            <v>0</v>
          </cell>
          <cell r="M334">
            <v>0</v>
          </cell>
          <cell r="P334">
            <v>479464.62</v>
          </cell>
          <cell r="Q334" t="str">
            <v>Tallied</v>
          </cell>
        </row>
        <row r="335">
          <cell r="B335">
            <v>46128</v>
          </cell>
          <cell r="K335">
            <v>0</v>
          </cell>
          <cell r="M335">
            <v>0</v>
          </cell>
          <cell r="P335">
            <v>192245.75999999998</v>
          </cell>
          <cell r="Q335" t="str">
            <v>Tallied</v>
          </cell>
        </row>
        <row r="336">
          <cell r="B336">
            <v>46128</v>
          </cell>
          <cell r="K336">
            <v>0</v>
          </cell>
          <cell r="M336">
            <v>0</v>
          </cell>
          <cell r="P336">
            <v>177488.21999999997</v>
          </cell>
          <cell r="Q336" t="str">
            <v>Tallied</v>
          </cell>
        </row>
        <row r="337">
          <cell r="B337">
            <v>46128</v>
          </cell>
          <cell r="K337">
            <v>0</v>
          </cell>
          <cell r="M337">
            <v>0</v>
          </cell>
          <cell r="P337">
            <v>1301093.3999999999</v>
          </cell>
          <cell r="Q337" t="str">
            <v>Tallied</v>
          </cell>
        </row>
        <row r="338">
          <cell r="B338">
            <v>46128</v>
          </cell>
          <cell r="K338">
            <v>0</v>
          </cell>
          <cell r="M338">
            <v>0</v>
          </cell>
          <cell r="P338">
            <v>32850.600000000006</v>
          </cell>
          <cell r="Q338" t="str">
            <v>Tallied</v>
          </cell>
        </row>
        <row r="339">
          <cell r="B339">
            <v>46128</v>
          </cell>
          <cell r="K339">
            <v>0</v>
          </cell>
          <cell r="M339">
            <v>0</v>
          </cell>
          <cell r="P339">
            <v>10184.459999999999</v>
          </cell>
          <cell r="Q339" t="str">
            <v>Tallied</v>
          </cell>
        </row>
        <row r="340">
          <cell r="B340">
            <v>46128</v>
          </cell>
          <cell r="K340">
            <v>0</v>
          </cell>
          <cell r="M340">
            <v>0</v>
          </cell>
          <cell r="P340">
            <v>219405.56</v>
          </cell>
          <cell r="Q340" t="str">
            <v>Tallied</v>
          </cell>
        </row>
        <row r="341">
          <cell r="B341">
            <v>46128</v>
          </cell>
          <cell r="K341">
            <v>0</v>
          </cell>
          <cell r="M341">
            <v>0</v>
          </cell>
          <cell r="P341">
            <v>5029.74</v>
          </cell>
          <cell r="Q341" t="str">
            <v>Tallied</v>
          </cell>
        </row>
        <row r="342">
          <cell r="B342">
            <v>46128</v>
          </cell>
          <cell r="K342">
            <v>0</v>
          </cell>
          <cell r="M342">
            <v>0</v>
          </cell>
          <cell r="P342">
            <v>20315.560000000001</v>
          </cell>
          <cell r="Q342" t="str">
            <v>Tallied</v>
          </cell>
        </row>
        <row r="343">
          <cell r="B343">
            <v>46128</v>
          </cell>
          <cell r="K343">
            <v>0</v>
          </cell>
          <cell r="M343">
            <v>0</v>
          </cell>
          <cell r="P343">
            <v>40328.080000000002</v>
          </cell>
          <cell r="Q343" t="str">
            <v>Tallied</v>
          </cell>
        </row>
        <row r="344">
          <cell r="B344">
            <v>46128</v>
          </cell>
          <cell r="K344">
            <v>0</v>
          </cell>
          <cell r="M344">
            <v>0</v>
          </cell>
          <cell r="P344">
            <v>25649.279999999999</v>
          </cell>
          <cell r="Q344" t="str">
            <v>Tallied</v>
          </cell>
        </row>
        <row r="345">
          <cell r="B345">
            <v>46128</v>
          </cell>
          <cell r="K345">
            <v>0</v>
          </cell>
          <cell r="M345">
            <v>0</v>
          </cell>
          <cell r="P345">
            <v>273803.78999999998</v>
          </cell>
          <cell r="Q345" t="str">
            <v>Tallied</v>
          </cell>
        </row>
        <row r="346">
          <cell r="B346">
            <v>46128</v>
          </cell>
          <cell r="K346">
            <v>0</v>
          </cell>
          <cell r="M346">
            <v>0</v>
          </cell>
          <cell r="P346">
            <v>15498.84</v>
          </cell>
          <cell r="Q346" t="str">
            <v>Tallied</v>
          </cell>
        </row>
        <row r="347">
          <cell r="B347">
            <v>46128</v>
          </cell>
          <cell r="K347">
            <v>0</v>
          </cell>
          <cell r="M347">
            <v>0</v>
          </cell>
          <cell r="P347">
            <v>301953.68</v>
          </cell>
          <cell r="Q347" t="str">
            <v>Tallied</v>
          </cell>
        </row>
        <row r="348">
          <cell r="B348">
            <v>46128</v>
          </cell>
          <cell r="K348">
            <v>0</v>
          </cell>
          <cell r="M348">
            <v>0</v>
          </cell>
          <cell r="P348">
            <v>273873.21000000002</v>
          </cell>
          <cell r="Q348" t="str">
            <v>Tallied</v>
          </cell>
        </row>
        <row r="349">
          <cell r="B349">
            <v>46128</v>
          </cell>
          <cell r="K349">
            <v>0</v>
          </cell>
          <cell r="M349">
            <v>0</v>
          </cell>
          <cell r="P349">
            <v>103544.01</v>
          </cell>
          <cell r="Q349" t="str">
            <v>Tallied</v>
          </cell>
        </row>
        <row r="350">
          <cell r="B350">
            <v>46128</v>
          </cell>
          <cell r="K350">
            <v>0</v>
          </cell>
          <cell r="M350">
            <v>0</v>
          </cell>
          <cell r="P350">
            <v>203520.56</v>
          </cell>
          <cell r="Q350" t="str">
            <v>Tallied</v>
          </cell>
        </row>
        <row r="351">
          <cell r="B351">
            <v>46128</v>
          </cell>
          <cell r="K351">
            <v>0</v>
          </cell>
          <cell r="M351">
            <v>0</v>
          </cell>
          <cell r="P351">
            <v>7568.8</v>
          </cell>
          <cell r="Q351" t="str">
            <v>Tallied</v>
          </cell>
        </row>
        <row r="352">
          <cell r="B352">
            <v>46128</v>
          </cell>
          <cell r="K352">
            <v>0</v>
          </cell>
          <cell r="M352">
            <v>0</v>
          </cell>
          <cell r="P352">
            <v>38848.11</v>
          </cell>
          <cell r="Q352" t="str">
            <v>Tallied</v>
          </cell>
        </row>
        <row r="353">
          <cell r="B353">
            <v>46128</v>
          </cell>
          <cell r="K353">
            <v>0</v>
          </cell>
          <cell r="M353">
            <v>0</v>
          </cell>
          <cell r="P353">
            <v>484190.51</v>
          </cell>
          <cell r="Q353" t="str">
            <v>Tallied</v>
          </cell>
        </row>
        <row r="354">
          <cell r="B354">
            <v>46128</v>
          </cell>
          <cell r="K354">
            <v>0</v>
          </cell>
          <cell r="M354">
            <v>0</v>
          </cell>
          <cell r="P354">
            <v>24010.36</v>
          </cell>
          <cell r="Q354" t="str">
            <v>Tallied</v>
          </cell>
        </row>
        <row r="355">
          <cell r="B355">
            <v>46128</v>
          </cell>
          <cell r="K355">
            <v>0</v>
          </cell>
          <cell r="M355">
            <v>0</v>
          </cell>
          <cell r="P355">
            <v>289955.90999999997</v>
          </cell>
          <cell r="Q355" t="str">
            <v>Tallied</v>
          </cell>
        </row>
        <row r="356">
          <cell r="B356">
            <v>46128</v>
          </cell>
          <cell r="K356">
            <v>0</v>
          </cell>
          <cell r="M356">
            <v>0</v>
          </cell>
          <cell r="P356">
            <v>6588.41</v>
          </cell>
          <cell r="Q356" t="str">
            <v>Tallied</v>
          </cell>
        </row>
        <row r="357">
          <cell r="B357">
            <v>46128</v>
          </cell>
          <cell r="K357">
            <v>0</v>
          </cell>
          <cell r="M357">
            <v>0</v>
          </cell>
          <cell r="P357">
            <v>95767.88</v>
          </cell>
          <cell r="Q357" t="str">
            <v>Tallied</v>
          </cell>
        </row>
        <row r="358">
          <cell r="B358">
            <v>46128</v>
          </cell>
          <cell r="K358">
            <v>0</v>
          </cell>
          <cell r="M358">
            <v>0</v>
          </cell>
          <cell r="P358">
            <v>7325.4</v>
          </cell>
          <cell r="Q358" t="str">
            <v>Tallied</v>
          </cell>
        </row>
        <row r="359">
          <cell r="B359">
            <v>46128</v>
          </cell>
          <cell r="K359">
            <v>0</v>
          </cell>
          <cell r="M359">
            <v>0</v>
          </cell>
          <cell r="P359">
            <v>4317.34</v>
          </cell>
          <cell r="Q359" t="str">
            <v>Tallied</v>
          </cell>
        </row>
        <row r="360">
          <cell r="B360">
            <v>46128</v>
          </cell>
          <cell r="K360">
            <v>0</v>
          </cell>
          <cell r="M360">
            <v>0</v>
          </cell>
          <cell r="P360">
            <v>79654.87</v>
          </cell>
          <cell r="Q360" t="str">
            <v>Tallied</v>
          </cell>
        </row>
        <row r="361">
          <cell r="B361">
            <v>46128</v>
          </cell>
          <cell r="K361">
            <v>0</v>
          </cell>
          <cell r="M361">
            <v>0</v>
          </cell>
          <cell r="P361">
            <v>5756.74</v>
          </cell>
          <cell r="Q361" t="str">
            <v>Tallied</v>
          </cell>
        </row>
        <row r="362">
          <cell r="B362">
            <v>46128</v>
          </cell>
          <cell r="K362">
            <v>0</v>
          </cell>
          <cell r="M362">
            <v>0</v>
          </cell>
          <cell r="P362">
            <v>11804.4</v>
          </cell>
          <cell r="Q362" t="str">
            <v>Tallied</v>
          </cell>
        </row>
        <row r="363">
          <cell r="B363">
            <v>46129</v>
          </cell>
          <cell r="K363">
            <v>0</v>
          </cell>
          <cell r="M363">
            <v>0</v>
          </cell>
          <cell r="P363">
            <v>3</v>
          </cell>
          <cell r="Q363" t="str">
            <v>Tallied</v>
          </cell>
        </row>
        <row r="364">
          <cell r="B364">
            <v>46129</v>
          </cell>
          <cell r="K364">
            <v>0</v>
          </cell>
          <cell r="M364">
            <v>0</v>
          </cell>
          <cell r="P364">
            <v>13683.47</v>
          </cell>
          <cell r="Q364" t="str">
            <v>Tallied</v>
          </cell>
        </row>
        <row r="365">
          <cell r="B365">
            <v>46129</v>
          </cell>
          <cell r="K365">
            <v>0</v>
          </cell>
          <cell r="M365">
            <v>0</v>
          </cell>
          <cell r="P365">
            <v>26507.02</v>
          </cell>
          <cell r="Q365" t="str">
            <v>Tallied</v>
          </cell>
        </row>
        <row r="366">
          <cell r="B366">
            <v>46129</v>
          </cell>
          <cell r="K366">
            <v>0</v>
          </cell>
          <cell r="M366">
            <v>0</v>
          </cell>
          <cell r="P366">
            <v>152714.59999999998</v>
          </cell>
          <cell r="Q366" t="str">
            <v>Tallied</v>
          </cell>
        </row>
        <row r="367">
          <cell r="B367">
            <v>46129</v>
          </cell>
          <cell r="K367">
            <v>0</v>
          </cell>
          <cell r="M367">
            <v>0</v>
          </cell>
          <cell r="P367">
            <v>469526.63999999996</v>
          </cell>
          <cell r="Q367" t="str">
            <v>Tallied</v>
          </cell>
        </row>
        <row r="368">
          <cell r="B368">
            <v>46129</v>
          </cell>
          <cell r="K368">
            <v>0</v>
          </cell>
          <cell r="M368">
            <v>0</v>
          </cell>
          <cell r="P368">
            <v>1639808.9000000001</v>
          </cell>
          <cell r="Q368" t="str">
            <v>Tallied</v>
          </cell>
        </row>
        <row r="369">
          <cell r="B369">
            <v>46129</v>
          </cell>
          <cell r="K369">
            <v>0</v>
          </cell>
          <cell r="M369">
            <v>0</v>
          </cell>
          <cell r="P369">
            <v>768991.08</v>
          </cell>
          <cell r="Q369" t="str">
            <v>Tallied</v>
          </cell>
        </row>
        <row r="370">
          <cell r="B370">
            <v>46129</v>
          </cell>
          <cell r="K370">
            <v>0</v>
          </cell>
          <cell r="M370">
            <v>0</v>
          </cell>
          <cell r="P370">
            <v>1694270.28</v>
          </cell>
          <cell r="Q370" t="str">
            <v>Tallied</v>
          </cell>
        </row>
        <row r="371">
          <cell r="B371">
            <v>46129</v>
          </cell>
          <cell r="K371">
            <v>0</v>
          </cell>
          <cell r="M371">
            <v>0</v>
          </cell>
          <cell r="P371">
            <v>533301.29999999993</v>
          </cell>
          <cell r="Q371" t="str">
            <v>Tallied</v>
          </cell>
        </row>
        <row r="372">
          <cell r="B372">
            <v>46129</v>
          </cell>
          <cell r="K372">
            <v>0</v>
          </cell>
          <cell r="M372">
            <v>0</v>
          </cell>
          <cell r="P372">
            <v>82235.48</v>
          </cell>
          <cell r="Q372" t="str">
            <v>Tallied</v>
          </cell>
        </row>
        <row r="373">
          <cell r="B373">
            <v>46129</v>
          </cell>
          <cell r="K373">
            <v>0</v>
          </cell>
          <cell r="M373">
            <v>0</v>
          </cell>
          <cell r="P373">
            <v>1935455.5</v>
          </cell>
          <cell r="Q373" t="str">
            <v>Tallied</v>
          </cell>
        </row>
        <row r="374">
          <cell r="B374">
            <v>46129</v>
          </cell>
          <cell r="K374">
            <v>0</v>
          </cell>
          <cell r="M374">
            <v>0</v>
          </cell>
          <cell r="P374">
            <v>947948.39999999991</v>
          </cell>
          <cell r="Q374" t="str">
            <v>Tallied</v>
          </cell>
        </row>
        <row r="375">
          <cell r="B375">
            <v>46129</v>
          </cell>
          <cell r="K375">
            <v>0</v>
          </cell>
          <cell r="M375">
            <v>0</v>
          </cell>
          <cell r="P375">
            <v>8290627.8899999997</v>
          </cell>
          <cell r="Q375" t="str">
            <v>Tallied</v>
          </cell>
        </row>
        <row r="376">
          <cell r="B376">
            <v>46129</v>
          </cell>
          <cell r="K376">
            <v>0</v>
          </cell>
          <cell r="M376">
            <v>0</v>
          </cell>
          <cell r="P376">
            <v>106017.12</v>
          </cell>
          <cell r="Q376" t="str">
            <v>Tallied</v>
          </cell>
        </row>
        <row r="377">
          <cell r="B377">
            <v>46129</v>
          </cell>
          <cell r="K377">
            <v>0</v>
          </cell>
          <cell r="M377">
            <v>0</v>
          </cell>
          <cell r="P377">
            <v>109720.1</v>
          </cell>
          <cell r="Q377" t="str">
            <v>Tallied</v>
          </cell>
        </row>
        <row r="378">
          <cell r="B378">
            <v>46129</v>
          </cell>
          <cell r="K378">
            <v>0</v>
          </cell>
          <cell r="M378">
            <v>0</v>
          </cell>
          <cell r="P378">
            <v>18</v>
          </cell>
          <cell r="Q378" t="str">
            <v>Tallied</v>
          </cell>
        </row>
        <row r="379">
          <cell r="B379">
            <v>46129</v>
          </cell>
          <cell r="K379">
            <v>0</v>
          </cell>
          <cell r="M379">
            <v>0</v>
          </cell>
          <cell r="P379">
            <v>362044.35</v>
          </cell>
          <cell r="Q379" t="str">
            <v>Tallied</v>
          </cell>
        </row>
        <row r="380">
          <cell r="B380">
            <v>46129</v>
          </cell>
          <cell r="K380">
            <v>0</v>
          </cell>
          <cell r="M380">
            <v>0</v>
          </cell>
          <cell r="P380">
            <v>3979.7000000000003</v>
          </cell>
          <cell r="Q380" t="str">
            <v>Tallied</v>
          </cell>
        </row>
        <row r="381">
          <cell r="B381">
            <v>46129</v>
          </cell>
          <cell r="K381">
            <v>0</v>
          </cell>
          <cell r="M381">
            <v>0</v>
          </cell>
          <cell r="P381">
            <v>12767431.92</v>
          </cell>
          <cell r="Q381" t="str">
            <v>Tallied</v>
          </cell>
        </row>
        <row r="382">
          <cell r="B382">
            <v>46129</v>
          </cell>
          <cell r="K382">
            <v>0</v>
          </cell>
          <cell r="M382">
            <v>0</v>
          </cell>
          <cell r="P382">
            <v>13</v>
          </cell>
          <cell r="Q382" t="str">
            <v>Tallied</v>
          </cell>
        </row>
        <row r="383">
          <cell r="B383">
            <v>46129</v>
          </cell>
          <cell r="K383">
            <v>0</v>
          </cell>
          <cell r="M383">
            <v>0</v>
          </cell>
          <cell r="P383">
            <v>924010.65</v>
          </cell>
          <cell r="Q383" t="str">
            <v>Tallied</v>
          </cell>
        </row>
        <row r="384">
          <cell r="B384">
            <v>46129</v>
          </cell>
          <cell r="K384">
            <v>0</v>
          </cell>
          <cell r="M384">
            <v>0</v>
          </cell>
          <cell r="P384">
            <v>51169.14</v>
          </cell>
          <cell r="Q384" t="str">
            <v>Tallied</v>
          </cell>
        </row>
        <row r="385">
          <cell r="B385">
            <v>46129</v>
          </cell>
          <cell r="K385">
            <v>0</v>
          </cell>
          <cell r="M385">
            <v>0</v>
          </cell>
          <cell r="P385">
            <v>110008.6</v>
          </cell>
          <cell r="Q385" t="str">
            <v>Tallied</v>
          </cell>
        </row>
        <row r="386">
          <cell r="B386">
            <v>46129</v>
          </cell>
          <cell r="K386">
            <v>0</v>
          </cell>
          <cell r="M386">
            <v>0</v>
          </cell>
          <cell r="P386">
            <v>130886.1</v>
          </cell>
          <cell r="Q386" t="str">
            <v>Tallied</v>
          </cell>
        </row>
        <row r="387">
          <cell r="B387">
            <v>46129</v>
          </cell>
          <cell r="K387">
            <v>0</v>
          </cell>
          <cell r="M387">
            <v>0</v>
          </cell>
          <cell r="P387">
            <v>31313.75</v>
          </cell>
          <cell r="Q387" t="str">
            <v>Tallied</v>
          </cell>
        </row>
        <row r="388">
          <cell r="B388">
            <v>46129</v>
          </cell>
          <cell r="K388">
            <v>0</v>
          </cell>
          <cell r="M388">
            <v>0</v>
          </cell>
          <cell r="P388">
            <v>244928.4</v>
          </cell>
          <cell r="Q388" t="str">
            <v>Tallied</v>
          </cell>
        </row>
        <row r="389">
          <cell r="B389">
            <v>46129</v>
          </cell>
          <cell r="K389">
            <v>0</v>
          </cell>
          <cell r="M389">
            <v>0</v>
          </cell>
          <cell r="P389">
            <v>91624.39</v>
          </cell>
          <cell r="Q389" t="str">
            <v>Tallied</v>
          </cell>
        </row>
        <row r="390">
          <cell r="B390">
            <v>46129</v>
          </cell>
          <cell r="K390">
            <v>0</v>
          </cell>
          <cell r="M390">
            <v>0</v>
          </cell>
          <cell r="P390">
            <v>4412.88</v>
          </cell>
          <cell r="Q390" t="str">
            <v>Tallied</v>
          </cell>
        </row>
        <row r="391">
          <cell r="B391">
            <v>46129</v>
          </cell>
          <cell r="K391">
            <v>0</v>
          </cell>
          <cell r="M391">
            <v>0</v>
          </cell>
          <cell r="P391">
            <v>79340.800000000003</v>
          </cell>
          <cell r="Q391" t="str">
            <v>Tallied</v>
          </cell>
        </row>
        <row r="392">
          <cell r="B392">
            <v>46129</v>
          </cell>
          <cell r="K392">
            <v>0</v>
          </cell>
          <cell r="M392">
            <v>0</v>
          </cell>
          <cell r="P392">
            <v>251946.97</v>
          </cell>
          <cell r="Q392" t="str">
            <v>Tallied</v>
          </cell>
        </row>
        <row r="393">
          <cell r="B393">
            <v>46129</v>
          </cell>
          <cell r="K393">
            <v>0</v>
          </cell>
          <cell r="M393">
            <v>0</v>
          </cell>
          <cell r="P393">
            <v>82319.61</v>
          </cell>
          <cell r="Q393" t="str">
            <v>Tallied</v>
          </cell>
        </row>
        <row r="394">
          <cell r="B394">
            <v>46129</v>
          </cell>
          <cell r="K394">
            <v>0</v>
          </cell>
          <cell r="M394">
            <v>0</v>
          </cell>
          <cell r="P394">
            <v>27271.27</v>
          </cell>
          <cell r="Q394" t="str">
            <v>Tallied</v>
          </cell>
        </row>
        <row r="395">
          <cell r="B395">
            <v>46129</v>
          </cell>
          <cell r="K395">
            <v>0</v>
          </cell>
          <cell r="M395">
            <v>0</v>
          </cell>
          <cell r="P395">
            <v>296300.98</v>
          </cell>
          <cell r="Q395" t="str">
            <v>Tallied</v>
          </cell>
        </row>
        <row r="396">
          <cell r="B396">
            <v>46129</v>
          </cell>
          <cell r="K396">
            <v>0</v>
          </cell>
          <cell r="M396">
            <v>0</v>
          </cell>
          <cell r="P396">
            <v>176024.55</v>
          </cell>
          <cell r="Q396" t="str">
            <v>Tallied</v>
          </cell>
        </row>
        <row r="397">
          <cell r="B397">
            <v>46129</v>
          </cell>
          <cell r="K397">
            <v>0</v>
          </cell>
          <cell r="M397">
            <v>0</v>
          </cell>
          <cell r="P397">
            <v>32987.480000000003</v>
          </cell>
          <cell r="Q397" t="str">
            <v>Tallied</v>
          </cell>
        </row>
        <row r="398">
          <cell r="B398">
            <v>46129</v>
          </cell>
          <cell r="K398">
            <v>0</v>
          </cell>
          <cell r="M398">
            <v>0</v>
          </cell>
          <cell r="P398">
            <v>35139.18</v>
          </cell>
          <cell r="Q398" t="str">
            <v>Tallied</v>
          </cell>
        </row>
        <row r="399">
          <cell r="B399">
            <v>46129</v>
          </cell>
          <cell r="K399">
            <v>0</v>
          </cell>
          <cell r="M399">
            <v>0</v>
          </cell>
          <cell r="P399">
            <v>100301.5</v>
          </cell>
          <cell r="Q399" t="str">
            <v>Tallied</v>
          </cell>
        </row>
        <row r="400">
          <cell r="B400">
            <v>46129</v>
          </cell>
          <cell r="K400">
            <v>0</v>
          </cell>
          <cell r="M400">
            <v>0</v>
          </cell>
          <cell r="P400">
            <v>71157.39</v>
          </cell>
          <cell r="Q400" t="str">
            <v>Tallied</v>
          </cell>
        </row>
        <row r="401">
          <cell r="B401">
            <v>46129</v>
          </cell>
          <cell r="K401">
            <v>0</v>
          </cell>
          <cell r="M401">
            <v>0</v>
          </cell>
          <cell r="P401">
            <v>179310.84999999998</v>
          </cell>
          <cell r="Q401" t="str">
            <v>Tallied</v>
          </cell>
        </row>
        <row r="402">
          <cell r="B402">
            <v>46129</v>
          </cell>
          <cell r="K402">
            <v>0</v>
          </cell>
          <cell r="M402">
            <v>0</v>
          </cell>
          <cell r="P402">
            <v>214451.68</v>
          </cell>
          <cell r="Q402" t="str">
            <v>Tallied</v>
          </cell>
        </row>
        <row r="403">
          <cell r="B403">
            <v>46129</v>
          </cell>
          <cell r="K403">
            <v>0</v>
          </cell>
          <cell r="M403">
            <v>0</v>
          </cell>
          <cell r="P403">
            <v>1193354.1599999999</v>
          </cell>
          <cell r="Q403" t="str">
            <v>Tallied</v>
          </cell>
        </row>
        <row r="404">
          <cell r="B404">
            <v>46129</v>
          </cell>
          <cell r="K404">
            <v>0</v>
          </cell>
          <cell r="M404">
            <v>0</v>
          </cell>
          <cell r="P404">
            <v>50947.59</v>
          </cell>
          <cell r="Q404" t="str">
            <v>Tallied</v>
          </cell>
        </row>
        <row r="405">
          <cell r="B405">
            <v>46129</v>
          </cell>
          <cell r="K405">
            <v>0</v>
          </cell>
          <cell r="M405">
            <v>0</v>
          </cell>
          <cell r="P405">
            <v>7482.91</v>
          </cell>
          <cell r="Q405" t="str">
            <v>Tallied</v>
          </cell>
        </row>
        <row r="406">
          <cell r="B406">
            <v>46129</v>
          </cell>
          <cell r="K406">
            <v>0</v>
          </cell>
          <cell r="M406">
            <v>0</v>
          </cell>
          <cell r="P406">
            <v>200</v>
          </cell>
          <cell r="Q406" t="str">
            <v>Tallied</v>
          </cell>
        </row>
        <row r="407">
          <cell r="B407">
            <v>46129</v>
          </cell>
          <cell r="K407">
            <v>0</v>
          </cell>
          <cell r="M407">
            <v>0</v>
          </cell>
          <cell r="P407">
            <v>39918.04</v>
          </cell>
          <cell r="Q407" t="str">
            <v>Tallied</v>
          </cell>
        </row>
        <row r="408">
          <cell r="B408">
            <v>46129</v>
          </cell>
          <cell r="K408">
            <v>0</v>
          </cell>
          <cell r="M408">
            <v>0</v>
          </cell>
          <cell r="P408">
            <v>45636.84</v>
          </cell>
          <cell r="Q408" t="str">
            <v>Tallied</v>
          </cell>
        </row>
        <row r="409">
          <cell r="B409">
            <v>46129</v>
          </cell>
          <cell r="K409">
            <v>0</v>
          </cell>
          <cell r="M409">
            <v>0</v>
          </cell>
          <cell r="P409">
            <v>17187.04</v>
          </cell>
          <cell r="Q409" t="str">
            <v>Tallied</v>
          </cell>
        </row>
        <row r="410">
          <cell r="B410">
            <v>46129</v>
          </cell>
          <cell r="K410">
            <v>0</v>
          </cell>
          <cell r="M410">
            <v>0</v>
          </cell>
          <cell r="P410">
            <v>46824.299999999996</v>
          </cell>
          <cell r="Q410" t="str">
            <v>Tallied</v>
          </cell>
        </row>
        <row r="411">
          <cell r="B411">
            <v>46129</v>
          </cell>
          <cell r="K411">
            <v>0</v>
          </cell>
          <cell r="M411">
            <v>0</v>
          </cell>
          <cell r="P411">
            <v>109225.98000000001</v>
          </cell>
          <cell r="Q411" t="str">
            <v>Tallied</v>
          </cell>
        </row>
        <row r="412">
          <cell r="B412">
            <v>46129</v>
          </cell>
          <cell r="K412">
            <v>0</v>
          </cell>
          <cell r="M412">
            <v>0</v>
          </cell>
          <cell r="P412">
            <v>1327528.6400000001</v>
          </cell>
          <cell r="Q412" t="str">
            <v>Tallied</v>
          </cell>
        </row>
        <row r="413">
          <cell r="B413">
            <v>46130</v>
          </cell>
          <cell r="K413">
            <v>0</v>
          </cell>
          <cell r="M413">
            <v>0</v>
          </cell>
          <cell r="P413">
            <v>333318.95999999996</v>
          </cell>
          <cell r="Q413" t="str">
            <v>Tallied</v>
          </cell>
        </row>
        <row r="414">
          <cell r="B414">
            <v>46130</v>
          </cell>
          <cell r="K414">
            <v>0</v>
          </cell>
          <cell r="M414">
            <v>0</v>
          </cell>
          <cell r="P414">
            <v>838827</v>
          </cell>
          <cell r="Q414" t="str">
            <v>Tallied</v>
          </cell>
        </row>
        <row r="415">
          <cell r="B415">
            <v>46130</v>
          </cell>
          <cell r="K415">
            <v>0</v>
          </cell>
          <cell r="M415">
            <v>0</v>
          </cell>
          <cell r="P415">
            <v>660867.13</v>
          </cell>
          <cell r="Q415" t="str">
            <v>Tallied</v>
          </cell>
        </row>
        <row r="416">
          <cell r="B416">
            <v>46130</v>
          </cell>
          <cell r="K416" t="str">
            <v>`</v>
          </cell>
          <cell r="M416">
            <v>0</v>
          </cell>
          <cell r="P416">
            <v>42836.94</v>
          </cell>
          <cell r="Q416" t="str">
            <v>Tallied</v>
          </cell>
        </row>
        <row r="417">
          <cell r="B417">
            <v>46130</v>
          </cell>
          <cell r="K417">
            <v>0</v>
          </cell>
          <cell r="M417">
            <v>0</v>
          </cell>
          <cell r="P417">
            <v>1</v>
          </cell>
          <cell r="Q417" t="str">
            <v>Tallied</v>
          </cell>
        </row>
        <row r="418">
          <cell r="B418">
            <v>46130</v>
          </cell>
          <cell r="K418">
            <v>0</v>
          </cell>
          <cell r="M418">
            <v>0</v>
          </cell>
          <cell r="P418">
            <v>30419.820000000003</v>
          </cell>
          <cell r="Q418" t="str">
            <v>Tallied</v>
          </cell>
        </row>
        <row r="419">
          <cell r="B419">
            <v>46130</v>
          </cell>
          <cell r="K419">
            <v>0</v>
          </cell>
          <cell r="M419">
            <v>0</v>
          </cell>
          <cell r="P419">
            <v>22150.71</v>
          </cell>
          <cell r="Q419" t="str">
            <v>Tallied</v>
          </cell>
        </row>
        <row r="420">
          <cell r="B420">
            <v>46130</v>
          </cell>
          <cell r="K420">
            <v>0</v>
          </cell>
          <cell r="M420">
            <v>0</v>
          </cell>
          <cell r="P420">
            <v>38400</v>
          </cell>
          <cell r="Q420" t="str">
            <v>Tallied</v>
          </cell>
        </row>
        <row r="421">
          <cell r="B421">
            <v>46130</v>
          </cell>
          <cell r="K421">
            <v>0</v>
          </cell>
          <cell r="M421">
            <v>0</v>
          </cell>
          <cell r="P421">
            <v>8763</v>
          </cell>
          <cell r="Q421" t="str">
            <v>Tallied</v>
          </cell>
        </row>
        <row r="422">
          <cell r="B422">
            <v>46130</v>
          </cell>
          <cell r="K422">
            <v>0</v>
          </cell>
          <cell r="M422">
            <v>0</v>
          </cell>
          <cell r="P422">
            <v>8120.16</v>
          </cell>
          <cell r="Q422" t="str">
            <v>Tallied</v>
          </cell>
        </row>
        <row r="423">
          <cell r="B423">
            <v>46130</v>
          </cell>
          <cell r="K423">
            <v>0</v>
          </cell>
          <cell r="M423">
            <v>0</v>
          </cell>
          <cell r="P423">
            <v>1755</v>
          </cell>
          <cell r="Q423" t="str">
            <v>Tallied</v>
          </cell>
        </row>
        <row r="424">
          <cell r="B424">
            <v>46130</v>
          </cell>
          <cell r="K424">
            <v>0</v>
          </cell>
          <cell r="M424">
            <v>0</v>
          </cell>
          <cell r="P424">
            <v>12954</v>
          </cell>
          <cell r="Q424" t="str">
            <v>Tallied</v>
          </cell>
        </row>
        <row r="425">
          <cell r="B425">
            <v>46130</v>
          </cell>
          <cell r="K425">
            <v>0</v>
          </cell>
          <cell r="M425">
            <v>0</v>
          </cell>
          <cell r="P425">
            <v>18304</v>
          </cell>
          <cell r="Q425" t="str">
            <v>Tallied</v>
          </cell>
        </row>
        <row r="426">
          <cell r="B426">
            <v>46130</v>
          </cell>
          <cell r="K426">
            <v>0</v>
          </cell>
          <cell r="M426">
            <v>0</v>
          </cell>
          <cell r="P426">
            <v>10285</v>
          </cell>
          <cell r="Q426" t="str">
            <v>Tallied</v>
          </cell>
        </row>
        <row r="427">
          <cell r="B427">
            <v>46130</v>
          </cell>
          <cell r="K427">
            <v>0</v>
          </cell>
          <cell r="M427">
            <v>0</v>
          </cell>
          <cell r="P427">
            <v>2704</v>
          </cell>
          <cell r="Q427" t="str">
            <v>Tallied</v>
          </cell>
        </row>
        <row r="428">
          <cell r="B428">
            <v>46130</v>
          </cell>
          <cell r="K428">
            <v>0</v>
          </cell>
          <cell r="M428">
            <v>0</v>
          </cell>
          <cell r="P428">
            <v>2667</v>
          </cell>
          <cell r="Q428" t="str">
            <v>Tallied</v>
          </cell>
        </row>
        <row r="429">
          <cell r="B429">
            <v>46130</v>
          </cell>
          <cell r="K429">
            <v>0</v>
          </cell>
          <cell r="M429">
            <v>0</v>
          </cell>
          <cell r="P429">
            <v>8550</v>
          </cell>
          <cell r="Q429" t="str">
            <v>Tallied</v>
          </cell>
        </row>
        <row r="430">
          <cell r="B430">
            <v>46130</v>
          </cell>
          <cell r="K430">
            <v>0</v>
          </cell>
          <cell r="M430">
            <v>0</v>
          </cell>
          <cell r="P430">
            <v>30859.4</v>
          </cell>
          <cell r="Q430" t="str">
            <v>Tallied</v>
          </cell>
        </row>
        <row r="431">
          <cell r="B431">
            <v>46130</v>
          </cell>
          <cell r="K431">
            <v>0</v>
          </cell>
          <cell r="M431">
            <v>0</v>
          </cell>
          <cell r="P431">
            <v>9600</v>
          </cell>
          <cell r="Q431" t="str">
            <v>Tallied</v>
          </cell>
        </row>
        <row r="432">
          <cell r="B432">
            <v>46130</v>
          </cell>
          <cell r="K432">
            <v>0</v>
          </cell>
          <cell r="M432">
            <v>0</v>
          </cell>
          <cell r="P432">
            <v>7387.7999999999993</v>
          </cell>
          <cell r="Q432" t="str">
            <v>Tallied</v>
          </cell>
        </row>
        <row r="433">
          <cell r="B433">
            <v>46130</v>
          </cell>
          <cell r="K433">
            <v>0</v>
          </cell>
          <cell r="M433">
            <v>0</v>
          </cell>
          <cell r="P433">
            <v>109491.46</v>
          </cell>
          <cell r="Q433" t="str">
            <v>Tallied</v>
          </cell>
        </row>
        <row r="434">
          <cell r="B434">
            <v>46130</v>
          </cell>
          <cell r="K434">
            <v>0</v>
          </cell>
          <cell r="M434">
            <v>0</v>
          </cell>
          <cell r="P434">
            <v>4042.48</v>
          </cell>
          <cell r="Q434" t="str">
            <v>Tallied</v>
          </cell>
        </row>
        <row r="435">
          <cell r="B435">
            <v>46130</v>
          </cell>
          <cell r="K435">
            <v>0</v>
          </cell>
          <cell r="M435">
            <v>0</v>
          </cell>
          <cell r="P435">
            <v>137462.44</v>
          </cell>
          <cell r="Q435" t="str">
            <v>Tallied</v>
          </cell>
        </row>
        <row r="436">
          <cell r="B436">
            <v>46130</v>
          </cell>
          <cell r="K436">
            <v>0</v>
          </cell>
          <cell r="M436">
            <v>0</v>
          </cell>
          <cell r="P436">
            <v>11954.97</v>
          </cell>
          <cell r="Q436" t="str">
            <v>Tallied</v>
          </cell>
        </row>
        <row r="437">
          <cell r="B437">
            <v>46130</v>
          </cell>
          <cell r="K437">
            <v>0</v>
          </cell>
          <cell r="M437">
            <v>0</v>
          </cell>
          <cell r="P437">
            <v>5882.52</v>
          </cell>
          <cell r="Q437" t="str">
            <v>Tallied</v>
          </cell>
        </row>
        <row r="438">
          <cell r="B438">
            <v>46130</v>
          </cell>
          <cell r="K438">
            <v>0</v>
          </cell>
          <cell r="M438">
            <v>0</v>
          </cell>
          <cell r="P438">
            <v>7115.48</v>
          </cell>
          <cell r="Q438" t="str">
            <v>Tallied</v>
          </cell>
        </row>
        <row r="439">
          <cell r="B439">
            <v>46130</v>
          </cell>
          <cell r="K439">
            <v>0</v>
          </cell>
          <cell r="M439">
            <v>0</v>
          </cell>
          <cell r="P439">
            <v>2388.5099999999998</v>
          </cell>
          <cell r="Q439" t="str">
            <v>Tallied</v>
          </cell>
        </row>
        <row r="440">
          <cell r="B440">
            <v>46130</v>
          </cell>
          <cell r="K440">
            <v>0</v>
          </cell>
          <cell r="M440">
            <v>0</v>
          </cell>
          <cell r="P440">
            <v>4850.16</v>
          </cell>
          <cell r="Q440" t="str">
            <v>Tallied</v>
          </cell>
        </row>
        <row r="441">
          <cell r="B441">
            <v>46130</v>
          </cell>
          <cell r="K441">
            <v>0</v>
          </cell>
          <cell r="M441">
            <v>0</v>
          </cell>
          <cell r="P441">
            <v>4756769.4000000004</v>
          </cell>
          <cell r="Q441" t="str">
            <v>Tallied</v>
          </cell>
        </row>
        <row r="442">
          <cell r="B442">
            <v>46130</v>
          </cell>
          <cell r="K442">
            <v>0</v>
          </cell>
          <cell r="M442">
            <v>0</v>
          </cell>
          <cell r="P442">
            <v>65046.84</v>
          </cell>
          <cell r="Q442" t="str">
            <v>Tallied</v>
          </cell>
        </row>
        <row r="443">
          <cell r="B443">
            <v>46130</v>
          </cell>
          <cell r="K443">
            <v>0</v>
          </cell>
          <cell r="M443">
            <v>0</v>
          </cell>
          <cell r="P443">
            <v>28989.84</v>
          </cell>
          <cell r="Q443" t="str">
            <v>Tallied</v>
          </cell>
        </row>
        <row r="444">
          <cell r="B444">
            <v>46130</v>
          </cell>
          <cell r="K444">
            <v>0</v>
          </cell>
          <cell r="M444">
            <v>0</v>
          </cell>
          <cell r="P444">
            <v>159583.32</v>
          </cell>
          <cell r="Q444" t="str">
            <v>Tallied</v>
          </cell>
        </row>
        <row r="445">
          <cell r="B445">
            <v>46130</v>
          </cell>
          <cell r="K445">
            <v>0</v>
          </cell>
          <cell r="M445">
            <v>0</v>
          </cell>
          <cell r="P445">
            <v>83828.28</v>
          </cell>
          <cell r="Q445" t="str">
            <v>Tallied</v>
          </cell>
        </row>
        <row r="446">
          <cell r="B446">
            <v>46130</v>
          </cell>
          <cell r="K446">
            <v>0</v>
          </cell>
          <cell r="M446">
            <v>0</v>
          </cell>
          <cell r="P446">
            <v>226098</v>
          </cell>
          <cell r="Q446" t="str">
            <v>Tallied</v>
          </cell>
        </row>
        <row r="447">
          <cell r="B447">
            <v>46130</v>
          </cell>
          <cell r="K447">
            <v>0</v>
          </cell>
          <cell r="M447">
            <v>0</v>
          </cell>
          <cell r="P447">
            <v>302952.96000000002</v>
          </cell>
          <cell r="Q447" t="str">
            <v>Tallied</v>
          </cell>
        </row>
        <row r="448">
          <cell r="B448">
            <v>46130</v>
          </cell>
          <cell r="K448">
            <v>0</v>
          </cell>
          <cell r="M448">
            <v>0</v>
          </cell>
          <cell r="P448">
            <v>179463.36000000002</v>
          </cell>
          <cell r="Q448" t="str">
            <v>Tallied</v>
          </cell>
        </row>
        <row r="449">
          <cell r="B449">
            <v>46130</v>
          </cell>
          <cell r="K449">
            <v>0</v>
          </cell>
          <cell r="M449">
            <v>0</v>
          </cell>
          <cell r="P449">
            <v>120204</v>
          </cell>
          <cell r="Q449" t="str">
            <v>Tallied</v>
          </cell>
        </row>
        <row r="450">
          <cell r="B450">
            <v>46130</v>
          </cell>
          <cell r="K450">
            <v>0</v>
          </cell>
          <cell r="M450">
            <v>0</v>
          </cell>
          <cell r="P450">
            <v>41141.760000000002</v>
          </cell>
          <cell r="Q450" t="str">
            <v>Tallied</v>
          </cell>
        </row>
        <row r="451">
          <cell r="B451">
            <v>46130</v>
          </cell>
          <cell r="K451">
            <v>0</v>
          </cell>
          <cell r="M451">
            <v>0</v>
          </cell>
          <cell r="P451">
            <v>60661.439999999995</v>
          </cell>
          <cell r="Q451" t="str">
            <v>Tallied</v>
          </cell>
        </row>
        <row r="452">
          <cell r="B452">
            <v>46130</v>
          </cell>
          <cell r="K452">
            <v>0</v>
          </cell>
          <cell r="M452">
            <v>0</v>
          </cell>
          <cell r="P452">
            <v>42120</v>
          </cell>
          <cell r="Q452" t="str">
            <v>Tallied</v>
          </cell>
        </row>
        <row r="453">
          <cell r="B453">
            <v>46130</v>
          </cell>
          <cell r="K453">
            <v>0</v>
          </cell>
          <cell r="M453">
            <v>0</v>
          </cell>
          <cell r="P453">
            <v>2899.92</v>
          </cell>
          <cell r="Q453" t="str">
            <v>Tallied</v>
          </cell>
        </row>
        <row r="454">
          <cell r="B454">
            <v>46130</v>
          </cell>
          <cell r="K454">
            <v>0</v>
          </cell>
          <cell r="M454">
            <v>0</v>
          </cell>
          <cell r="P454">
            <v>43290.239999999998</v>
          </cell>
          <cell r="Q454" t="str">
            <v>Tallied</v>
          </cell>
        </row>
        <row r="455">
          <cell r="B455">
            <v>46130</v>
          </cell>
          <cell r="K455">
            <v>0</v>
          </cell>
          <cell r="M455">
            <v>0</v>
          </cell>
          <cell r="P455">
            <v>38020.799999999996</v>
          </cell>
          <cell r="Q455" t="str">
            <v>Tallied</v>
          </cell>
        </row>
        <row r="456">
          <cell r="B456">
            <v>46130</v>
          </cell>
          <cell r="K456">
            <v>0</v>
          </cell>
          <cell r="M456">
            <v>0</v>
          </cell>
          <cell r="P456">
            <v>8087.0399999999991</v>
          </cell>
          <cell r="Q456" t="str">
            <v>Tallied</v>
          </cell>
        </row>
        <row r="457">
          <cell r="B457">
            <v>46130</v>
          </cell>
          <cell r="K457">
            <v>0</v>
          </cell>
          <cell r="M457">
            <v>0</v>
          </cell>
          <cell r="P457">
            <v>175462.80000000002</v>
          </cell>
          <cell r="Q457" t="str">
            <v>Tallied</v>
          </cell>
        </row>
        <row r="458">
          <cell r="B458">
            <v>46130</v>
          </cell>
          <cell r="K458">
            <v>0</v>
          </cell>
          <cell r="M458">
            <v>0</v>
          </cell>
          <cell r="P458">
            <v>17383.86</v>
          </cell>
          <cell r="Q458" t="str">
            <v>Tallied</v>
          </cell>
        </row>
        <row r="459">
          <cell r="B459">
            <v>46130</v>
          </cell>
          <cell r="K459">
            <v>0</v>
          </cell>
          <cell r="M459">
            <v>0</v>
          </cell>
          <cell r="P459">
            <v>105371.28</v>
          </cell>
          <cell r="Q459" t="str">
            <v>Tallied</v>
          </cell>
        </row>
        <row r="460">
          <cell r="B460">
            <v>46130</v>
          </cell>
          <cell r="K460">
            <v>0</v>
          </cell>
          <cell r="M460">
            <v>0</v>
          </cell>
          <cell r="P460">
            <v>298539.53999999998</v>
          </cell>
          <cell r="Q460" t="str">
            <v>Tallied</v>
          </cell>
        </row>
        <row r="461">
          <cell r="B461">
            <v>46132</v>
          </cell>
          <cell r="K461">
            <v>0</v>
          </cell>
          <cell r="M461">
            <v>0</v>
          </cell>
          <cell r="P461">
            <v>1013782.5</v>
          </cell>
          <cell r="Q461" t="str">
            <v>Tallied</v>
          </cell>
        </row>
        <row r="462">
          <cell r="B462">
            <v>46132</v>
          </cell>
          <cell r="K462">
            <v>0</v>
          </cell>
          <cell r="M462">
            <v>0</v>
          </cell>
          <cell r="P462">
            <v>5877</v>
          </cell>
          <cell r="Q462" t="str">
            <v>Tallied</v>
          </cell>
        </row>
        <row r="463">
          <cell r="B463">
            <v>46132</v>
          </cell>
          <cell r="K463">
            <v>0</v>
          </cell>
          <cell r="M463">
            <v>0</v>
          </cell>
          <cell r="P463">
            <v>1178692.92</v>
          </cell>
          <cell r="Q463" t="str">
            <v>Tallied</v>
          </cell>
        </row>
        <row r="464">
          <cell r="B464">
            <v>46132</v>
          </cell>
          <cell r="K464">
            <v>0</v>
          </cell>
          <cell r="M464">
            <v>0</v>
          </cell>
          <cell r="P464">
            <v>433550.88</v>
          </cell>
          <cell r="Q464" t="str">
            <v>Tallied</v>
          </cell>
        </row>
        <row r="465">
          <cell r="B465">
            <v>46132</v>
          </cell>
          <cell r="K465">
            <v>0</v>
          </cell>
          <cell r="M465">
            <v>0</v>
          </cell>
          <cell r="P465">
            <v>580849.5</v>
          </cell>
          <cell r="Q465" t="str">
            <v>Tallied</v>
          </cell>
        </row>
        <row r="466">
          <cell r="B466">
            <v>46132</v>
          </cell>
          <cell r="K466">
            <v>0</v>
          </cell>
          <cell r="M466">
            <v>0</v>
          </cell>
          <cell r="P466">
            <v>219882.59999999998</v>
          </cell>
          <cell r="Q466" t="str">
            <v>Tallied</v>
          </cell>
        </row>
        <row r="467">
          <cell r="B467">
            <v>46132</v>
          </cell>
          <cell r="K467">
            <v>0</v>
          </cell>
          <cell r="M467">
            <v>0</v>
          </cell>
          <cell r="P467">
            <v>37395</v>
          </cell>
          <cell r="Q467" t="str">
            <v>Tallied</v>
          </cell>
        </row>
        <row r="468">
          <cell r="B468">
            <v>46132</v>
          </cell>
          <cell r="K468">
            <v>0</v>
          </cell>
          <cell r="M468">
            <v>0</v>
          </cell>
          <cell r="P468">
            <v>21082.32</v>
          </cell>
          <cell r="Q468" t="str">
            <v>Tallied</v>
          </cell>
        </row>
        <row r="469">
          <cell r="B469">
            <v>46132</v>
          </cell>
          <cell r="K469">
            <v>0</v>
          </cell>
          <cell r="M469">
            <v>0</v>
          </cell>
          <cell r="P469">
            <v>9144.9</v>
          </cell>
          <cell r="Q469" t="str">
            <v>Tallied</v>
          </cell>
        </row>
        <row r="470">
          <cell r="B470">
            <v>46132</v>
          </cell>
          <cell r="K470">
            <v>0</v>
          </cell>
          <cell r="M470">
            <v>0</v>
          </cell>
          <cell r="P470">
            <v>29849.4</v>
          </cell>
          <cell r="Q470" t="str">
            <v>Tallied</v>
          </cell>
        </row>
        <row r="471">
          <cell r="B471">
            <v>46132</v>
          </cell>
          <cell r="K471">
            <v>0</v>
          </cell>
          <cell r="M471">
            <v>0</v>
          </cell>
          <cell r="P471">
            <v>13328.64</v>
          </cell>
          <cell r="Q471" t="str">
            <v>Tallied</v>
          </cell>
        </row>
        <row r="472">
          <cell r="B472">
            <v>46132</v>
          </cell>
          <cell r="K472">
            <v>0</v>
          </cell>
          <cell r="M472">
            <v>0</v>
          </cell>
          <cell r="P472">
            <v>22603.160000000003</v>
          </cell>
          <cell r="Q472" t="str">
            <v>Tallied</v>
          </cell>
        </row>
        <row r="473">
          <cell r="B473">
            <v>46132</v>
          </cell>
          <cell r="K473">
            <v>0</v>
          </cell>
          <cell r="M473">
            <v>0</v>
          </cell>
          <cell r="P473">
            <v>16998</v>
          </cell>
          <cell r="Q473" t="str">
            <v>Tallied</v>
          </cell>
        </row>
        <row r="474">
          <cell r="B474">
            <v>46132</v>
          </cell>
          <cell r="K474">
            <v>0</v>
          </cell>
          <cell r="M474">
            <v>0</v>
          </cell>
          <cell r="P474">
            <v>13619.76</v>
          </cell>
          <cell r="Q474" t="str">
            <v>Tallied</v>
          </cell>
        </row>
        <row r="475">
          <cell r="B475">
            <v>46132</v>
          </cell>
          <cell r="K475">
            <v>0</v>
          </cell>
          <cell r="M475">
            <v>0</v>
          </cell>
          <cell r="P475">
            <v>121142.76</v>
          </cell>
          <cell r="Q475" t="str">
            <v>Tallied</v>
          </cell>
        </row>
        <row r="476">
          <cell r="B476">
            <v>46132</v>
          </cell>
          <cell r="K476">
            <v>0</v>
          </cell>
          <cell r="M476">
            <v>0</v>
          </cell>
          <cell r="P476">
            <v>145491.51999999999</v>
          </cell>
          <cell r="Q476" t="str">
            <v>Tallied</v>
          </cell>
        </row>
        <row r="477">
          <cell r="B477">
            <v>46132</v>
          </cell>
          <cell r="K477">
            <v>0</v>
          </cell>
          <cell r="M477">
            <v>0</v>
          </cell>
          <cell r="P477">
            <v>60432.52</v>
          </cell>
          <cell r="Q477" t="str">
            <v>Tallied</v>
          </cell>
        </row>
        <row r="478">
          <cell r="B478">
            <v>46132</v>
          </cell>
          <cell r="K478">
            <v>0</v>
          </cell>
          <cell r="M478">
            <v>0</v>
          </cell>
          <cell r="P478">
            <v>117704.28</v>
          </cell>
          <cell r="Q478" t="str">
            <v>Tallied</v>
          </cell>
        </row>
        <row r="479">
          <cell r="B479">
            <v>46132</v>
          </cell>
          <cell r="K479">
            <v>0</v>
          </cell>
          <cell r="M479">
            <v>0</v>
          </cell>
          <cell r="P479">
            <v>283491.36000000004</v>
          </cell>
          <cell r="Q479" t="str">
            <v>Tallied</v>
          </cell>
        </row>
        <row r="480">
          <cell r="B480">
            <v>46132</v>
          </cell>
          <cell r="K480">
            <v>0</v>
          </cell>
          <cell r="M480">
            <v>0</v>
          </cell>
          <cell r="P480">
            <v>69450.240000000005</v>
          </cell>
          <cell r="Q480" t="str">
            <v>Tallied</v>
          </cell>
        </row>
        <row r="481">
          <cell r="B481">
            <v>46132</v>
          </cell>
          <cell r="K481">
            <v>0</v>
          </cell>
          <cell r="M481">
            <v>0</v>
          </cell>
          <cell r="P481">
            <v>61209.72</v>
          </cell>
          <cell r="Q481" t="str">
            <v>Tallied</v>
          </cell>
        </row>
        <row r="482">
          <cell r="B482">
            <v>46132</v>
          </cell>
          <cell r="K482">
            <v>0</v>
          </cell>
          <cell r="M482">
            <v>0</v>
          </cell>
          <cell r="P482">
            <v>97211.4</v>
          </cell>
          <cell r="Q482" t="str">
            <v>Tallied</v>
          </cell>
        </row>
        <row r="483">
          <cell r="B483">
            <v>46132</v>
          </cell>
          <cell r="K483">
            <v>0</v>
          </cell>
          <cell r="M483">
            <v>0</v>
          </cell>
          <cell r="P483">
            <v>9224.0400000000009</v>
          </cell>
          <cell r="Q483" t="str">
            <v>Tallied</v>
          </cell>
        </row>
        <row r="484">
          <cell r="B484">
            <v>46132</v>
          </cell>
          <cell r="K484">
            <v>0</v>
          </cell>
          <cell r="M484">
            <v>0</v>
          </cell>
          <cell r="P484">
            <v>831317.76</v>
          </cell>
          <cell r="Q484" t="str">
            <v>Tallied</v>
          </cell>
        </row>
        <row r="485">
          <cell r="B485">
            <v>46132</v>
          </cell>
          <cell r="K485">
            <v>0</v>
          </cell>
          <cell r="M485">
            <v>0</v>
          </cell>
          <cell r="P485">
            <v>329414.39999999997</v>
          </cell>
          <cell r="Q485" t="str">
            <v>Tallied</v>
          </cell>
        </row>
        <row r="486">
          <cell r="B486">
            <v>46132</v>
          </cell>
          <cell r="K486">
            <v>0</v>
          </cell>
          <cell r="M486">
            <v>0</v>
          </cell>
          <cell r="P486">
            <v>707227.32</v>
          </cell>
          <cell r="Q486" t="str">
            <v>Tallied</v>
          </cell>
        </row>
        <row r="487">
          <cell r="B487">
            <v>46132</v>
          </cell>
          <cell r="K487">
            <v>0</v>
          </cell>
          <cell r="M487">
            <v>0</v>
          </cell>
          <cell r="P487">
            <v>746028</v>
          </cell>
          <cell r="Q487" t="str">
            <v>Tallied</v>
          </cell>
        </row>
        <row r="488">
          <cell r="B488">
            <v>46132</v>
          </cell>
          <cell r="K488">
            <v>0</v>
          </cell>
          <cell r="M488">
            <v>0</v>
          </cell>
          <cell r="P488">
            <v>814419.84</v>
          </cell>
          <cell r="Q488" t="str">
            <v>Tallied</v>
          </cell>
        </row>
        <row r="489">
          <cell r="B489">
            <v>46132</v>
          </cell>
          <cell r="K489">
            <v>0</v>
          </cell>
          <cell r="M489">
            <v>0</v>
          </cell>
          <cell r="P489">
            <v>4659</v>
          </cell>
          <cell r="Q489" t="str">
            <v>Tallied</v>
          </cell>
        </row>
        <row r="490">
          <cell r="B490">
            <v>46132</v>
          </cell>
          <cell r="K490">
            <v>0</v>
          </cell>
          <cell r="M490">
            <v>0</v>
          </cell>
          <cell r="P490">
            <v>630679.68000000005</v>
          </cell>
          <cell r="Q490" t="str">
            <v>Tallied</v>
          </cell>
        </row>
        <row r="491">
          <cell r="B491">
            <v>46132</v>
          </cell>
          <cell r="K491">
            <v>0</v>
          </cell>
          <cell r="M491">
            <v>0</v>
          </cell>
          <cell r="P491">
            <v>754935.24</v>
          </cell>
          <cell r="Q491" t="str">
            <v>Tallied</v>
          </cell>
        </row>
        <row r="492">
          <cell r="B492">
            <v>46132</v>
          </cell>
          <cell r="K492">
            <v>0</v>
          </cell>
          <cell r="M492">
            <v>0</v>
          </cell>
          <cell r="P492">
            <v>840572.16</v>
          </cell>
          <cell r="Q492" t="str">
            <v>Tallied</v>
          </cell>
        </row>
        <row r="493">
          <cell r="B493">
            <v>46132</v>
          </cell>
          <cell r="K493">
            <v>0</v>
          </cell>
          <cell r="M493">
            <v>0</v>
          </cell>
          <cell r="P493">
            <v>736603.2</v>
          </cell>
          <cell r="Q493" t="str">
            <v>Tallied</v>
          </cell>
        </row>
        <row r="494">
          <cell r="B494">
            <v>46132</v>
          </cell>
          <cell r="K494">
            <v>0</v>
          </cell>
          <cell r="M494">
            <v>0</v>
          </cell>
          <cell r="P494">
            <v>231660</v>
          </cell>
          <cell r="Q494" t="str">
            <v>Tallied</v>
          </cell>
        </row>
        <row r="495">
          <cell r="B495">
            <v>46132</v>
          </cell>
          <cell r="K495">
            <v>0</v>
          </cell>
          <cell r="M495">
            <v>0</v>
          </cell>
          <cell r="P495">
            <v>15949.56</v>
          </cell>
          <cell r="Q495" t="str">
            <v>Tallied</v>
          </cell>
        </row>
        <row r="496">
          <cell r="B496">
            <v>46132</v>
          </cell>
          <cell r="K496">
            <v>0</v>
          </cell>
          <cell r="M496">
            <v>0</v>
          </cell>
          <cell r="P496">
            <v>13828.32</v>
          </cell>
          <cell r="Q496" t="str">
            <v>Tallied</v>
          </cell>
        </row>
        <row r="497">
          <cell r="B497">
            <v>46132</v>
          </cell>
          <cell r="K497">
            <v>0</v>
          </cell>
          <cell r="M497">
            <v>0</v>
          </cell>
          <cell r="P497">
            <v>980.76</v>
          </cell>
          <cell r="Q497" t="str">
            <v>Tallied</v>
          </cell>
        </row>
        <row r="498">
          <cell r="B498">
            <v>46132</v>
          </cell>
          <cell r="K498">
            <v>0</v>
          </cell>
          <cell r="M498">
            <v>0</v>
          </cell>
          <cell r="P498">
            <v>20565.599999999999</v>
          </cell>
          <cell r="Q498" t="str">
            <v>Tallied</v>
          </cell>
        </row>
        <row r="499">
          <cell r="B499">
            <v>46132</v>
          </cell>
          <cell r="K499">
            <v>0</v>
          </cell>
          <cell r="M499">
            <v>0</v>
          </cell>
          <cell r="P499">
            <v>13413.6</v>
          </cell>
          <cell r="Q499" t="str">
            <v>Tallied</v>
          </cell>
        </row>
        <row r="500">
          <cell r="B500">
            <v>46132</v>
          </cell>
          <cell r="K500">
            <v>0</v>
          </cell>
          <cell r="M500">
            <v>0</v>
          </cell>
          <cell r="P500">
            <v>1282.3799999999999</v>
          </cell>
          <cell r="Q500" t="str">
            <v>Tallied</v>
          </cell>
        </row>
        <row r="501">
          <cell r="B501">
            <v>46132</v>
          </cell>
          <cell r="K501">
            <v>0</v>
          </cell>
          <cell r="M501">
            <v>0</v>
          </cell>
          <cell r="P501">
            <v>73309.8</v>
          </cell>
          <cell r="Q501" t="str">
            <v>Tallied</v>
          </cell>
        </row>
        <row r="502">
          <cell r="B502">
            <v>46132</v>
          </cell>
          <cell r="K502">
            <v>0</v>
          </cell>
          <cell r="M502">
            <v>0</v>
          </cell>
          <cell r="P502">
            <v>26606.880000000001</v>
          </cell>
          <cell r="Q502" t="str">
            <v>Tallied</v>
          </cell>
        </row>
        <row r="503">
          <cell r="B503">
            <v>46132</v>
          </cell>
          <cell r="K503">
            <v>0</v>
          </cell>
          <cell r="M503">
            <v>0</v>
          </cell>
          <cell r="P503">
            <v>167219.63999999998</v>
          </cell>
          <cell r="Q503" t="str">
            <v>Tallied</v>
          </cell>
        </row>
        <row r="504">
          <cell r="B504">
            <v>46132</v>
          </cell>
          <cell r="K504">
            <v>0</v>
          </cell>
          <cell r="M504">
            <v>0</v>
          </cell>
          <cell r="P504">
            <v>528185.34</v>
          </cell>
          <cell r="Q504" t="str">
            <v>Tallied</v>
          </cell>
        </row>
        <row r="505">
          <cell r="B505">
            <v>46132</v>
          </cell>
          <cell r="K505">
            <v>0</v>
          </cell>
          <cell r="M505">
            <v>0</v>
          </cell>
          <cell r="P505">
            <v>807108</v>
          </cell>
          <cell r="Q505" t="str">
            <v>Tallied</v>
          </cell>
        </row>
        <row r="506">
          <cell r="B506">
            <v>46132</v>
          </cell>
          <cell r="K506">
            <v>0</v>
          </cell>
          <cell r="M506">
            <v>0</v>
          </cell>
          <cell r="P506">
            <v>529128.48</v>
          </cell>
          <cell r="Q506" t="str">
            <v>Tallied</v>
          </cell>
        </row>
        <row r="507">
          <cell r="B507">
            <v>46132</v>
          </cell>
          <cell r="K507">
            <v>0</v>
          </cell>
          <cell r="M507">
            <v>0</v>
          </cell>
          <cell r="P507">
            <v>195255.36000000002</v>
          </cell>
          <cell r="Q507" t="str">
            <v>Tallied</v>
          </cell>
        </row>
        <row r="508">
          <cell r="B508">
            <v>46132</v>
          </cell>
          <cell r="K508">
            <v>0</v>
          </cell>
          <cell r="M508">
            <v>0</v>
          </cell>
          <cell r="P508">
            <v>708928.5</v>
          </cell>
          <cell r="Q508" t="str">
            <v>Tallied</v>
          </cell>
        </row>
        <row r="509">
          <cell r="B509">
            <v>46132</v>
          </cell>
          <cell r="K509">
            <v>0</v>
          </cell>
          <cell r="M509">
            <v>0</v>
          </cell>
          <cell r="P509">
            <v>547612.38</v>
          </cell>
          <cell r="Q509" t="str">
            <v>Tallied</v>
          </cell>
        </row>
        <row r="510">
          <cell r="B510">
            <v>46132</v>
          </cell>
          <cell r="K510">
            <v>0</v>
          </cell>
          <cell r="M510">
            <v>0</v>
          </cell>
          <cell r="P510">
            <v>395806.31999999995</v>
          </cell>
          <cell r="Q510" t="str">
            <v>Tallied</v>
          </cell>
        </row>
        <row r="511">
          <cell r="B511">
            <v>46133</v>
          </cell>
          <cell r="K511">
            <v>0</v>
          </cell>
          <cell r="M511">
            <v>0</v>
          </cell>
          <cell r="P511">
            <v>8974.8000000000011</v>
          </cell>
          <cell r="Q511" t="str">
            <v>Tallied</v>
          </cell>
        </row>
        <row r="512">
          <cell r="B512">
            <v>46133</v>
          </cell>
          <cell r="K512">
            <v>0</v>
          </cell>
          <cell r="M512">
            <v>0</v>
          </cell>
          <cell r="P512">
            <v>7529.4</v>
          </cell>
          <cell r="Q512" t="str">
            <v>Tallied</v>
          </cell>
        </row>
        <row r="513">
          <cell r="B513">
            <v>46133</v>
          </cell>
          <cell r="K513">
            <v>0</v>
          </cell>
          <cell r="M513">
            <v>0</v>
          </cell>
          <cell r="P513">
            <v>17273.7</v>
          </cell>
          <cell r="Q513" t="str">
            <v>Tallied</v>
          </cell>
        </row>
        <row r="514">
          <cell r="B514">
            <v>46133</v>
          </cell>
          <cell r="K514">
            <v>0</v>
          </cell>
          <cell r="M514">
            <v>0</v>
          </cell>
          <cell r="P514">
            <v>15018.359999999999</v>
          </cell>
          <cell r="Q514" t="str">
            <v>Tallied</v>
          </cell>
        </row>
        <row r="515">
          <cell r="B515">
            <v>46133</v>
          </cell>
          <cell r="K515">
            <v>0</v>
          </cell>
          <cell r="M515">
            <v>0</v>
          </cell>
          <cell r="P515">
            <v>2021.3999999999999</v>
          </cell>
          <cell r="Q515" t="str">
            <v>Tallied</v>
          </cell>
        </row>
        <row r="516">
          <cell r="B516">
            <v>46133</v>
          </cell>
          <cell r="K516">
            <v>0</v>
          </cell>
          <cell r="M516">
            <v>0</v>
          </cell>
          <cell r="P516">
            <v>68999.12000000001</v>
          </cell>
          <cell r="Q516" t="str">
            <v>Tallied</v>
          </cell>
        </row>
        <row r="517">
          <cell r="B517">
            <v>46133</v>
          </cell>
          <cell r="K517">
            <v>0</v>
          </cell>
          <cell r="M517">
            <v>0</v>
          </cell>
          <cell r="P517">
            <v>173379.6</v>
          </cell>
          <cell r="Q517" t="str">
            <v>Tallied</v>
          </cell>
        </row>
        <row r="518">
          <cell r="B518">
            <v>46133</v>
          </cell>
          <cell r="K518">
            <v>0</v>
          </cell>
          <cell r="M518">
            <v>0</v>
          </cell>
          <cell r="P518">
            <v>371624.88</v>
          </cell>
          <cell r="Q518" t="str">
            <v>Tallied</v>
          </cell>
        </row>
        <row r="519">
          <cell r="B519">
            <v>46133</v>
          </cell>
          <cell r="K519">
            <v>0</v>
          </cell>
          <cell r="M519">
            <v>0</v>
          </cell>
          <cell r="P519">
            <v>123050.52</v>
          </cell>
          <cell r="Q519" t="str">
            <v>Tallied</v>
          </cell>
        </row>
        <row r="520">
          <cell r="B520">
            <v>46133</v>
          </cell>
          <cell r="K520">
            <v>0</v>
          </cell>
          <cell r="M520">
            <v>0</v>
          </cell>
          <cell r="P520">
            <v>254369.28</v>
          </cell>
          <cell r="Q520" t="str">
            <v>Tallied</v>
          </cell>
        </row>
        <row r="521">
          <cell r="B521">
            <v>46133</v>
          </cell>
          <cell r="K521">
            <v>0</v>
          </cell>
          <cell r="M521">
            <v>0</v>
          </cell>
          <cell r="P521">
            <v>160811.96</v>
          </cell>
          <cell r="Q521" t="str">
            <v>Tallied</v>
          </cell>
        </row>
        <row r="522">
          <cell r="B522">
            <v>46133</v>
          </cell>
          <cell r="K522">
            <v>0</v>
          </cell>
          <cell r="M522">
            <v>0</v>
          </cell>
          <cell r="P522">
            <v>42282.12</v>
          </cell>
          <cell r="Q522" t="str">
            <v>Tallied</v>
          </cell>
        </row>
        <row r="523">
          <cell r="B523">
            <v>46133</v>
          </cell>
          <cell r="K523">
            <v>0</v>
          </cell>
          <cell r="M523">
            <v>0</v>
          </cell>
          <cell r="P523">
            <v>462484.08</v>
          </cell>
          <cell r="Q523" t="str">
            <v>Tallied</v>
          </cell>
        </row>
        <row r="524">
          <cell r="B524">
            <v>46133</v>
          </cell>
          <cell r="K524">
            <v>0</v>
          </cell>
          <cell r="M524">
            <v>0</v>
          </cell>
          <cell r="P524">
            <v>707524.32000000007</v>
          </cell>
          <cell r="Q524" t="str">
            <v>Tallied</v>
          </cell>
        </row>
        <row r="525">
          <cell r="B525">
            <v>46133</v>
          </cell>
          <cell r="K525">
            <v>0</v>
          </cell>
          <cell r="M525">
            <v>0</v>
          </cell>
          <cell r="P525">
            <v>241853.04</v>
          </cell>
          <cell r="Q525" t="str">
            <v>Tallied</v>
          </cell>
        </row>
        <row r="526">
          <cell r="B526">
            <v>46133</v>
          </cell>
          <cell r="K526">
            <v>0</v>
          </cell>
          <cell r="M526">
            <v>0</v>
          </cell>
          <cell r="P526">
            <v>239289.59999999998</v>
          </cell>
          <cell r="Q526" t="str">
            <v>Tallied</v>
          </cell>
        </row>
        <row r="527">
          <cell r="B527">
            <v>46133</v>
          </cell>
          <cell r="K527">
            <v>0</v>
          </cell>
          <cell r="M527">
            <v>0</v>
          </cell>
          <cell r="P527">
            <v>90455.17</v>
          </cell>
          <cell r="Q527" t="str">
            <v>Tallied</v>
          </cell>
        </row>
        <row r="528">
          <cell r="B528">
            <v>46133</v>
          </cell>
          <cell r="K528">
            <v>0</v>
          </cell>
          <cell r="M528">
            <v>0</v>
          </cell>
          <cell r="P528">
            <v>27882.32</v>
          </cell>
          <cell r="Q528" t="str">
            <v>Tallied</v>
          </cell>
        </row>
        <row r="529">
          <cell r="B529">
            <v>46133</v>
          </cell>
          <cell r="K529">
            <v>0</v>
          </cell>
          <cell r="M529">
            <v>0</v>
          </cell>
          <cell r="P529">
            <v>3029.96</v>
          </cell>
          <cell r="Q529" t="str">
            <v>Tallied</v>
          </cell>
        </row>
        <row r="530">
          <cell r="B530">
            <v>46133</v>
          </cell>
          <cell r="K530">
            <v>0</v>
          </cell>
          <cell r="M530">
            <v>0</v>
          </cell>
          <cell r="P530">
            <v>70657.86</v>
          </cell>
          <cell r="Q530" t="str">
            <v>Tallied</v>
          </cell>
        </row>
        <row r="531">
          <cell r="B531">
            <v>46133</v>
          </cell>
          <cell r="K531">
            <v>0</v>
          </cell>
          <cell r="M531">
            <v>0</v>
          </cell>
          <cell r="P531">
            <v>776779.76</v>
          </cell>
          <cell r="Q531" t="str">
            <v>Tallied</v>
          </cell>
        </row>
        <row r="532">
          <cell r="B532">
            <v>46133</v>
          </cell>
          <cell r="K532">
            <v>0</v>
          </cell>
          <cell r="M532">
            <v>0</v>
          </cell>
          <cell r="P532">
            <v>15359.89</v>
          </cell>
          <cell r="Q532" t="str">
            <v>Tallied</v>
          </cell>
        </row>
        <row r="533">
          <cell r="B533">
            <v>46133</v>
          </cell>
          <cell r="K533">
            <v>0</v>
          </cell>
          <cell r="M533">
            <v>0</v>
          </cell>
          <cell r="P533">
            <v>3352637.4</v>
          </cell>
          <cell r="Q533" t="str">
            <v>Tallied</v>
          </cell>
        </row>
        <row r="534">
          <cell r="B534">
            <v>46133</v>
          </cell>
          <cell r="K534">
            <v>0</v>
          </cell>
          <cell r="M534">
            <v>0</v>
          </cell>
          <cell r="P534">
            <v>170541.05</v>
          </cell>
          <cell r="Q534" t="str">
            <v>Tallied</v>
          </cell>
        </row>
        <row r="535">
          <cell r="B535">
            <v>46133</v>
          </cell>
          <cell r="K535">
            <v>0</v>
          </cell>
          <cell r="M535">
            <v>0</v>
          </cell>
          <cell r="P535">
            <v>792822.5</v>
          </cell>
          <cell r="Q535" t="str">
            <v>Tallied</v>
          </cell>
        </row>
        <row r="536">
          <cell r="B536">
            <v>46133</v>
          </cell>
          <cell r="K536">
            <v>0</v>
          </cell>
          <cell r="M536">
            <v>0</v>
          </cell>
          <cell r="P536">
            <v>236685.39999999997</v>
          </cell>
          <cell r="Q536" t="str">
            <v>Tallied</v>
          </cell>
        </row>
        <row r="537">
          <cell r="B537">
            <v>46133</v>
          </cell>
          <cell r="K537">
            <v>0</v>
          </cell>
          <cell r="M537">
            <v>0</v>
          </cell>
          <cell r="P537">
            <v>1541105.7000000002</v>
          </cell>
          <cell r="Q537" t="str">
            <v>Tallied</v>
          </cell>
        </row>
        <row r="538">
          <cell r="B538">
            <v>46133</v>
          </cell>
          <cell r="K538">
            <v>0</v>
          </cell>
          <cell r="M538">
            <v>0</v>
          </cell>
          <cell r="P538">
            <v>1238619.23</v>
          </cell>
          <cell r="Q538" t="str">
            <v>Tallied</v>
          </cell>
        </row>
        <row r="539">
          <cell r="B539">
            <v>46133</v>
          </cell>
          <cell r="K539">
            <v>0</v>
          </cell>
          <cell r="M539">
            <v>0</v>
          </cell>
          <cell r="P539">
            <v>109574.62</v>
          </cell>
          <cell r="Q539" t="str">
            <v>Tallied</v>
          </cell>
        </row>
        <row r="540">
          <cell r="B540">
            <v>46133</v>
          </cell>
          <cell r="K540">
            <v>0</v>
          </cell>
          <cell r="M540">
            <v>0</v>
          </cell>
          <cell r="P540">
            <v>511935.52</v>
          </cell>
          <cell r="Q540" t="str">
            <v>Tallied</v>
          </cell>
        </row>
        <row r="541">
          <cell r="B541">
            <v>46133</v>
          </cell>
          <cell r="K541">
            <v>0</v>
          </cell>
          <cell r="M541">
            <v>0</v>
          </cell>
          <cell r="P541">
            <v>16427.93</v>
          </cell>
          <cell r="Q541" t="str">
            <v>Tallied</v>
          </cell>
        </row>
        <row r="542">
          <cell r="B542">
            <v>46133</v>
          </cell>
          <cell r="K542">
            <v>0</v>
          </cell>
          <cell r="M542">
            <v>0</v>
          </cell>
          <cell r="P542">
            <v>6702873.8999999994</v>
          </cell>
          <cell r="Q542" t="str">
            <v>Tallied</v>
          </cell>
        </row>
        <row r="543">
          <cell r="B543">
            <v>46133</v>
          </cell>
          <cell r="K543">
            <v>0</v>
          </cell>
          <cell r="M543">
            <v>0</v>
          </cell>
          <cell r="P543">
            <v>44315.7</v>
          </cell>
          <cell r="Q543" t="str">
            <v>Tallied</v>
          </cell>
        </row>
        <row r="544">
          <cell r="B544">
            <v>46133</v>
          </cell>
          <cell r="K544">
            <v>0</v>
          </cell>
          <cell r="M544">
            <v>0</v>
          </cell>
          <cell r="P544">
            <v>11836.349999999999</v>
          </cell>
          <cell r="Q544" t="str">
            <v>Tallied</v>
          </cell>
        </row>
        <row r="545">
          <cell r="B545">
            <v>46133</v>
          </cell>
          <cell r="K545">
            <v>0</v>
          </cell>
          <cell r="M545">
            <v>0</v>
          </cell>
          <cell r="P545">
            <v>61614.27</v>
          </cell>
          <cell r="Q545" t="str">
            <v>Tallied</v>
          </cell>
        </row>
        <row r="546">
          <cell r="B546">
            <v>46133</v>
          </cell>
          <cell r="K546">
            <v>0</v>
          </cell>
          <cell r="M546">
            <v>0</v>
          </cell>
          <cell r="P546">
            <v>25441.289999999997</v>
          </cell>
          <cell r="Q546" t="str">
            <v>Tallied</v>
          </cell>
        </row>
        <row r="547">
          <cell r="B547">
            <v>46133</v>
          </cell>
          <cell r="K547">
            <v>0</v>
          </cell>
          <cell r="M547">
            <v>0</v>
          </cell>
          <cell r="P547">
            <v>19033.440000000002</v>
          </cell>
          <cell r="Q547" t="str">
            <v>Tallied</v>
          </cell>
        </row>
        <row r="548">
          <cell r="B548">
            <v>46133</v>
          </cell>
          <cell r="K548">
            <v>0</v>
          </cell>
          <cell r="M548">
            <v>0</v>
          </cell>
          <cell r="P548">
            <v>67464.150000000009</v>
          </cell>
          <cell r="Q548" t="str">
            <v>Tallied</v>
          </cell>
        </row>
        <row r="549">
          <cell r="B549">
            <v>46133</v>
          </cell>
          <cell r="K549">
            <v>0</v>
          </cell>
          <cell r="M549">
            <v>0</v>
          </cell>
          <cell r="P549">
            <v>31328.22</v>
          </cell>
          <cell r="Q549" t="str">
            <v>Tallied</v>
          </cell>
        </row>
        <row r="550">
          <cell r="B550">
            <v>46133</v>
          </cell>
          <cell r="K550">
            <v>0</v>
          </cell>
          <cell r="M550">
            <v>0</v>
          </cell>
          <cell r="P550">
            <v>29431.079999999998</v>
          </cell>
          <cell r="Q550" t="str">
            <v>Tallied</v>
          </cell>
        </row>
        <row r="551">
          <cell r="B551">
            <v>46133</v>
          </cell>
          <cell r="K551">
            <v>0</v>
          </cell>
          <cell r="M551">
            <v>0</v>
          </cell>
          <cell r="P551">
            <v>262436.88</v>
          </cell>
          <cell r="Q551" t="str">
            <v>Tallied</v>
          </cell>
        </row>
        <row r="552">
          <cell r="B552">
            <v>46133</v>
          </cell>
          <cell r="K552">
            <v>0</v>
          </cell>
          <cell r="M552">
            <v>0</v>
          </cell>
          <cell r="P552">
            <v>368763.15</v>
          </cell>
          <cell r="Q552" t="str">
            <v>Tallied</v>
          </cell>
        </row>
        <row r="553">
          <cell r="B553">
            <v>46133</v>
          </cell>
          <cell r="K553">
            <v>0</v>
          </cell>
          <cell r="M553">
            <v>0</v>
          </cell>
          <cell r="P553">
            <v>985226.69299999997</v>
          </cell>
          <cell r="Q553" t="str">
            <v>Tallied</v>
          </cell>
        </row>
        <row r="554">
          <cell r="B554">
            <v>46133</v>
          </cell>
          <cell r="K554">
            <v>0</v>
          </cell>
          <cell r="M554">
            <v>0</v>
          </cell>
          <cell r="P554">
            <v>719799.72</v>
          </cell>
          <cell r="Q554" t="str">
            <v>Tallied</v>
          </cell>
        </row>
        <row r="555">
          <cell r="B555">
            <v>46133</v>
          </cell>
          <cell r="K555">
            <v>0</v>
          </cell>
          <cell r="M555">
            <v>0</v>
          </cell>
          <cell r="P555">
            <v>6419922.0999999996</v>
          </cell>
          <cell r="Q555" t="str">
            <v>Tallied</v>
          </cell>
        </row>
        <row r="556">
          <cell r="B556">
            <v>46133</v>
          </cell>
          <cell r="K556">
            <v>0</v>
          </cell>
          <cell r="M556">
            <v>0</v>
          </cell>
          <cell r="P556">
            <v>1075.32</v>
          </cell>
          <cell r="Q556" t="str">
            <v>Tallied</v>
          </cell>
        </row>
        <row r="557">
          <cell r="B557">
            <v>46133</v>
          </cell>
          <cell r="K557">
            <v>0</v>
          </cell>
          <cell r="M557">
            <v>0</v>
          </cell>
          <cell r="P557">
            <v>19829.04</v>
          </cell>
          <cell r="Q557" t="str">
            <v>Tallied</v>
          </cell>
        </row>
        <row r="558">
          <cell r="B558">
            <v>46133</v>
          </cell>
          <cell r="K558">
            <v>0</v>
          </cell>
          <cell r="M558">
            <v>0</v>
          </cell>
          <cell r="P558">
            <v>366965.81999999995</v>
          </cell>
          <cell r="Q558" t="str">
            <v>Tallied</v>
          </cell>
        </row>
        <row r="559">
          <cell r="B559">
            <v>46133</v>
          </cell>
          <cell r="K559">
            <v>0</v>
          </cell>
          <cell r="M559">
            <v>0</v>
          </cell>
          <cell r="P559">
            <v>60</v>
          </cell>
          <cell r="Q559" t="str">
            <v>Tallied</v>
          </cell>
        </row>
        <row r="560">
          <cell r="B560">
            <v>46133</v>
          </cell>
          <cell r="K560">
            <v>0</v>
          </cell>
          <cell r="M560">
            <v>0</v>
          </cell>
          <cell r="P560">
            <v>163181.75</v>
          </cell>
          <cell r="Q560" t="str">
            <v>Tallied</v>
          </cell>
        </row>
        <row r="561">
          <cell r="B561">
            <v>46134</v>
          </cell>
          <cell r="K561">
            <v>0</v>
          </cell>
          <cell r="M561">
            <v>0</v>
          </cell>
          <cell r="P561">
            <v>40877.760000000002</v>
          </cell>
          <cell r="Q561" t="str">
            <v>Tallied</v>
          </cell>
        </row>
        <row r="562">
          <cell r="B562">
            <v>46134</v>
          </cell>
          <cell r="K562">
            <v>0</v>
          </cell>
          <cell r="M562">
            <v>0</v>
          </cell>
          <cell r="P562">
            <v>2324343.06</v>
          </cell>
          <cell r="Q562" t="str">
            <v>Tallied</v>
          </cell>
        </row>
        <row r="563">
          <cell r="B563">
            <v>46134</v>
          </cell>
          <cell r="K563">
            <v>0</v>
          </cell>
          <cell r="M563">
            <v>0</v>
          </cell>
          <cell r="P563">
            <v>17417.98</v>
          </cell>
          <cell r="Q563" t="str">
            <v>Tallied</v>
          </cell>
        </row>
        <row r="564">
          <cell r="B564">
            <v>46134</v>
          </cell>
          <cell r="K564">
            <v>0</v>
          </cell>
          <cell r="M564">
            <v>0</v>
          </cell>
          <cell r="P564">
            <v>8517.9699999999993</v>
          </cell>
          <cell r="Q564" t="str">
            <v>Tallied</v>
          </cell>
        </row>
        <row r="565">
          <cell r="B565">
            <v>46134</v>
          </cell>
          <cell r="K565">
            <v>0</v>
          </cell>
          <cell r="M565">
            <v>0</v>
          </cell>
          <cell r="P565">
            <v>390872.73</v>
          </cell>
          <cell r="Q565" t="str">
            <v>Tallied</v>
          </cell>
        </row>
        <row r="566">
          <cell r="B566">
            <v>46134</v>
          </cell>
          <cell r="K566">
            <v>0</v>
          </cell>
          <cell r="M566">
            <v>0</v>
          </cell>
          <cell r="P566">
            <v>98989.7</v>
          </cell>
          <cell r="Q566" t="str">
            <v>Tallied</v>
          </cell>
        </row>
        <row r="567">
          <cell r="B567">
            <v>46134</v>
          </cell>
          <cell r="K567">
            <v>0</v>
          </cell>
          <cell r="M567">
            <v>0</v>
          </cell>
          <cell r="P567">
            <v>529184</v>
          </cell>
          <cell r="Q567" t="str">
            <v>Tallied</v>
          </cell>
        </row>
        <row r="568">
          <cell r="B568">
            <v>46134</v>
          </cell>
          <cell r="K568">
            <v>0</v>
          </cell>
          <cell r="M568">
            <v>0</v>
          </cell>
          <cell r="P568">
            <v>1079053.97</v>
          </cell>
          <cell r="Q568" t="str">
            <v>Tallied</v>
          </cell>
        </row>
        <row r="569">
          <cell r="B569">
            <v>46134</v>
          </cell>
          <cell r="K569">
            <v>0</v>
          </cell>
          <cell r="M569">
            <v>0</v>
          </cell>
          <cell r="P569">
            <v>1</v>
          </cell>
          <cell r="Q569" t="str">
            <v>Tallied</v>
          </cell>
        </row>
        <row r="570">
          <cell r="B570">
            <v>46134</v>
          </cell>
          <cell r="K570">
            <v>0</v>
          </cell>
          <cell r="M570">
            <v>0</v>
          </cell>
          <cell r="P570">
            <v>3</v>
          </cell>
          <cell r="Q570" t="str">
            <v>Tallied</v>
          </cell>
        </row>
        <row r="571">
          <cell r="B571">
            <v>46134</v>
          </cell>
          <cell r="K571">
            <v>0</v>
          </cell>
          <cell r="M571">
            <v>0</v>
          </cell>
          <cell r="P571">
            <v>30733.1</v>
          </cell>
          <cell r="Q571" t="str">
            <v>Tallied</v>
          </cell>
        </row>
        <row r="572">
          <cell r="B572">
            <v>46134</v>
          </cell>
          <cell r="K572">
            <v>0</v>
          </cell>
          <cell r="M572">
            <v>0</v>
          </cell>
          <cell r="P572">
            <v>-100848.45</v>
          </cell>
          <cell r="Q572" t="str">
            <v>Tallied</v>
          </cell>
        </row>
        <row r="573">
          <cell r="B573">
            <v>46134</v>
          </cell>
          <cell r="K573">
            <v>0</v>
          </cell>
          <cell r="M573">
            <v>0</v>
          </cell>
          <cell r="P573">
            <v>41622.300000000003</v>
          </cell>
          <cell r="Q573" t="str">
            <v>Tallied</v>
          </cell>
        </row>
        <row r="574">
          <cell r="B574">
            <v>46134</v>
          </cell>
          <cell r="K574">
            <v>0</v>
          </cell>
          <cell r="M574">
            <v>0</v>
          </cell>
          <cell r="P574">
            <v>93241.64</v>
          </cell>
          <cell r="Q574" t="str">
            <v>Tallied</v>
          </cell>
        </row>
        <row r="575">
          <cell r="B575">
            <v>46134</v>
          </cell>
          <cell r="K575">
            <v>0</v>
          </cell>
          <cell r="M575">
            <v>0</v>
          </cell>
          <cell r="P575">
            <v>82411.25</v>
          </cell>
          <cell r="Q575" t="str">
            <v>Tallied</v>
          </cell>
        </row>
        <row r="576">
          <cell r="B576">
            <v>46134</v>
          </cell>
          <cell r="K576">
            <v>0</v>
          </cell>
          <cell r="M576">
            <v>0</v>
          </cell>
          <cell r="P576">
            <v>1098831.8400000001</v>
          </cell>
          <cell r="Q576" t="str">
            <v>Tallied</v>
          </cell>
        </row>
        <row r="577">
          <cell r="B577">
            <v>46134</v>
          </cell>
          <cell r="K577">
            <v>0</v>
          </cell>
          <cell r="M577">
            <v>0</v>
          </cell>
          <cell r="P577">
            <v>38759.760000000002</v>
          </cell>
          <cell r="Q577" t="str">
            <v>Tallied</v>
          </cell>
        </row>
        <row r="578">
          <cell r="B578">
            <v>46134</v>
          </cell>
          <cell r="K578">
            <v>0</v>
          </cell>
          <cell r="M578">
            <v>0</v>
          </cell>
          <cell r="P578">
            <v>344820.24</v>
          </cell>
          <cell r="Q578" t="str">
            <v>Tallied</v>
          </cell>
        </row>
        <row r="579">
          <cell r="B579">
            <v>46134</v>
          </cell>
          <cell r="K579">
            <v>0</v>
          </cell>
          <cell r="M579">
            <v>0</v>
          </cell>
          <cell r="P579">
            <v>2006324.58</v>
          </cell>
          <cell r="Q579" t="str">
            <v>Tallied</v>
          </cell>
        </row>
        <row r="580">
          <cell r="B580">
            <v>46134</v>
          </cell>
          <cell r="K580">
            <v>0</v>
          </cell>
          <cell r="M580">
            <v>0</v>
          </cell>
          <cell r="P580">
            <v>38301.799999999996</v>
          </cell>
          <cell r="Q580" t="str">
            <v>Tallied</v>
          </cell>
        </row>
        <row r="581">
          <cell r="B581">
            <v>46134</v>
          </cell>
          <cell r="K581">
            <v>0</v>
          </cell>
          <cell r="M581">
            <v>0</v>
          </cell>
          <cell r="P581">
            <v>552290.19999999995</v>
          </cell>
          <cell r="Q581" t="str">
            <v>Tallied</v>
          </cell>
        </row>
        <row r="582">
          <cell r="B582">
            <v>46134</v>
          </cell>
          <cell r="K582">
            <v>0</v>
          </cell>
          <cell r="M582">
            <v>0</v>
          </cell>
          <cell r="P582">
            <v>-70015.08</v>
          </cell>
          <cell r="Q582" t="str">
            <v>Tallied</v>
          </cell>
        </row>
        <row r="583">
          <cell r="B583">
            <v>46134</v>
          </cell>
          <cell r="K583">
            <v>0</v>
          </cell>
          <cell r="M583">
            <v>0</v>
          </cell>
          <cell r="P583">
            <v>226606.44999999998</v>
          </cell>
          <cell r="Q583" t="str">
            <v>Tallied</v>
          </cell>
        </row>
        <row r="584">
          <cell r="B584">
            <v>46134</v>
          </cell>
          <cell r="K584">
            <v>0</v>
          </cell>
          <cell r="M584">
            <v>0</v>
          </cell>
          <cell r="P584">
            <v>242123.28</v>
          </cell>
          <cell r="Q584" t="str">
            <v>Tallied</v>
          </cell>
        </row>
        <row r="585">
          <cell r="B585">
            <v>46134</v>
          </cell>
          <cell r="K585">
            <v>0</v>
          </cell>
          <cell r="M585">
            <v>0</v>
          </cell>
          <cell r="P585">
            <v>23147.759999999998</v>
          </cell>
          <cell r="Q585" t="str">
            <v>Tallied</v>
          </cell>
        </row>
        <row r="586">
          <cell r="B586">
            <v>46134</v>
          </cell>
          <cell r="K586">
            <v>0</v>
          </cell>
          <cell r="M586">
            <v>0</v>
          </cell>
          <cell r="P586">
            <v>163267.44</v>
          </cell>
          <cell r="Q586" t="str">
            <v>Tallied</v>
          </cell>
        </row>
        <row r="587">
          <cell r="B587">
            <v>46134</v>
          </cell>
          <cell r="K587">
            <v>0</v>
          </cell>
          <cell r="M587">
            <v>0</v>
          </cell>
          <cell r="P587">
            <v>3253.21</v>
          </cell>
          <cell r="Q587" t="str">
            <v>Tallied</v>
          </cell>
        </row>
        <row r="588">
          <cell r="B588">
            <v>46134</v>
          </cell>
          <cell r="K588">
            <v>0</v>
          </cell>
          <cell r="M588">
            <v>0</v>
          </cell>
          <cell r="P588">
            <v>5758.6500000000005</v>
          </cell>
          <cell r="Q588" t="str">
            <v>Tallied</v>
          </cell>
        </row>
        <row r="589">
          <cell r="B589">
            <v>46134</v>
          </cell>
          <cell r="K589">
            <v>0</v>
          </cell>
          <cell r="M589">
            <v>0</v>
          </cell>
          <cell r="P589">
            <v>261255.66</v>
          </cell>
          <cell r="Q589" t="str">
            <v>Tallied</v>
          </cell>
        </row>
        <row r="590">
          <cell r="B590">
            <v>46134</v>
          </cell>
          <cell r="K590">
            <v>0</v>
          </cell>
          <cell r="M590">
            <v>0</v>
          </cell>
          <cell r="P590">
            <v>5013.42</v>
          </cell>
          <cell r="Q590" t="str">
            <v>Tallied</v>
          </cell>
        </row>
        <row r="591">
          <cell r="B591">
            <v>46134</v>
          </cell>
          <cell r="K591">
            <v>0</v>
          </cell>
          <cell r="M591">
            <v>0</v>
          </cell>
          <cell r="P591">
            <v>45306.799999999996</v>
          </cell>
          <cell r="Q591" t="str">
            <v>Tallied</v>
          </cell>
        </row>
        <row r="592">
          <cell r="B592">
            <v>46134</v>
          </cell>
          <cell r="K592">
            <v>0</v>
          </cell>
          <cell r="M592">
            <v>0</v>
          </cell>
          <cell r="P592">
            <v>87257.51999999999</v>
          </cell>
          <cell r="Q592" t="str">
            <v>Tallied</v>
          </cell>
        </row>
        <row r="593">
          <cell r="B593">
            <v>46134</v>
          </cell>
          <cell r="K593">
            <v>0</v>
          </cell>
          <cell r="M593">
            <v>0</v>
          </cell>
          <cell r="P593">
            <v>6480.9</v>
          </cell>
          <cell r="Q593" t="str">
            <v>Tallied</v>
          </cell>
        </row>
        <row r="594">
          <cell r="B594">
            <v>46134</v>
          </cell>
          <cell r="K594">
            <v>0</v>
          </cell>
          <cell r="M594">
            <v>0</v>
          </cell>
          <cell r="P594">
            <v>5748.82</v>
          </cell>
          <cell r="Q594" t="str">
            <v>Tallied</v>
          </cell>
        </row>
        <row r="595">
          <cell r="B595">
            <v>46134</v>
          </cell>
          <cell r="K595">
            <v>0</v>
          </cell>
          <cell r="M595">
            <v>0</v>
          </cell>
          <cell r="P595">
            <v>163680.65</v>
          </cell>
          <cell r="Q595" t="str">
            <v>Tallied</v>
          </cell>
        </row>
        <row r="596">
          <cell r="B596">
            <v>46134</v>
          </cell>
          <cell r="K596">
            <v>0</v>
          </cell>
          <cell r="M596">
            <v>0</v>
          </cell>
          <cell r="P596">
            <v>119350.8</v>
          </cell>
          <cell r="Q596" t="str">
            <v>Tallied</v>
          </cell>
        </row>
        <row r="597">
          <cell r="B597">
            <v>46134</v>
          </cell>
          <cell r="K597">
            <v>0</v>
          </cell>
          <cell r="M597">
            <v>0</v>
          </cell>
          <cell r="P597">
            <v>2932323.6799999997</v>
          </cell>
          <cell r="Q597" t="str">
            <v>Tallied</v>
          </cell>
        </row>
        <row r="598">
          <cell r="B598">
            <v>46134</v>
          </cell>
          <cell r="K598">
            <v>0</v>
          </cell>
          <cell r="M598">
            <v>0</v>
          </cell>
          <cell r="P598">
            <v>2759748.96</v>
          </cell>
          <cell r="Q598" t="str">
            <v>Tallied</v>
          </cell>
        </row>
        <row r="599">
          <cell r="B599">
            <v>46134</v>
          </cell>
          <cell r="K599">
            <v>0</v>
          </cell>
          <cell r="M599">
            <v>0</v>
          </cell>
          <cell r="P599">
            <v>69973.75</v>
          </cell>
          <cell r="Q599" t="str">
            <v>Tallied</v>
          </cell>
        </row>
        <row r="600">
          <cell r="B600">
            <v>46134</v>
          </cell>
          <cell r="K600">
            <v>0</v>
          </cell>
          <cell r="M600">
            <v>0</v>
          </cell>
          <cell r="P600">
            <v>169379.54</v>
          </cell>
          <cell r="Q600" t="str">
            <v>Tallied</v>
          </cell>
        </row>
        <row r="601">
          <cell r="B601">
            <v>46134</v>
          </cell>
          <cell r="K601">
            <v>0</v>
          </cell>
          <cell r="M601">
            <v>0</v>
          </cell>
          <cell r="P601">
            <v>12787.6</v>
          </cell>
          <cell r="Q601" t="str">
            <v>Tallied</v>
          </cell>
        </row>
        <row r="602">
          <cell r="B602">
            <v>46134</v>
          </cell>
          <cell r="K602">
            <v>0</v>
          </cell>
          <cell r="M602">
            <v>0</v>
          </cell>
          <cell r="P602">
            <v>128694.93000000001</v>
          </cell>
          <cell r="Q602" t="str">
            <v>Tallied</v>
          </cell>
        </row>
        <row r="603">
          <cell r="B603">
            <v>46134</v>
          </cell>
          <cell r="K603">
            <v>0</v>
          </cell>
          <cell r="M603">
            <v>0</v>
          </cell>
          <cell r="P603">
            <v>64506.119999999995</v>
          </cell>
          <cell r="Q603" t="str">
            <v>Tallied</v>
          </cell>
        </row>
        <row r="604">
          <cell r="B604">
            <v>46134</v>
          </cell>
          <cell r="K604">
            <v>0</v>
          </cell>
          <cell r="M604">
            <v>0</v>
          </cell>
          <cell r="P604">
            <v>3029.72</v>
          </cell>
          <cell r="Q604" t="str">
            <v>Tallied</v>
          </cell>
        </row>
        <row r="605">
          <cell r="B605">
            <v>46134</v>
          </cell>
          <cell r="K605">
            <v>0</v>
          </cell>
          <cell r="M605">
            <v>0</v>
          </cell>
          <cell r="P605">
            <v>2854.67</v>
          </cell>
          <cell r="Q605" t="str">
            <v>Tallied</v>
          </cell>
        </row>
        <row r="606">
          <cell r="B606">
            <v>46134</v>
          </cell>
          <cell r="K606">
            <v>0</v>
          </cell>
          <cell r="M606">
            <v>0</v>
          </cell>
          <cell r="P606">
            <v>5401.06</v>
          </cell>
          <cell r="Q606" t="str">
            <v>Tallied</v>
          </cell>
        </row>
        <row r="607">
          <cell r="B607">
            <v>46134</v>
          </cell>
          <cell r="K607">
            <v>0</v>
          </cell>
          <cell r="M607">
            <v>0</v>
          </cell>
          <cell r="P607">
            <v>47697.649999999994</v>
          </cell>
          <cell r="Q607" t="str">
            <v>Tallied</v>
          </cell>
        </row>
        <row r="608">
          <cell r="B608">
            <v>46134</v>
          </cell>
          <cell r="K608">
            <v>0</v>
          </cell>
          <cell r="M608">
            <v>0</v>
          </cell>
          <cell r="P608">
            <v>391258.8</v>
          </cell>
          <cell r="Q608" t="str">
            <v>Tallied</v>
          </cell>
        </row>
        <row r="609">
          <cell r="B609">
            <v>46134</v>
          </cell>
          <cell r="K609">
            <v>0</v>
          </cell>
          <cell r="M609">
            <v>0</v>
          </cell>
          <cell r="P609">
            <v>22486.02</v>
          </cell>
          <cell r="Q609" t="str">
            <v>Tallied</v>
          </cell>
        </row>
        <row r="610">
          <cell r="B610">
            <v>46134</v>
          </cell>
          <cell r="K610">
            <v>0</v>
          </cell>
          <cell r="M610">
            <v>0</v>
          </cell>
          <cell r="P610">
            <v>31262.94</v>
          </cell>
          <cell r="Q610" t="str">
            <v>Tallied</v>
          </cell>
        </row>
        <row r="611">
          <cell r="B611">
            <v>46135</v>
          </cell>
          <cell r="K611">
            <v>0</v>
          </cell>
          <cell r="M611">
            <v>0</v>
          </cell>
          <cell r="P611">
            <v>622605.41</v>
          </cell>
          <cell r="Q611" t="str">
            <v>Tallied</v>
          </cell>
        </row>
        <row r="612">
          <cell r="B612">
            <v>46135</v>
          </cell>
          <cell r="K612">
            <v>0</v>
          </cell>
          <cell r="M612">
            <v>0</v>
          </cell>
          <cell r="P612">
            <v>152158.07999999999</v>
          </cell>
          <cell r="Q612" t="str">
            <v>Tallied</v>
          </cell>
        </row>
        <row r="613">
          <cell r="B613">
            <v>46135</v>
          </cell>
          <cell r="K613">
            <v>0</v>
          </cell>
          <cell r="M613">
            <v>0</v>
          </cell>
          <cell r="P613">
            <v>150471.93000000002</v>
          </cell>
          <cell r="Q613" t="str">
            <v>Tallied</v>
          </cell>
        </row>
        <row r="614">
          <cell r="B614">
            <v>46135</v>
          </cell>
          <cell r="K614">
            <v>0</v>
          </cell>
          <cell r="M614">
            <v>0</v>
          </cell>
          <cell r="P614">
            <v>40712.1</v>
          </cell>
          <cell r="Q614" t="str">
            <v>Tallied</v>
          </cell>
        </row>
        <row r="615">
          <cell r="B615">
            <v>46135</v>
          </cell>
          <cell r="K615">
            <v>0</v>
          </cell>
          <cell r="M615">
            <v>0</v>
          </cell>
          <cell r="P615">
            <v>82453.17</v>
          </cell>
          <cell r="Q615" t="str">
            <v>Tallied</v>
          </cell>
        </row>
        <row r="616">
          <cell r="B616">
            <v>46135</v>
          </cell>
          <cell r="K616">
            <v>0</v>
          </cell>
          <cell r="M616">
            <v>0</v>
          </cell>
          <cell r="P616">
            <v>5369658.2999999998</v>
          </cell>
          <cell r="Q616" t="str">
            <v>Tallied</v>
          </cell>
        </row>
        <row r="617">
          <cell r="B617">
            <v>46135</v>
          </cell>
          <cell r="K617">
            <v>0</v>
          </cell>
          <cell r="M617">
            <v>0</v>
          </cell>
          <cell r="P617">
            <v>5523929.5499999998</v>
          </cell>
          <cell r="Q617" t="str">
            <v>Tallied</v>
          </cell>
        </row>
        <row r="618">
          <cell r="B618">
            <v>46135</v>
          </cell>
          <cell r="K618">
            <v>0</v>
          </cell>
          <cell r="M618">
            <v>0</v>
          </cell>
          <cell r="P618">
            <v>17841.759999999998</v>
          </cell>
          <cell r="Q618" t="str">
            <v>Tallied</v>
          </cell>
        </row>
        <row r="619">
          <cell r="B619">
            <v>46135</v>
          </cell>
          <cell r="K619">
            <v>0</v>
          </cell>
          <cell r="M619">
            <v>0</v>
          </cell>
          <cell r="P619">
            <v>20803.38</v>
          </cell>
          <cell r="Q619" t="str">
            <v>Tallied</v>
          </cell>
        </row>
        <row r="620">
          <cell r="B620">
            <v>46135</v>
          </cell>
          <cell r="K620">
            <v>0</v>
          </cell>
          <cell r="M620">
            <v>0</v>
          </cell>
          <cell r="P620">
            <v>11922.5</v>
          </cell>
          <cell r="Q620" t="str">
            <v>Tallied</v>
          </cell>
        </row>
        <row r="621">
          <cell r="B621">
            <v>46135</v>
          </cell>
          <cell r="K621">
            <v>0</v>
          </cell>
          <cell r="M621">
            <v>0</v>
          </cell>
          <cell r="P621">
            <v>177818.36</v>
          </cell>
          <cell r="Q621" t="str">
            <v>Tallied</v>
          </cell>
        </row>
        <row r="622">
          <cell r="B622">
            <v>46135</v>
          </cell>
          <cell r="K622">
            <v>0</v>
          </cell>
          <cell r="M622">
            <v>0</v>
          </cell>
          <cell r="P622">
            <v>35118</v>
          </cell>
          <cell r="Q622" t="str">
            <v>Tallied</v>
          </cell>
        </row>
        <row r="623">
          <cell r="B623">
            <v>46135</v>
          </cell>
          <cell r="K623">
            <v>0</v>
          </cell>
          <cell r="M623">
            <v>0</v>
          </cell>
          <cell r="P623">
            <v>8890.5</v>
          </cell>
          <cell r="Q623" t="str">
            <v>Tallied</v>
          </cell>
        </row>
        <row r="624">
          <cell r="B624">
            <v>46135</v>
          </cell>
          <cell r="K624">
            <v>0</v>
          </cell>
          <cell r="M624">
            <v>0</v>
          </cell>
          <cell r="P624">
            <v>112759.97</v>
          </cell>
          <cell r="Q624" t="str">
            <v>Tallied</v>
          </cell>
        </row>
        <row r="625">
          <cell r="B625">
            <v>46135</v>
          </cell>
          <cell r="K625">
            <v>0</v>
          </cell>
          <cell r="M625">
            <v>0</v>
          </cell>
          <cell r="P625">
            <v>50435.32</v>
          </cell>
          <cell r="Q625" t="str">
            <v>Tallied</v>
          </cell>
        </row>
        <row r="626">
          <cell r="B626">
            <v>46135</v>
          </cell>
          <cell r="K626">
            <v>0</v>
          </cell>
          <cell r="M626">
            <v>0</v>
          </cell>
          <cell r="P626">
            <v>54465.84</v>
          </cell>
          <cell r="Q626" t="str">
            <v>Tallied</v>
          </cell>
        </row>
        <row r="627">
          <cell r="B627">
            <v>46135</v>
          </cell>
          <cell r="K627">
            <v>0</v>
          </cell>
          <cell r="M627">
            <v>0</v>
          </cell>
          <cell r="P627">
            <v>51021.22</v>
          </cell>
          <cell r="Q627" t="str">
            <v>Tallied</v>
          </cell>
        </row>
        <row r="628">
          <cell r="B628">
            <v>46135</v>
          </cell>
          <cell r="K628">
            <v>0</v>
          </cell>
          <cell r="M628">
            <v>0</v>
          </cell>
          <cell r="P628">
            <v>713.79</v>
          </cell>
          <cell r="Q628" t="str">
            <v>Tallied</v>
          </cell>
        </row>
        <row r="629">
          <cell r="B629">
            <v>46135</v>
          </cell>
          <cell r="K629">
            <v>0</v>
          </cell>
          <cell r="M629">
            <v>0</v>
          </cell>
          <cell r="P629">
            <v>3946306.68</v>
          </cell>
          <cell r="Q629" t="str">
            <v>Tallied</v>
          </cell>
        </row>
        <row r="630">
          <cell r="B630">
            <v>46135</v>
          </cell>
          <cell r="K630">
            <v>0</v>
          </cell>
          <cell r="M630">
            <v>0</v>
          </cell>
          <cell r="P630">
            <v>4</v>
          </cell>
          <cell r="Q630" t="str">
            <v>Tallied</v>
          </cell>
        </row>
        <row r="631">
          <cell r="B631">
            <v>46135</v>
          </cell>
          <cell r="K631">
            <v>0</v>
          </cell>
          <cell r="M631">
            <v>0</v>
          </cell>
          <cell r="P631">
            <v>100258.5</v>
          </cell>
          <cell r="Q631" t="str">
            <v>Tallied</v>
          </cell>
        </row>
        <row r="632">
          <cell r="B632">
            <v>46135</v>
          </cell>
          <cell r="K632">
            <v>0</v>
          </cell>
          <cell r="M632">
            <v>0</v>
          </cell>
          <cell r="P632">
            <v>72160.340000000011</v>
          </cell>
          <cell r="Q632" t="str">
            <v>Tallied</v>
          </cell>
        </row>
        <row r="633">
          <cell r="B633">
            <v>46135</v>
          </cell>
          <cell r="K633">
            <v>0</v>
          </cell>
          <cell r="M633">
            <v>0</v>
          </cell>
          <cell r="P633">
            <v>150919.20000000001</v>
          </cell>
          <cell r="Q633" t="str">
            <v>Tallied</v>
          </cell>
        </row>
        <row r="634">
          <cell r="B634">
            <v>46135</v>
          </cell>
          <cell r="K634">
            <v>0</v>
          </cell>
          <cell r="M634">
            <v>0</v>
          </cell>
          <cell r="P634">
            <v>11863.84</v>
          </cell>
          <cell r="Q634" t="str">
            <v>Tallied</v>
          </cell>
        </row>
        <row r="635">
          <cell r="B635">
            <v>46135</v>
          </cell>
          <cell r="K635">
            <v>0</v>
          </cell>
          <cell r="M635">
            <v>0</v>
          </cell>
          <cell r="P635">
            <v>128413.37</v>
          </cell>
          <cell r="Q635" t="str">
            <v>Tallied</v>
          </cell>
        </row>
        <row r="636">
          <cell r="B636">
            <v>46135</v>
          </cell>
          <cell r="K636">
            <v>0</v>
          </cell>
          <cell r="M636">
            <v>0</v>
          </cell>
          <cell r="P636">
            <v>11581.68</v>
          </cell>
          <cell r="Q636" t="str">
            <v>Tallied</v>
          </cell>
        </row>
        <row r="637">
          <cell r="B637">
            <v>46135</v>
          </cell>
          <cell r="K637">
            <v>0</v>
          </cell>
          <cell r="M637">
            <v>0</v>
          </cell>
          <cell r="P637">
            <v>57536.7</v>
          </cell>
          <cell r="Q637" t="str">
            <v>Tallied</v>
          </cell>
        </row>
        <row r="638">
          <cell r="B638">
            <v>46135</v>
          </cell>
          <cell r="K638">
            <v>0</v>
          </cell>
          <cell r="M638">
            <v>0</v>
          </cell>
          <cell r="P638">
            <v>11433</v>
          </cell>
          <cell r="Q638" t="str">
            <v>Tallied</v>
          </cell>
        </row>
        <row r="639">
          <cell r="B639">
            <v>46135</v>
          </cell>
          <cell r="K639">
            <v>0</v>
          </cell>
          <cell r="M639">
            <v>0</v>
          </cell>
          <cell r="P639">
            <v>144211.68000000002</v>
          </cell>
          <cell r="Q639" t="str">
            <v>Tallied</v>
          </cell>
        </row>
        <row r="640">
          <cell r="B640">
            <v>46135</v>
          </cell>
          <cell r="K640">
            <v>0</v>
          </cell>
          <cell r="M640">
            <v>0</v>
          </cell>
          <cell r="P640">
            <v>6614.8499999999995</v>
          </cell>
          <cell r="Q640" t="str">
            <v>Tallied</v>
          </cell>
        </row>
        <row r="641">
          <cell r="B641">
            <v>46135</v>
          </cell>
          <cell r="K641">
            <v>0</v>
          </cell>
          <cell r="M641">
            <v>0</v>
          </cell>
          <cell r="P641">
            <v>13205.72</v>
          </cell>
          <cell r="Q641" t="str">
            <v>Tallied</v>
          </cell>
        </row>
        <row r="642">
          <cell r="B642">
            <v>46135</v>
          </cell>
          <cell r="K642">
            <v>0</v>
          </cell>
          <cell r="M642">
            <v>0</v>
          </cell>
          <cell r="P642">
            <v>52835.199999999997</v>
          </cell>
          <cell r="Q642" t="str">
            <v>Tallied</v>
          </cell>
        </row>
        <row r="643">
          <cell r="B643">
            <v>46135</v>
          </cell>
          <cell r="K643">
            <v>0</v>
          </cell>
          <cell r="M643">
            <v>0</v>
          </cell>
          <cell r="P643">
            <v>8019.45</v>
          </cell>
          <cell r="Q643" t="str">
            <v>Tallied</v>
          </cell>
        </row>
        <row r="644">
          <cell r="B644">
            <v>46135</v>
          </cell>
          <cell r="K644">
            <v>0</v>
          </cell>
          <cell r="M644">
            <v>0</v>
          </cell>
          <cell r="P644">
            <v>9905.7000000000007</v>
          </cell>
          <cell r="Q644" t="str">
            <v>Tallied</v>
          </cell>
        </row>
        <row r="645">
          <cell r="B645">
            <v>46135</v>
          </cell>
          <cell r="K645">
            <v>0</v>
          </cell>
          <cell r="M645">
            <v>0</v>
          </cell>
          <cell r="P645">
            <v>9762.42</v>
          </cell>
          <cell r="Q645" t="str">
            <v>Tallied</v>
          </cell>
        </row>
        <row r="646">
          <cell r="B646">
            <v>46135</v>
          </cell>
          <cell r="K646">
            <v>0</v>
          </cell>
          <cell r="M646">
            <v>0</v>
          </cell>
          <cell r="P646">
            <v>1320543.5399999998</v>
          </cell>
          <cell r="Q646" t="str">
            <v>Tallied</v>
          </cell>
        </row>
        <row r="647">
          <cell r="B647">
            <v>46135</v>
          </cell>
          <cell r="K647">
            <v>0</v>
          </cell>
          <cell r="M647">
            <v>0</v>
          </cell>
          <cell r="P647">
            <v>134679.29999999999</v>
          </cell>
          <cell r="Q647" t="str">
            <v>Tallied</v>
          </cell>
        </row>
        <row r="648">
          <cell r="B648">
            <v>46135</v>
          </cell>
          <cell r="K648">
            <v>0</v>
          </cell>
          <cell r="M648">
            <v>0</v>
          </cell>
          <cell r="P648">
            <v>486350.55</v>
          </cell>
          <cell r="Q648" t="str">
            <v>Tallied</v>
          </cell>
        </row>
        <row r="649">
          <cell r="B649">
            <v>46135</v>
          </cell>
          <cell r="K649">
            <v>0</v>
          </cell>
          <cell r="M649">
            <v>0</v>
          </cell>
          <cell r="P649">
            <v>401503.19999999995</v>
          </cell>
          <cell r="Q649" t="str">
            <v>Tallied</v>
          </cell>
        </row>
        <row r="650">
          <cell r="B650">
            <v>46135</v>
          </cell>
          <cell r="K650">
            <v>0</v>
          </cell>
          <cell r="M650">
            <v>0</v>
          </cell>
          <cell r="P650">
            <v>1332573.8400000001</v>
          </cell>
          <cell r="Q650" t="str">
            <v>Tallied</v>
          </cell>
        </row>
        <row r="651">
          <cell r="B651">
            <v>46135</v>
          </cell>
          <cell r="K651">
            <v>0</v>
          </cell>
          <cell r="M651">
            <v>0</v>
          </cell>
          <cell r="P651">
            <v>1786500.0499999998</v>
          </cell>
          <cell r="Q651" t="str">
            <v>Tallied</v>
          </cell>
        </row>
        <row r="652">
          <cell r="B652">
            <v>46135</v>
          </cell>
          <cell r="K652">
            <v>0</v>
          </cell>
          <cell r="M652">
            <v>0</v>
          </cell>
          <cell r="P652">
            <v>157887.67999999999</v>
          </cell>
          <cell r="Q652" t="str">
            <v>Tallied</v>
          </cell>
        </row>
        <row r="653">
          <cell r="B653">
            <v>46135</v>
          </cell>
          <cell r="K653">
            <v>0</v>
          </cell>
          <cell r="M653">
            <v>0</v>
          </cell>
          <cell r="P653">
            <v>480827.54999999993</v>
          </cell>
          <cell r="Q653" t="str">
            <v>Tallied</v>
          </cell>
        </row>
        <row r="654">
          <cell r="B654">
            <v>46135</v>
          </cell>
          <cell r="K654">
            <v>0</v>
          </cell>
          <cell r="M654">
            <v>0</v>
          </cell>
          <cell r="P654">
            <v>65329.68</v>
          </cell>
          <cell r="Q654" t="str">
            <v>Tallied</v>
          </cell>
        </row>
        <row r="655">
          <cell r="B655">
            <v>46135</v>
          </cell>
          <cell r="K655">
            <v>0</v>
          </cell>
          <cell r="M655">
            <v>0</v>
          </cell>
          <cell r="P655">
            <v>2</v>
          </cell>
          <cell r="Q655" t="str">
            <v>Tallied</v>
          </cell>
        </row>
        <row r="656">
          <cell r="B656">
            <v>46135</v>
          </cell>
          <cell r="K656">
            <v>0</v>
          </cell>
          <cell r="M656">
            <v>0</v>
          </cell>
          <cell r="P656">
            <v>15003.62</v>
          </cell>
          <cell r="Q656" t="str">
            <v>Tallied</v>
          </cell>
        </row>
        <row r="657">
          <cell r="B657">
            <v>46135</v>
          </cell>
          <cell r="K657">
            <v>0</v>
          </cell>
          <cell r="M657">
            <v>0</v>
          </cell>
          <cell r="P657">
            <v>3823158.9</v>
          </cell>
          <cell r="Q657" t="str">
            <v>Tallied</v>
          </cell>
        </row>
        <row r="658">
          <cell r="B658">
            <v>46135</v>
          </cell>
          <cell r="K658">
            <v>0</v>
          </cell>
          <cell r="M658">
            <v>0</v>
          </cell>
          <cell r="P658">
            <v>4682111.0399999991</v>
          </cell>
          <cell r="Q658" t="str">
            <v>Tallied</v>
          </cell>
        </row>
        <row r="659">
          <cell r="B659">
            <v>46135</v>
          </cell>
          <cell r="K659">
            <v>0</v>
          </cell>
          <cell r="M659">
            <v>0</v>
          </cell>
          <cell r="P659">
            <v>186042.33</v>
          </cell>
          <cell r="Q659" t="str">
            <v>Tallied</v>
          </cell>
        </row>
        <row r="660">
          <cell r="B660">
            <v>46135</v>
          </cell>
          <cell r="K660">
            <v>0</v>
          </cell>
          <cell r="M660">
            <v>0</v>
          </cell>
          <cell r="P660">
            <v>778498.27999999991</v>
          </cell>
          <cell r="Q660" t="str">
            <v>Tallied</v>
          </cell>
        </row>
        <row r="661">
          <cell r="B661">
            <v>46136</v>
          </cell>
          <cell r="K661">
            <v>0</v>
          </cell>
          <cell r="M661">
            <v>0</v>
          </cell>
          <cell r="P661">
            <v>44863.76</v>
          </cell>
          <cell r="Q661" t="str">
            <v>Tallied</v>
          </cell>
        </row>
        <row r="662">
          <cell r="B662">
            <v>46136</v>
          </cell>
          <cell r="K662">
            <v>0</v>
          </cell>
          <cell r="M662">
            <v>0</v>
          </cell>
          <cell r="P662">
            <v>43365.32</v>
          </cell>
          <cell r="Q662" t="str">
            <v>Tallied</v>
          </cell>
        </row>
        <row r="663">
          <cell r="B663">
            <v>46136</v>
          </cell>
          <cell r="K663">
            <v>0</v>
          </cell>
          <cell r="M663">
            <v>0</v>
          </cell>
          <cell r="P663">
            <v>67584.27</v>
          </cell>
          <cell r="Q663" t="str">
            <v>Tallied</v>
          </cell>
        </row>
        <row r="664">
          <cell r="B664">
            <v>46136</v>
          </cell>
          <cell r="K664">
            <v>0</v>
          </cell>
          <cell r="M664">
            <v>0</v>
          </cell>
          <cell r="P664">
            <v>56752.22</v>
          </cell>
          <cell r="Q664" t="str">
            <v>Tallied</v>
          </cell>
        </row>
        <row r="665">
          <cell r="B665">
            <v>46136</v>
          </cell>
          <cell r="K665">
            <v>0</v>
          </cell>
          <cell r="M665">
            <v>0</v>
          </cell>
          <cell r="P665">
            <v>1764845.66</v>
          </cell>
          <cell r="Q665" t="str">
            <v>Tallied</v>
          </cell>
        </row>
        <row r="666">
          <cell r="B666">
            <v>46136</v>
          </cell>
          <cell r="K666">
            <v>0</v>
          </cell>
          <cell r="M666">
            <v>0</v>
          </cell>
          <cell r="P666">
            <v>3921382.8</v>
          </cell>
          <cell r="Q666" t="str">
            <v>Tallied</v>
          </cell>
        </row>
        <row r="667">
          <cell r="B667">
            <v>46136</v>
          </cell>
          <cell r="K667">
            <v>0</v>
          </cell>
          <cell r="M667">
            <v>0</v>
          </cell>
          <cell r="P667">
            <v>144086.20000000001</v>
          </cell>
          <cell r="Q667" t="str">
            <v>Tallied</v>
          </cell>
        </row>
        <row r="668">
          <cell r="B668">
            <v>46136</v>
          </cell>
          <cell r="K668">
            <v>0</v>
          </cell>
          <cell r="M668">
            <v>0</v>
          </cell>
          <cell r="P668">
            <v>145811.31</v>
          </cell>
          <cell r="Q668" t="str">
            <v>Tallied</v>
          </cell>
        </row>
        <row r="669">
          <cell r="B669">
            <v>46136</v>
          </cell>
          <cell r="K669">
            <v>0</v>
          </cell>
          <cell r="M669">
            <v>0</v>
          </cell>
          <cell r="P669">
            <v>4812977.92</v>
          </cell>
          <cell r="Q669" t="str">
            <v>Tallied</v>
          </cell>
        </row>
        <row r="670">
          <cell r="B670">
            <v>46136</v>
          </cell>
          <cell r="K670">
            <v>0</v>
          </cell>
          <cell r="M670">
            <v>0</v>
          </cell>
          <cell r="P670">
            <v>157083.64000000001</v>
          </cell>
          <cell r="Q670" t="str">
            <v>Tallied</v>
          </cell>
        </row>
        <row r="671">
          <cell r="B671">
            <v>46136</v>
          </cell>
          <cell r="K671">
            <v>0</v>
          </cell>
          <cell r="M671">
            <v>0</v>
          </cell>
          <cell r="P671">
            <v>354537.72000000003</v>
          </cell>
          <cell r="Q671" t="str">
            <v>Tallied</v>
          </cell>
        </row>
        <row r="672">
          <cell r="B672">
            <v>46136</v>
          </cell>
          <cell r="K672">
            <v>0</v>
          </cell>
          <cell r="M672">
            <v>0</v>
          </cell>
          <cell r="P672">
            <v>800126.46</v>
          </cell>
          <cell r="Q672" t="str">
            <v>Tallied</v>
          </cell>
        </row>
        <row r="673">
          <cell r="B673">
            <v>46136</v>
          </cell>
          <cell r="K673">
            <v>0</v>
          </cell>
          <cell r="M673">
            <v>0</v>
          </cell>
          <cell r="P673">
            <v>43281.75</v>
          </cell>
          <cell r="Q673" t="str">
            <v>Tallied</v>
          </cell>
        </row>
        <row r="674">
          <cell r="B674">
            <v>46136</v>
          </cell>
          <cell r="K674">
            <v>0</v>
          </cell>
          <cell r="M674">
            <v>0</v>
          </cell>
          <cell r="P674">
            <v>1</v>
          </cell>
          <cell r="Q674" t="str">
            <v>Tallied</v>
          </cell>
        </row>
        <row r="675">
          <cell r="B675">
            <v>46136</v>
          </cell>
          <cell r="K675">
            <v>0</v>
          </cell>
          <cell r="M675">
            <v>0</v>
          </cell>
          <cell r="P675">
            <v>1</v>
          </cell>
          <cell r="Q675" t="str">
            <v>Tallied</v>
          </cell>
        </row>
        <row r="676">
          <cell r="B676">
            <v>46136</v>
          </cell>
          <cell r="K676">
            <v>0</v>
          </cell>
          <cell r="M676">
            <v>0</v>
          </cell>
          <cell r="P676">
            <v>20915.18</v>
          </cell>
          <cell r="Q676" t="str">
            <v>Tallied</v>
          </cell>
        </row>
        <row r="677">
          <cell r="B677">
            <v>46136</v>
          </cell>
          <cell r="K677">
            <v>0</v>
          </cell>
          <cell r="M677">
            <v>0</v>
          </cell>
          <cell r="P677">
            <v>485025.51</v>
          </cell>
          <cell r="Q677" t="str">
            <v>Tallied</v>
          </cell>
        </row>
        <row r="678">
          <cell r="B678">
            <v>46136</v>
          </cell>
          <cell r="K678">
            <v>0</v>
          </cell>
          <cell r="M678">
            <v>0</v>
          </cell>
          <cell r="P678">
            <v>43598.59</v>
          </cell>
          <cell r="Q678" t="str">
            <v>Tallied</v>
          </cell>
        </row>
        <row r="679">
          <cell r="B679">
            <v>46136</v>
          </cell>
          <cell r="K679">
            <v>0</v>
          </cell>
          <cell r="M679">
            <v>0</v>
          </cell>
          <cell r="P679">
            <v>531</v>
          </cell>
          <cell r="Q679" t="str">
            <v>Tallied</v>
          </cell>
        </row>
        <row r="680">
          <cell r="B680">
            <v>46136</v>
          </cell>
          <cell r="K680">
            <v>0</v>
          </cell>
          <cell r="M680">
            <v>0</v>
          </cell>
          <cell r="P680">
            <v>21189.800000000003</v>
          </cell>
          <cell r="Q680" t="str">
            <v>Tallied</v>
          </cell>
        </row>
        <row r="681">
          <cell r="B681">
            <v>46136</v>
          </cell>
          <cell r="K681">
            <v>0</v>
          </cell>
          <cell r="M681">
            <v>0</v>
          </cell>
          <cell r="P681">
            <v>19733.599999999999</v>
          </cell>
          <cell r="Q681" t="str">
            <v>Tallied</v>
          </cell>
        </row>
        <row r="682">
          <cell r="B682">
            <v>46136</v>
          </cell>
          <cell r="K682">
            <v>0</v>
          </cell>
          <cell r="M682">
            <v>0</v>
          </cell>
          <cell r="P682">
            <v>33866</v>
          </cell>
          <cell r="Q682" t="str">
            <v>Tallied</v>
          </cell>
        </row>
        <row r="683">
          <cell r="B683">
            <v>46136</v>
          </cell>
          <cell r="K683">
            <v>0</v>
          </cell>
          <cell r="M683">
            <v>0</v>
          </cell>
          <cell r="P683">
            <v>408909.63</v>
          </cell>
          <cell r="Q683" t="str">
            <v>Tallied</v>
          </cell>
        </row>
        <row r="684">
          <cell r="B684">
            <v>46136</v>
          </cell>
          <cell r="K684">
            <v>0</v>
          </cell>
          <cell r="M684">
            <v>0</v>
          </cell>
          <cell r="P684">
            <v>65680.92</v>
          </cell>
          <cell r="Q684" t="str">
            <v>Tallied</v>
          </cell>
        </row>
        <row r="685">
          <cell r="B685">
            <v>46136</v>
          </cell>
          <cell r="K685">
            <v>0</v>
          </cell>
          <cell r="M685">
            <v>0</v>
          </cell>
          <cell r="P685">
            <v>1205.1000000000001</v>
          </cell>
          <cell r="Q685" t="str">
            <v>Tallied</v>
          </cell>
        </row>
        <row r="686">
          <cell r="B686">
            <v>46136</v>
          </cell>
          <cell r="K686">
            <v>0</v>
          </cell>
          <cell r="M686">
            <v>0</v>
          </cell>
          <cell r="P686">
            <v>4498.96</v>
          </cell>
          <cell r="Q686" t="str">
            <v>Tallied</v>
          </cell>
        </row>
        <row r="687">
          <cell r="B687">
            <v>46136</v>
          </cell>
          <cell r="K687">
            <v>0</v>
          </cell>
          <cell r="M687">
            <v>0</v>
          </cell>
          <cell r="P687">
            <v>1218.79</v>
          </cell>
          <cell r="Q687" t="str">
            <v>Tallied</v>
          </cell>
        </row>
        <row r="688">
          <cell r="B688">
            <v>46136</v>
          </cell>
          <cell r="K688">
            <v>0</v>
          </cell>
          <cell r="M688">
            <v>0</v>
          </cell>
          <cell r="P688">
            <v>187655.13</v>
          </cell>
          <cell r="Q688" t="str">
            <v>Tallied</v>
          </cell>
        </row>
        <row r="689">
          <cell r="B689">
            <v>46136</v>
          </cell>
          <cell r="K689">
            <v>0</v>
          </cell>
          <cell r="M689">
            <v>0</v>
          </cell>
          <cell r="P689">
            <v>1951.1799999999998</v>
          </cell>
          <cell r="Q689" t="str">
            <v>Tallied</v>
          </cell>
        </row>
        <row r="690">
          <cell r="B690">
            <v>46136</v>
          </cell>
          <cell r="K690">
            <v>0</v>
          </cell>
          <cell r="M690">
            <v>0</v>
          </cell>
          <cell r="P690">
            <v>82590.399999999994</v>
          </cell>
          <cell r="Q690" t="str">
            <v>Tallied</v>
          </cell>
        </row>
        <row r="691">
          <cell r="B691">
            <v>46136</v>
          </cell>
          <cell r="K691">
            <v>0</v>
          </cell>
          <cell r="M691">
            <v>0</v>
          </cell>
          <cell r="P691">
            <v>4592.2000000000007</v>
          </cell>
          <cell r="Q691" t="str">
            <v>Tallied</v>
          </cell>
        </row>
        <row r="692">
          <cell r="B692">
            <v>46136</v>
          </cell>
          <cell r="K692">
            <v>0</v>
          </cell>
          <cell r="M692">
            <v>0</v>
          </cell>
          <cell r="P692">
            <v>25989.08</v>
          </cell>
          <cell r="Q692" t="str">
            <v>Tallied</v>
          </cell>
        </row>
        <row r="693">
          <cell r="B693">
            <v>46136</v>
          </cell>
          <cell r="K693">
            <v>0</v>
          </cell>
          <cell r="M693">
            <v>0</v>
          </cell>
          <cell r="P693">
            <v>32477.9</v>
          </cell>
          <cell r="Q693" t="str">
            <v>Tallied</v>
          </cell>
        </row>
        <row r="694">
          <cell r="B694">
            <v>46136</v>
          </cell>
          <cell r="K694">
            <v>0</v>
          </cell>
          <cell r="M694">
            <v>0</v>
          </cell>
          <cell r="P694">
            <v>860.31</v>
          </cell>
          <cell r="Q694" t="str">
            <v>Tallied</v>
          </cell>
        </row>
        <row r="695">
          <cell r="B695">
            <v>46136</v>
          </cell>
          <cell r="K695">
            <v>0</v>
          </cell>
          <cell r="M695">
            <v>0</v>
          </cell>
          <cell r="P695">
            <v>409.68</v>
          </cell>
          <cell r="Q695" t="str">
            <v>Tallied</v>
          </cell>
        </row>
        <row r="696">
          <cell r="B696">
            <v>46136</v>
          </cell>
          <cell r="K696">
            <v>0</v>
          </cell>
          <cell r="M696">
            <v>0</v>
          </cell>
          <cell r="P696">
            <v>1228.74</v>
          </cell>
          <cell r="Q696" t="str">
            <v>Tallied</v>
          </cell>
        </row>
        <row r="697">
          <cell r="B697">
            <v>46136</v>
          </cell>
          <cell r="K697">
            <v>0</v>
          </cell>
          <cell r="M697">
            <v>0</v>
          </cell>
          <cell r="P697">
            <v>1038.55</v>
          </cell>
          <cell r="Q697" t="str">
            <v>Tallied</v>
          </cell>
        </row>
        <row r="698">
          <cell r="B698">
            <v>46136</v>
          </cell>
          <cell r="K698">
            <v>0</v>
          </cell>
          <cell r="M698">
            <v>0</v>
          </cell>
          <cell r="P698">
            <v>815.5</v>
          </cell>
          <cell r="Q698" t="str">
            <v>Tallied</v>
          </cell>
        </row>
        <row r="699">
          <cell r="B699">
            <v>46136</v>
          </cell>
          <cell r="K699">
            <v>0</v>
          </cell>
          <cell r="M699">
            <v>0</v>
          </cell>
          <cell r="P699">
            <v>6480.1799999999994</v>
          </cell>
          <cell r="Q699" t="str">
            <v>Tallied</v>
          </cell>
        </row>
        <row r="700">
          <cell r="B700">
            <v>46136</v>
          </cell>
          <cell r="K700">
            <v>0</v>
          </cell>
          <cell r="M700">
            <v>0</v>
          </cell>
          <cell r="P700">
            <v>1262.8799999999999</v>
          </cell>
          <cell r="Q700" t="str">
            <v>Tallied</v>
          </cell>
        </row>
        <row r="701">
          <cell r="B701">
            <v>46136</v>
          </cell>
          <cell r="K701">
            <v>0</v>
          </cell>
          <cell r="M701">
            <v>0</v>
          </cell>
          <cell r="P701">
            <v>489.09000000000003</v>
          </cell>
          <cell r="Q701" t="str">
            <v>Tallied</v>
          </cell>
        </row>
        <row r="702">
          <cell r="B702">
            <v>46136</v>
          </cell>
          <cell r="K702">
            <v>0</v>
          </cell>
          <cell r="M702">
            <v>0</v>
          </cell>
          <cell r="P702">
            <v>147128.36000000002</v>
          </cell>
          <cell r="Q702" t="str">
            <v>Tallied</v>
          </cell>
        </row>
        <row r="703">
          <cell r="B703">
            <v>46136</v>
          </cell>
          <cell r="K703">
            <v>0</v>
          </cell>
          <cell r="M703">
            <v>0</v>
          </cell>
          <cell r="P703">
            <v>2449.58</v>
          </cell>
          <cell r="Q703" t="str">
            <v>Tallied</v>
          </cell>
        </row>
        <row r="704">
          <cell r="B704">
            <v>46136</v>
          </cell>
          <cell r="K704">
            <v>0</v>
          </cell>
          <cell r="M704">
            <v>0</v>
          </cell>
          <cell r="P704">
            <v>2817.8700000000003</v>
          </cell>
          <cell r="Q704" t="str">
            <v>Tallied</v>
          </cell>
        </row>
        <row r="705">
          <cell r="B705">
            <v>46136</v>
          </cell>
          <cell r="K705">
            <v>0</v>
          </cell>
          <cell r="M705">
            <v>0</v>
          </cell>
          <cell r="P705">
            <v>12541.95</v>
          </cell>
          <cell r="Q705" t="str">
            <v>Tallied</v>
          </cell>
        </row>
        <row r="706">
          <cell r="B706">
            <v>46136</v>
          </cell>
          <cell r="K706">
            <v>0</v>
          </cell>
          <cell r="M706">
            <v>0</v>
          </cell>
          <cell r="P706">
            <v>4410.68</v>
          </cell>
          <cell r="Q706" t="str">
            <v>Tallied</v>
          </cell>
        </row>
        <row r="707">
          <cell r="B707">
            <v>46136</v>
          </cell>
          <cell r="K707">
            <v>0</v>
          </cell>
          <cell r="M707">
            <v>0</v>
          </cell>
          <cell r="P707">
            <v>6589.74</v>
          </cell>
          <cell r="Q707" t="str">
            <v>Tallied</v>
          </cell>
        </row>
        <row r="708">
          <cell r="B708">
            <v>46136</v>
          </cell>
          <cell r="K708">
            <v>0</v>
          </cell>
          <cell r="M708">
            <v>0</v>
          </cell>
          <cell r="P708">
            <v>43116.84</v>
          </cell>
          <cell r="Q708" t="str">
            <v>Tallied</v>
          </cell>
        </row>
        <row r="709">
          <cell r="B709">
            <v>46136</v>
          </cell>
          <cell r="K709">
            <v>0</v>
          </cell>
          <cell r="M709">
            <v>0</v>
          </cell>
          <cell r="P709">
            <v>11530.96</v>
          </cell>
          <cell r="Q709" t="str">
            <v>Tallied</v>
          </cell>
        </row>
        <row r="710">
          <cell r="B710">
            <v>46136</v>
          </cell>
          <cell r="K710">
            <v>0</v>
          </cell>
          <cell r="M710">
            <v>0</v>
          </cell>
          <cell r="P710">
            <v>1615.1</v>
          </cell>
          <cell r="Q710" t="str">
            <v>Tallied</v>
          </cell>
        </row>
        <row r="711">
          <cell r="B711">
            <v>46137</v>
          </cell>
          <cell r="K711">
            <v>0</v>
          </cell>
          <cell r="M711">
            <v>0</v>
          </cell>
          <cell r="P711">
            <v>848.73</v>
          </cell>
          <cell r="Q711" t="str">
            <v>Tallied</v>
          </cell>
        </row>
        <row r="712">
          <cell r="B712">
            <v>46137</v>
          </cell>
          <cell r="K712">
            <v>0</v>
          </cell>
          <cell r="M712">
            <v>0</v>
          </cell>
          <cell r="P712">
            <v>2619.1999999999998</v>
          </cell>
          <cell r="Q712" t="str">
            <v>Tallied</v>
          </cell>
        </row>
        <row r="713">
          <cell r="B713">
            <v>46137</v>
          </cell>
          <cell r="K713">
            <v>0</v>
          </cell>
          <cell r="M713">
            <v>0</v>
          </cell>
          <cell r="P713">
            <v>72165.850000000006</v>
          </cell>
          <cell r="Q713" t="str">
            <v>Tallied</v>
          </cell>
        </row>
        <row r="714">
          <cell r="B714">
            <v>46137</v>
          </cell>
          <cell r="K714">
            <v>0</v>
          </cell>
          <cell r="M714">
            <v>0</v>
          </cell>
          <cell r="P714">
            <v>2834.1000000000004</v>
          </cell>
          <cell r="Q714" t="str">
            <v>Tallied</v>
          </cell>
        </row>
        <row r="715">
          <cell r="B715">
            <v>46137</v>
          </cell>
          <cell r="K715">
            <v>0</v>
          </cell>
          <cell r="M715">
            <v>0</v>
          </cell>
          <cell r="P715">
            <v>59072.18</v>
          </cell>
          <cell r="Q715" t="str">
            <v>Tallied</v>
          </cell>
        </row>
        <row r="716">
          <cell r="B716">
            <v>46137</v>
          </cell>
          <cell r="K716">
            <v>0</v>
          </cell>
          <cell r="M716">
            <v>0</v>
          </cell>
          <cell r="P716">
            <v>374708.18</v>
          </cell>
          <cell r="Q716" t="str">
            <v>Tallied</v>
          </cell>
        </row>
        <row r="717">
          <cell r="B717">
            <v>46137</v>
          </cell>
          <cell r="K717">
            <v>0</v>
          </cell>
          <cell r="M717">
            <v>0</v>
          </cell>
          <cell r="P717">
            <v>967458.72</v>
          </cell>
          <cell r="Q717" t="str">
            <v>Tallied</v>
          </cell>
        </row>
        <row r="718">
          <cell r="B718">
            <v>46137</v>
          </cell>
          <cell r="K718">
            <v>0</v>
          </cell>
          <cell r="M718">
            <v>0</v>
          </cell>
          <cell r="P718">
            <v>30963.06</v>
          </cell>
          <cell r="Q718" t="str">
            <v>Tallied</v>
          </cell>
        </row>
        <row r="719">
          <cell r="B719">
            <v>46137</v>
          </cell>
          <cell r="K719">
            <v>0</v>
          </cell>
          <cell r="M719">
            <v>0</v>
          </cell>
          <cell r="P719">
            <v>42262.65</v>
          </cell>
          <cell r="Q719" t="str">
            <v>Tallied</v>
          </cell>
        </row>
        <row r="720">
          <cell r="B720">
            <v>46137</v>
          </cell>
          <cell r="K720">
            <v>0</v>
          </cell>
          <cell r="M720">
            <v>0</v>
          </cell>
          <cell r="P720">
            <v>376.24</v>
          </cell>
          <cell r="Q720" t="str">
            <v>Tallied</v>
          </cell>
        </row>
        <row r="721">
          <cell r="B721">
            <v>46137</v>
          </cell>
          <cell r="K721">
            <v>0</v>
          </cell>
          <cell r="M721">
            <v>0</v>
          </cell>
          <cell r="P721">
            <v>196503.02</v>
          </cell>
          <cell r="Q721" t="str">
            <v>Tallied</v>
          </cell>
        </row>
        <row r="722">
          <cell r="B722">
            <v>46137</v>
          </cell>
          <cell r="K722">
            <v>0</v>
          </cell>
          <cell r="M722">
            <v>0</v>
          </cell>
          <cell r="P722">
            <v>1136425.3999999999</v>
          </cell>
          <cell r="Q722" t="str">
            <v>Tallied</v>
          </cell>
        </row>
        <row r="723">
          <cell r="B723">
            <v>46137</v>
          </cell>
          <cell r="K723">
            <v>0</v>
          </cell>
          <cell r="M723">
            <v>0</v>
          </cell>
          <cell r="P723">
            <v>1698.44</v>
          </cell>
          <cell r="Q723" t="str">
            <v>Tallied</v>
          </cell>
        </row>
        <row r="724">
          <cell r="B724">
            <v>46137</v>
          </cell>
          <cell r="K724">
            <v>0</v>
          </cell>
          <cell r="M724">
            <v>0</v>
          </cell>
          <cell r="P724">
            <v>21519.040000000001</v>
          </cell>
          <cell r="Q724" t="str">
            <v>Tallied</v>
          </cell>
        </row>
        <row r="725">
          <cell r="B725">
            <v>46137</v>
          </cell>
          <cell r="K725">
            <v>0</v>
          </cell>
          <cell r="M725">
            <v>0</v>
          </cell>
          <cell r="P725">
            <v>21525.439999999999</v>
          </cell>
          <cell r="Q725" t="str">
            <v>Tallied</v>
          </cell>
        </row>
        <row r="726">
          <cell r="B726">
            <v>46137</v>
          </cell>
          <cell r="K726">
            <v>0</v>
          </cell>
          <cell r="M726">
            <v>0</v>
          </cell>
          <cell r="P726">
            <v>5503.55</v>
          </cell>
          <cell r="Q726" t="str">
            <v>Tallied</v>
          </cell>
        </row>
        <row r="727">
          <cell r="B727">
            <v>46137</v>
          </cell>
          <cell r="K727">
            <v>0</v>
          </cell>
          <cell r="M727">
            <v>0</v>
          </cell>
          <cell r="P727">
            <v>9315</v>
          </cell>
          <cell r="Q727" t="str">
            <v>Tallied</v>
          </cell>
        </row>
        <row r="728">
          <cell r="B728">
            <v>46137</v>
          </cell>
          <cell r="K728">
            <v>0</v>
          </cell>
          <cell r="M728">
            <v>0</v>
          </cell>
          <cell r="P728">
            <v>2124.08</v>
          </cell>
          <cell r="Q728" t="str">
            <v>Tallied</v>
          </cell>
        </row>
        <row r="729">
          <cell r="B729">
            <v>46137</v>
          </cell>
          <cell r="K729">
            <v>0</v>
          </cell>
          <cell r="M729">
            <v>0</v>
          </cell>
          <cell r="P729">
            <v>33521.799999999996</v>
          </cell>
          <cell r="Q729" t="str">
            <v>Tallied</v>
          </cell>
        </row>
        <row r="730">
          <cell r="B730">
            <v>46137</v>
          </cell>
          <cell r="K730">
            <v>0</v>
          </cell>
          <cell r="M730">
            <v>0</v>
          </cell>
          <cell r="P730">
            <v>6172.32</v>
          </cell>
          <cell r="Q730" t="str">
            <v>Tallied</v>
          </cell>
        </row>
        <row r="731">
          <cell r="B731">
            <v>46137</v>
          </cell>
          <cell r="K731">
            <v>0</v>
          </cell>
          <cell r="M731">
            <v>0</v>
          </cell>
          <cell r="P731">
            <v>2211.4</v>
          </cell>
          <cell r="Q731" t="str">
            <v>Tallied</v>
          </cell>
        </row>
        <row r="732">
          <cell r="B732">
            <v>46137</v>
          </cell>
          <cell r="K732">
            <v>0</v>
          </cell>
          <cell r="M732">
            <v>0</v>
          </cell>
          <cell r="P732">
            <v>18853.439999999999</v>
          </cell>
          <cell r="Q732" t="str">
            <v>Tallied</v>
          </cell>
        </row>
        <row r="733">
          <cell r="B733">
            <v>46137</v>
          </cell>
          <cell r="K733">
            <v>0</v>
          </cell>
          <cell r="M733">
            <v>0</v>
          </cell>
          <cell r="P733">
            <v>42542.159999999996</v>
          </cell>
          <cell r="Q733" t="str">
            <v>Tallied</v>
          </cell>
        </row>
        <row r="734">
          <cell r="B734">
            <v>46137</v>
          </cell>
          <cell r="K734">
            <v>0</v>
          </cell>
          <cell r="M734">
            <v>0</v>
          </cell>
          <cell r="P734">
            <v>4324.1400000000003</v>
          </cell>
          <cell r="Q734" t="str">
            <v>Tallied</v>
          </cell>
        </row>
        <row r="735">
          <cell r="B735">
            <v>46137</v>
          </cell>
          <cell r="K735">
            <v>0</v>
          </cell>
          <cell r="M735">
            <v>0</v>
          </cell>
          <cell r="P735">
            <v>1799.46</v>
          </cell>
          <cell r="Q735" t="str">
            <v>Tallied</v>
          </cell>
        </row>
        <row r="736">
          <cell r="B736">
            <v>46137</v>
          </cell>
          <cell r="K736">
            <v>0</v>
          </cell>
          <cell r="M736">
            <v>0</v>
          </cell>
          <cell r="P736">
            <v>940.69</v>
          </cell>
          <cell r="Q736" t="str">
            <v>Tallied</v>
          </cell>
        </row>
        <row r="737">
          <cell r="B737">
            <v>46137</v>
          </cell>
          <cell r="K737">
            <v>0</v>
          </cell>
          <cell r="M737">
            <v>0</v>
          </cell>
          <cell r="P737">
            <v>11191.619999999999</v>
          </cell>
          <cell r="Q737" t="str">
            <v>Tallied</v>
          </cell>
        </row>
        <row r="738">
          <cell r="B738">
            <v>46137</v>
          </cell>
          <cell r="K738">
            <v>0</v>
          </cell>
          <cell r="M738">
            <v>0</v>
          </cell>
          <cell r="P738">
            <v>14396.619999999999</v>
          </cell>
          <cell r="Q738" t="str">
            <v>Tallied</v>
          </cell>
        </row>
        <row r="739">
          <cell r="B739">
            <v>46137</v>
          </cell>
          <cell r="K739">
            <v>0</v>
          </cell>
          <cell r="M739">
            <v>0</v>
          </cell>
          <cell r="P739">
            <v>12634.439999999999</v>
          </cell>
          <cell r="Q739" t="str">
            <v>Tallied</v>
          </cell>
        </row>
        <row r="740">
          <cell r="B740">
            <v>46137</v>
          </cell>
          <cell r="K740">
            <v>0</v>
          </cell>
          <cell r="M740">
            <v>0</v>
          </cell>
          <cell r="P740">
            <v>1068.4000000000001</v>
          </cell>
          <cell r="Q740" t="str">
            <v>Tallied</v>
          </cell>
        </row>
        <row r="741">
          <cell r="B741">
            <v>46137</v>
          </cell>
          <cell r="K741">
            <v>0</v>
          </cell>
          <cell r="M741">
            <v>0</v>
          </cell>
          <cell r="P741">
            <v>999.7</v>
          </cell>
          <cell r="Q741" t="str">
            <v>Tallied</v>
          </cell>
        </row>
        <row r="742">
          <cell r="B742">
            <v>46137</v>
          </cell>
          <cell r="K742">
            <v>0</v>
          </cell>
          <cell r="M742">
            <v>0</v>
          </cell>
          <cell r="P742">
            <v>3179.8500000000004</v>
          </cell>
          <cell r="Q742" t="str">
            <v>Tallied</v>
          </cell>
        </row>
        <row r="743">
          <cell r="B743">
            <v>46137</v>
          </cell>
          <cell r="K743">
            <v>0</v>
          </cell>
          <cell r="M743">
            <v>0</v>
          </cell>
          <cell r="P743">
            <v>2163.94</v>
          </cell>
          <cell r="Q743" t="str">
            <v>Tallied</v>
          </cell>
        </row>
        <row r="744">
          <cell r="B744">
            <v>46137</v>
          </cell>
          <cell r="K744">
            <v>0</v>
          </cell>
          <cell r="M744">
            <v>0</v>
          </cell>
          <cell r="P744">
            <v>600.87</v>
          </cell>
          <cell r="Q744" t="str">
            <v>Tallied</v>
          </cell>
        </row>
        <row r="745">
          <cell r="B745">
            <v>46137</v>
          </cell>
          <cell r="K745">
            <v>0</v>
          </cell>
          <cell r="M745">
            <v>0</v>
          </cell>
          <cell r="P745">
            <v>8642.34</v>
          </cell>
          <cell r="Q745" t="str">
            <v>Tallied</v>
          </cell>
        </row>
        <row r="746">
          <cell r="B746">
            <v>46137</v>
          </cell>
          <cell r="K746">
            <v>0</v>
          </cell>
          <cell r="M746">
            <v>0</v>
          </cell>
          <cell r="P746">
            <v>18495.68</v>
          </cell>
          <cell r="Q746" t="str">
            <v>Tallied</v>
          </cell>
        </row>
        <row r="747">
          <cell r="B747">
            <v>46137</v>
          </cell>
          <cell r="K747">
            <v>0</v>
          </cell>
          <cell r="M747">
            <v>0</v>
          </cell>
          <cell r="P747">
            <v>4361.5600000000004</v>
          </cell>
          <cell r="Q747" t="str">
            <v>Tallied</v>
          </cell>
        </row>
        <row r="748">
          <cell r="B748">
            <v>46137</v>
          </cell>
          <cell r="K748">
            <v>0</v>
          </cell>
          <cell r="M748">
            <v>0</v>
          </cell>
          <cell r="P748">
            <v>14825.91</v>
          </cell>
          <cell r="Q748" t="str">
            <v>Tallied</v>
          </cell>
        </row>
        <row r="749">
          <cell r="B749">
            <v>46137</v>
          </cell>
          <cell r="K749">
            <v>0</v>
          </cell>
          <cell r="M749">
            <v>0</v>
          </cell>
          <cell r="P749">
            <v>14825.91</v>
          </cell>
          <cell r="Q749" t="str">
            <v>Tallied</v>
          </cell>
        </row>
        <row r="750">
          <cell r="B750">
            <v>46137</v>
          </cell>
          <cell r="K750">
            <v>0</v>
          </cell>
          <cell r="M750">
            <v>0</v>
          </cell>
          <cell r="P750">
            <v>15185.789999999999</v>
          </cell>
          <cell r="Q750" t="str">
            <v>Tallied</v>
          </cell>
        </row>
        <row r="751">
          <cell r="B751">
            <v>46137</v>
          </cell>
          <cell r="K751">
            <v>0</v>
          </cell>
          <cell r="M751">
            <v>0</v>
          </cell>
          <cell r="P751">
            <v>3259.78</v>
          </cell>
          <cell r="Q751" t="str">
            <v>Tallied</v>
          </cell>
        </row>
        <row r="752">
          <cell r="B752">
            <v>46137</v>
          </cell>
          <cell r="K752">
            <v>0</v>
          </cell>
          <cell r="M752">
            <v>0</v>
          </cell>
          <cell r="P752">
            <v>9968.86</v>
          </cell>
          <cell r="Q752" t="str">
            <v>Tallied</v>
          </cell>
        </row>
        <row r="753">
          <cell r="B753">
            <v>46137</v>
          </cell>
          <cell r="K753">
            <v>0</v>
          </cell>
          <cell r="M753">
            <v>0</v>
          </cell>
          <cell r="P753">
            <v>115012.48000000001</v>
          </cell>
          <cell r="Q753" t="str">
            <v>Tallied</v>
          </cell>
        </row>
        <row r="754">
          <cell r="B754">
            <v>46137</v>
          </cell>
          <cell r="K754">
            <v>0</v>
          </cell>
          <cell r="M754">
            <v>0</v>
          </cell>
          <cell r="P754">
            <v>18164.23</v>
          </cell>
          <cell r="Q754" t="str">
            <v>Tallied</v>
          </cell>
        </row>
        <row r="755">
          <cell r="B755">
            <v>46137</v>
          </cell>
          <cell r="K755">
            <v>0</v>
          </cell>
          <cell r="M755">
            <v>0</v>
          </cell>
          <cell r="P755">
            <v>60346.62</v>
          </cell>
          <cell r="Q755" t="str">
            <v>Tallied</v>
          </cell>
        </row>
        <row r="756">
          <cell r="B756">
            <v>46137</v>
          </cell>
          <cell r="K756">
            <v>0</v>
          </cell>
          <cell r="M756">
            <v>0</v>
          </cell>
          <cell r="P756">
            <v>4470.12</v>
          </cell>
          <cell r="Q756" t="str">
            <v>Tallied</v>
          </cell>
        </row>
        <row r="757">
          <cell r="B757">
            <v>46137</v>
          </cell>
          <cell r="K757">
            <v>0</v>
          </cell>
          <cell r="M757">
            <v>0</v>
          </cell>
          <cell r="P757">
            <v>7646.37</v>
          </cell>
          <cell r="Q757" t="str">
            <v>Tallied</v>
          </cell>
        </row>
        <row r="758">
          <cell r="B758">
            <v>46137</v>
          </cell>
          <cell r="K758">
            <v>0</v>
          </cell>
          <cell r="M758">
            <v>0</v>
          </cell>
          <cell r="P758">
            <v>120154.45000000001</v>
          </cell>
          <cell r="Q758" t="str">
            <v>Tallied</v>
          </cell>
        </row>
        <row r="759">
          <cell r="B759">
            <v>46137</v>
          </cell>
          <cell r="K759">
            <v>0</v>
          </cell>
          <cell r="M759">
            <v>0</v>
          </cell>
          <cell r="P759">
            <v>60676.74</v>
          </cell>
          <cell r="Q759" t="str">
            <v>Tallied</v>
          </cell>
        </row>
        <row r="760">
          <cell r="B760">
            <v>46137</v>
          </cell>
          <cell r="K760">
            <v>0</v>
          </cell>
          <cell r="M760">
            <v>0</v>
          </cell>
          <cell r="P760">
            <v>4110.96</v>
          </cell>
          <cell r="Q760" t="str">
            <v>Tallied</v>
          </cell>
        </row>
        <row r="761">
          <cell r="B761">
            <v>46139</v>
          </cell>
          <cell r="K761">
            <v>0</v>
          </cell>
          <cell r="M761">
            <v>0</v>
          </cell>
          <cell r="P761">
            <v>3506.8</v>
          </cell>
          <cell r="Q761" t="str">
            <v>Tallied</v>
          </cell>
        </row>
        <row r="762">
          <cell r="B762">
            <v>46139</v>
          </cell>
          <cell r="K762">
            <v>0</v>
          </cell>
          <cell r="M762">
            <v>0</v>
          </cell>
          <cell r="P762">
            <v>6145.23</v>
          </cell>
          <cell r="Q762" t="str">
            <v>Tallied</v>
          </cell>
        </row>
        <row r="763">
          <cell r="B763">
            <v>46139</v>
          </cell>
          <cell r="K763">
            <v>0</v>
          </cell>
          <cell r="M763">
            <v>0</v>
          </cell>
          <cell r="P763">
            <v>489.20000000000005</v>
          </cell>
          <cell r="Q763" t="str">
            <v>Tallied</v>
          </cell>
        </row>
        <row r="764">
          <cell r="B764">
            <v>46139</v>
          </cell>
          <cell r="K764">
            <v>0</v>
          </cell>
          <cell r="M764">
            <v>0</v>
          </cell>
          <cell r="P764">
            <v>129936.35</v>
          </cell>
          <cell r="Q764" t="str">
            <v>Tallied</v>
          </cell>
        </row>
        <row r="765">
          <cell r="B765">
            <v>46139</v>
          </cell>
          <cell r="K765">
            <v>0</v>
          </cell>
          <cell r="M765">
            <v>0</v>
          </cell>
          <cell r="P765">
            <v>7461.04</v>
          </cell>
          <cell r="Q765" t="str">
            <v>Tallied</v>
          </cell>
        </row>
        <row r="766">
          <cell r="B766">
            <v>46139</v>
          </cell>
          <cell r="K766">
            <v>0</v>
          </cell>
          <cell r="M766">
            <v>0</v>
          </cell>
          <cell r="P766">
            <v>61850.250000000007</v>
          </cell>
          <cell r="Q766" t="str">
            <v>Tallied</v>
          </cell>
        </row>
        <row r="767">
          <cell r="B767">
            <v>46139</v>
          </cell>
          <cell r="K767">
            <v>0</v>
          </cell>
          <cell r="M767">
            <v>0</v>
          </cell>
          <cell r="P767">
            <v>3068.88</v>
          </cell>
          <cell r="Q767" t="str">
            <v>Tallied</v>
          </cell>
        </row>
        <row r="768">
          <cell r="B768">
            <v>46139</v>
          </cell>
          <cell r="K768">
            <v>0</v>
          </cell>
          <cell r="M768">
            <v>0</v>
          </cell>
          <cell r="P768">
            <v>7552.96</v>
          </cell>
          <cell r="Q768" t="str">
            <v>Tallied</v>
          </cell>
        </row>
        <row r="769">
          <cell r="B769">
            <v>46139</v>
          </cell>
          <cell r="K769">
            <v>0</v>
          </cell>
          <cell r="M769">
            <v>0</v>
          </cell>
          <cell r="P769">
            <v>3576.26</v>
          </cell>
          <cell r="Q769" t="str">
            <v>Tallied</v>
          </cell>
        </row>
        <row r="770">
          <cell r="B770">
            <v>46139</v>
          </cell>
          <cell r="K770">
            <v>0</v>
          </cell>
          <cell r="M770">
            <v>0</v>
          </cell>
          <cell r="P770">
            <v>52354.99</v>
          </cell>
          <cell r="Q770" t="str">
            <v>Tallied</v>
          </cell>
        </row>
        <row r="771">
          <cell r="B771">
            <v>46139</v>
          </cell>
          <cell r="K771">
            <v>0</v>
          </cell>
          <cell r="M771">
            <v>0</v>
          </cell>
          <cell r="P771">
            <v>1604.1999999999998</v>
          </cell>
          <cell r="Q771" t="str">
            <v>Tallied</v>
          </cell>
        </row>
        <row r="772">
          <cell r="B772">
            <v>46139</v>
          </cell>
          <cell r="K772">
            <v>0</v>
          </cell>
          <cell r="M772">
            <v>0</v>
          </cell>
          <cell r="P772">
            <v>619.72</v>
          </cell>
          <cell r="Q772" t="str">
            <v>Tallied</v>
          </cell>
        </row>
        <row r="773">
          <cell r="B773">
            <v>46139</v>
          </cell>
          <cell r="K773">
            <v>0</v>
          </cell>
          <cell r="M773">
            <v>0</v>
          </cell>
          <cell r="P773">
            <v>58023.55</v>
          </cell>
          <cell r="Q773" t="str">
            <v>Tallied</v>
          </cell>
        </row>
        <row r="774">
          <cell r="B774">
            <v>46139</v>
          </cell>
          <cell r="K774">
            <v>0</v>
          </cell>
          <cell r="M774">
            <v>0</v>
          </cell>
          <cell r="P774">
            <v>16308.6</v>
          </cell>
          <cell r="Q774" t="str">
            <v>Tallied</v>
          </cell>
        </row>
        <row r="775">
          <cell r="B775">
            <v>46139</v>
          </cell>
          <cell r="K775">
            <v>0</v>
          </cell>
          <cell r="M775">
            <v>0</v>
          </cell>
          <cell r="P775">
            <v>11776.31</v>
          </cell>
          <cell r="Q775" t="str">
            <v>Tallied</v>
          </cell>
        </row>
        <row r="776">
          <cell r="B776">
            <v>46139</v>
          </cell>
          <cell r="K776">
            <v>0</v>
          </cell>
          <cell r="M776">
            <v>0</v>
          </cell>
          <cell r="P776">
            <v>10973.28</v>
          </cell>
          <cell r="Q776" t="str">
            <v>Tallied</v>
          </cell>
        </row>
        <row r="777">
          <cell r="B777">
            <v>46139</v>
          </cell>
          <cell r="K777">
            <v>0</v>
          </cell>
          <cell r="M777">
            <v>0</v>
          </cell>
          <cell r="P777">
            <v>14695.800000000001</v>
          </cell>
          <cell r="Q777" t="str">
            <v>Tallied</v>
          </cell>
        </row>
        <row r="778">
          <cell r="B778">
            <v>46139</v>
          </cell>
          <cell r="K778">
            <v>0</v>
          </cell>
          <cell r="M778">
            <v>0</v>
          </cell>
          <cell r="P778">
            <v>241096.84</v>
          </cell>
          <cell r="Q778" t="str">
            <v>Tallied</v>
          </cell>
        </row>
        <row r="779">
          <cell r="B779">
            <v>46139</v>
          </cell>
          <cell r="K779">
            <v>0</v>
          </cell>
          <cell r="M779">
            <v>0</v>
          </cell>
          <cell r="P779">
            <v>405968.4</v>
          </cell>
          <cell r="Q779" t="str">
            <v>Tallied</v>
          </cell>
        </row>
        <row r="780">
          <cell r="B780">
            <v>46139</v>
          </cell>
          <cell r="K780">
            <v>0</v>
          </cell>
          <cell r="M780">
            <v>0</v>
          </cell>
          <cell r="P780">
            <v>1828.72</v>
          </cell>
          <cell r="Q780" t="str">
            <v>Tallied</v>
          </cell>
        </row>
        <row r="781">
          <cell r="B781">
            <v>46139</v>
          </cell>
          <cell r="K781">
            <v>0</v>
          </cell>
          <cell r="M781">
            <v>0</v>
          </cell>
          <cell r="P781">
            <v>13708.38</v>
          </cell>
          <cell r="Q781" t="str">
            <v>Tallied</v>
          </cell>
        </row>
        <row r="782">
          <cell r="B782">
            <v>46139</v>
          </cell>
          <cell r="K782">
            <v>0</v>
          </cell>
          <cell r="M782">
            <v>0</v>
          </cell>
          <cell r="P782">
            <v>55420.200000000004</v>
          </cell>
          <cell r="Q782" t="str">
            <v>Tallied</v>
          </cell>
        </row>
        <row r="783">
          <cell r="B783">
            <v>46139</v>
          </cell>
          <cell r="K783">
            <v>0</v>
          </cell>
          <cell r="M783">
            <v>0</v>
          </cell>
          <cell r="P783">
            <v>1984.3</v>
          </cell>
          <cell r="Q783" t="str">
            <v>Tallied</v>
          </cell>
        </row>
        <row r="784">
          <cell r="B784">
            <v>46139</v>
          </cell>
          <cell r="K784">
            <v>0</v>
          </cell>
          <cell r="M784">
            <v>0</v>
          </cell>
          <cell r="P784">
            <v>12087.42</v>
          </cell>
          <cell r="Q784" t="str">
            <v>Tallied</v>
          </cell>
        </row>
        <row r="785">
          <cell r="B785">
            <v>46139</v>
          </cell>
          <cell r="K785">
            <v>0</v>
          </cell>
          <cell r="M785">
            <v>0</v>
          </cell>
          <cell r="P785">
            <v>16103.8</v>
          </cell>
          <cell r="Q785" t="str">
            <v>Tallied</v>
          </cell>
        </row>
        <row r="786">
          <cell r="B786">
            <v>46139</v>
          </cell>
          <cell r="K786">
            <v>0</v>
          </cell>
          <cell r="M786">
            <v>0</v>
          </cell>
          <cell r="P786">
            <v>12731.16</v>
          </cell>
          <cell r="Q786" t="str">
            <v>Tallied</v>
          </cell>
        </row>
        <row r="787">
          <cell r="B787">
            <v>46139</v>
          </cell>
          <cell r="K787">
            <v>0</v>
          </cell>
          <cell r="M787">
            <v>0</v>
          </cell>
          <cell r="P787">
            <v>3169.2000000000003</v>
          </cell>
          <cell r="Q787" t="str">
            <v>Tallied</v>
          </cell>
        </row>
        <row r="788">
          <cell r="B788">
            <v>46139</v>
          </cell>
          <cell r="K788">
            <v>0</v>
          </cell>
          <cell r="M788">
            <v>0</v>
          </cell>
          <cell r="P788">
            <v>144236.6</v>
          </cell>
          <cell r="Q788" t="str">
            <v>Tallied</v>
          </cell>
        </row>
        <row r="789">
          <cell r="B789">
            <v>46139</v>
          </cell>
          <cell r="K789">
            <v>0</v>
          </cell>
          <cell r="M789">
            <v>0</v>
          </cell>
          <cell r="P789">
            <v>1693.4</v>
          </cell>
          <cell r="Q789" t="str">
            <v>Tallied</v>
          </cell>
        </row>
        <row r="790">
          <cell r="B790">
            <v>46139</v>
          </cell>
          <cell r="K790">
            <v>0</v>
          </cell>
          <cell r="M790">
            <v>0</v>
          </cell>
          <cell r="P790">
            <v>12424.5</v>
          </cell>
          <cell r="Q790" t="str">
            <v>Tallied</v>
          </cell>
        </row>
        <row r="791">
          <cell r="B791">
            <v>46139</v>
          </cell>
          <cell r="K791">
            <v>0</v>
          </cell>
          <cell r="M791">
            <v>0</v>
          </cell>
          <cell r="P791">
            <v>509.25</v>
          </cell>
          <cell r="Q791" t="str">
            <v>Tallied</v>
          </cell>
        </row>
        <row r="792">
          <cell r="B792">
            <v>46139</v>
          </cell>
          <cell r="K792">
            <v>0</v>
          </cell>
          <cell r="M792">
            <v>0</v>
          </cell>
          <cell r="P792">
            <v>27014.399999999998</v>
          </cell>
          <cell r="Q792" t="str">
            <v>Tallied</v>
          </cell>
        </row>
        <row r="793">
          <cell r="B793">
            <v>46139</v>
          </cell>
          <cell r="K793">
            <v>0</v>
          </cell>
          <cell r="M793">
            <v>0</v>
          </cell>
          <cell r="P793">
            <v>5948.7</v>
          </cell>
          <cell r="Q793" t="str">
            <v>Tallied</v>
          </cell>
        </row>
        <row r="794">
          <cell r="B794">
            <v>46139</v>
          </cell>
          <cell r="K794">
            <v>0</v>
          </cell>
          <cell r="M794">
            <v>0</v>
          </cell>
          <cell r="P794">
            <v>572.52</v>
          </cell>
          <cell r="Q794" t="str">
            <v>Tallied</v>
          </cell>
        </row>
        <row r="795">
          <cell r="B795">
            <v>46139</v>
          </cell>
          <cell r="K795">
            <v>0</v>
          </cell>
          <cell r="M795">
            <v>0</v>
          </cell>
          <cell r="P795">
            <v>578.16</v>
          </cell>
          <cell r="Q795" t="str">
            <v>Tallied</v>
          </cell>
        </row>
        <row r="796">
          <cell r="B796">
            <v>46139</v>
          </cell>
          <cell r="K796">
            <v>0</v>
          </cell>
          <cell r="M796">
            <v>0</v>
          </cell>
          <cell r="P796">
            <v>577.02</v>
          </cell>
          <cell r="Q796" t="str">
            <v>Tallied</v>
          </cell>
        </row>
        <row r="797">
          <cell r="B797">
            <v>46139</v>
          </cell>
          <cell r="K797">
            <v>0</v>
          </cell>
          <cell r="M797">
            <v>0</v>
          </cell>
          <cell r="P797">
            <v>758.56</v>
          </cell>
          <cell r="Q797" t="str">
            <v>Tallied</v>
          </cell>
        </row>
        <row r="798">
          <cell r="B798">
            <v>46139</v>
          </cell>
          <cell r="K798">
            <v>0</v>
          </cell>
          <cell r="M798">
            <v>0</v>
          </cell>
          <cell r="P798">
            <v>26753.960000000003</v>
          </cell>
          <cell r="Q798" t="str">
            <v>Tallied</v>
          </cell>
        </row>
        <row r="799">
          <cell r="B799">
            <v>46139</v>
          </cell>
          <cell r="K799">
            <v>0</v>
          </cell>
          <cell r="M799">
            <v>0</v>
          </cell>
          <cell r="P799">
            <v>14273.939999999999</v>
          </cell>
          <cell r="Q799" t="str">
            <v>Tallied</v>
          </cell>
        </row>
        <row r="800">
          <cell r="B800">
            <v>46139</v>
          </cell>
          <cell r="K800">
            <v>0</v>
          </cell>
          <cell r="M800">
            <v>0</v>
          </cell>
          <cell r="P800">
            <v>886.08</v>
          </cell>
          <cell r="Q800" t="str">
            <v>Tallied</v>
          </cell>
        </row>
        <row r="801">
          <cell r="B801">
            <v>46139</v>
          </cell>
          <cell r="K801">
            <v>0</v>
          </cell>
          <cell r="M801">
            <v>0</v>
          </cell>
          <cell r="P801">
            <v>86083.200000000012</v>
          </cell>
          <cell r="Q801" t="str">
            <v>Tallied</v>
          </cell>
        </row>
        <row r="802">
          <cell r="B802">
            <v>46139</v>
          </cell>
          <cell r="K802">
            <v>0</v>
          </cell>
          <cell r="M802">
            <v>0</v>
          </cell>
          <cell r="P802">
            <v>1085716.3999999999</v>
          </cell>
          <cell r="Q802" t="str">
            <v>Tallied</v>
          </cell>
        </row>
        <row r="803">
          <cell r="B803">
            <v>46139</v>
          </cell>
          <cell r="K803">
            <v>0</v>
          </cell>
          <cell r="M803">
            <v>0</v>
          </cell>
          <cell r="P803">
            <v>54724</v>
          </cell>
          <cell r="Q803" t="str">
            <v>Tallied</v>
          </cell>
        </row>
        <row r="804">
          <cell r="B804">
            <v>46139</v>
          </cell>
          <cell r="K804">
            <v>0</v>
          </cell>
          <cell r="M804">
            <v>0</v>
          </cell>
          <cell r="P804">
            <v>804689.10000000009</v>
          </cell>
          <cell r="Q804" t="str">
            <v>Tallied</v>
          </cell>
        </row>
        <row r="805">
          <cell r="B805">
            <v>46139</v>
          </cell>
          <cell r="K805">
            <v>0</v>
          </cell>
          <cell r="M805">
            <v>0</v>
          </cell>
          <cell r="P805">
            <v>54512</v>
          </cell>
          <cell r="Q805" t="str">
            <v>Tallied</v>
          </cell>
        </row>
        <row r="806">
          <cell r="B806">
            <v>46139</v>
          </cell>
          <cell r="K806">
            <v>0</v>
          </cell>
          <cell r="M806">
            <v>0</v>
          </cell>
          <cell r="P806">
            <v>35237.440000000002</v>
          </cell>
          <cell r="Q806" t="str">
            <v>Tallied</v>
          </cell>
        </row>
        <row r="807">
          <cell r="B807">
            <v>46139</v>
          </cell>
          <cell r="K807">
            <v>0</v>
          </cell>
          <cell r="M807">
            <v>0</v>
          </cell>
          <cell r="P807">
            <v>21216.87</v>
          </cell>
          <cell r="Q807" t="str">
            <v>Tallied</v>
          </cell>
        </row>
        <row r="808">
          <cell r="B808">
            <v>46139</v>
          </cell>
          <cell r="K808">
            <v>0</v>
          </cell>
          <cell r="M808">
            <v>0</v>
          </cell>
          <cell r="P808">
            <v>3423.05</v>
          </cell>
          <cell r="Q808" t="str">
            <v>Tallied</v>
          </cell>
        </row>
        <row r="809">
          <cell r="B809">
            <v>46139</v>
          </cell>
          <cell r="K809">
            <v>0</v>
          </cell>
          <cell r="M809">
            <v>0</v>
          </cell>
          <cell r="P809">
            <v>731914.52</v>
          </cell>
          <cell r="Q809" t="str">
            <v>Tallied</v>
          </cell>
        </row>
        <row r="810">
          <cell r="B810">
            <v>46139</v>
          </cell>
          <cell r="K810">
            <v>0</v>
          </cell>
          <cell r="M810">
            <v>0</v>
          </cell>
          <cell r="P810">
            <v>45933</v>
          </cell>
          <cell r="Q810" t="str">
            <v>Tallied</v>
          </cell>
        </row>
        <row r="811">
          <cell r="B811">
            <v>46139</v>
          </cell>
          <cell r="K811">
            <v>0</v>
          </cell>
          <cell r="M811">
            <v>0</v>
          </cell>
          <cell r="P811">
            <v>1224.3599999999999</v>
          </cell>
          <cell r="Q811" t="str">
            <v>Tallied</v>
          </cell>
        </row>
        <row r="812">
          <cell r="B812">
            <v>46140</v>
          </cell>
          <cell r="K812">
            <v>0</v>
          </cell>
          <cell r="M812">
            <v>0</v>
          </cell>
          <cell r="P812">
            <v>43828.2</v>
          </cell>
          <cell r="Q812" t="str">
            <v>Tallied</v>
          </cell>
        </row>
        <row r="813">
          <cell r="B813">
            <v>46140</v>
          </cell>
          <cell r="K813">
            <v>0</v>
          </cell>
          <cell r="M813">
            <v>0</v>
          </cell>
          <cell r="P813">
            <v>2005.6799999999998</v>
          </cell>
          <cell r="Q813" t="str">
            <v>Tallied</v>
          </cell>
        </row>
        <row r="814">
          <cell r="B814">
            <v>46140</v>
          </cell>
          <cell r="K814">
            <v>0</v>
          </cell>
          <cell r="M814">
            <v>0</v>
          </cell>
          <cell r="P814">
            <v>4557.18</v>
          </cell>
          <cell r="Q814" t="str">
            <v>Tallied</v>
          </cell>
        </row>
        <row r="815">
          <cell r="B815">
            <v>46140</v>
          </cell>
          <cell r="K815">
            <v>0</v>
          </cell>
          <cell r="M815">
            <v>0</v>
          </cell>
          <cell r="P815">
            <v>1330.62</v>
          </cell>
          <cell r="Q815" t="str">
            <v>Tallied</v>
          </cell>
        </row>
        <row r="816">
          <cell r="B816">
            <v>46140</v>
          </cell>
          <cell r="K816">
            <v>0</v>
          </cell>
          <cell r="M816">
            <v>0</v>
          </cell>
          <cell r="P816">
            <v>9671.0399999999991</v>
          </cell>
          <cell r="Q816" t="str">
            <v>Tallied</v>
          </cell>
        </row>
        <row r="817">
          <cell r="B817">
            <v>46140</v>
          </cell>
          <cell r="K817">
            <v>0</v>
          </cell>
          <cell r="M817">
            <v>0</v>
          </cell>
          <cell r="P817">
            <v>106591.76999999999</v>
          </cell>
          <cell r="Q817" t="str">
            <v>Tallied</v>
          </cell>
        </row>
        <row r="818">
          <cell r="B818">
            <v>46140</v>
          </cell>
          <cell r="K818">
            <v>0</v>
          </cell>
          <cell r="M818">
            <v>0</v>
          </cell>
          <cell r="P818">
            <v>1252.2</v>
          </cell>
          <cell r="Q818" t="str">
            <v>Tallied</v>
          </cell>
        </row>
        <row r="819">
          <cell r="B819">
            <v>46140</v>
          </cell>
          <cell r="K819">
            <v>0</v>
          </cell>
          <cell r="M819">
            <v>0</v>
          </cell>
          <cell r="P819">
            <v>413667.55</v>
          </cell>
          <cell r="Q819" t="str">
            <v>Tallied</v>
          </cell>
        </row>
        <row r="820">
          <cell r="B820">
            <v>46140</v>
          </cell>
          <cell r="K820">
            <v>0</v>
          </cell>
          <cell r="M820">
            <v>0</v>
          </cell>
          <cell r="P820">
            <v>2031572.04</v>
          </cell>
          <cell r="Q820" t="str">
            <v>Tallied</v>
          </cell>
        </row>
        <row r="821">
          <cell r="B821">
            <v>46140</v>
          </cell>
          <cell r="K821">
            <v>0</v>
          </cell>
          <cell r="M821">
            <v>0</v>
          </cell>
          <cell r="P821">
            <v>423363.85000000003</v>
          </cell>
          <cell r="Q821" t="str">
            <v>Tallied</v>
          </cell>
        </row>
        <row r="822">
          <cell r="B822">
            <v>46140</v>
          </cell>
          <cell r="K822">
            <v>0</v>
          </cell>
          <cell r="M822">
            <v>0</v>
          </cell>
          <cell r="P822">
            <v>7078.05</v>
          </cell>
          <cell r="Q822" t="str">
            <v>Tallied</v>
          </cell>
        </row>
        <row r="823">
          <cell r="B823">
            <v>46140</v>
          </cell>
          <cell r="K823">
            <v>0</v>
          </cell>
          <cell r="M823">
            <v>0</v>
          </cell>
          <cell r="P823">
            <v>2328.06</v>
          </cell>
          <cell r="Q823" t="str">
            <v>Tallied</v>
          </cell>
        </row>
        <row r="824">
          <cell r="B824">
            <v>46140</v>
          </cell>
          <cell r="K824">
            <v>0</v>
          </cell>
          <cell r="M824">
            <v>0</v>
          </cell>
          <cell r="P824">
            <v>24844.75</v>
          </cell>
          <cell r="Q824" t="str">
            <v>Tallied</v>
          </cell>
        </row>
        <row r="825">
          <cell r="B825">
            <v>46140</v>
          </cell>
          <cell r="K825">
            <v>0</v>
          </cell>
          <cell r="M825">
            <v>0</v>
          </cell>
          <cell r="P825">
            <v>4984.4599999999991</v>
          </cell>
          <cell r="Q825" t="str">
            <v>Tallied</v>
          </cell>
        </row>
        <row r="826">
          <cell r="B826">
            <v>46140</v>
          </cell>
          <cell r="K826">
            <v>0</v>
          </cell>
          <cell r="M826">
            <v>0</v>
          </cell>
          <cell r="P826">
            <v>2267.15</v>
          </cell>
          <cell r="Q826" t="str">
            <v>Tallied</v>
          </cell>
        </row>
        <row r="827">
          <cell r="B827">
            <v>46140</v>
          </cell>
          <cell r="K827">
            <v>0</v>
          </cell>
          <cell r="M827">
            <v>0</v>
          </cell>
          <cell r="P827">
            <v>11278.599999999999</v>
          </cell>
          <cell r="Q827" t="str">
            <v>Tallied</v>
          </cell>
        </row>
        <row r="828">
          <cell r="B828">
            <v>46140</v>
          </cell>
          <cell r="K828">
            <v>0</v>
          </cell>
          <cell r="M828">
            <v>0</v>
          </cell>
          <cell r="P828">
            <v>329.54</v>
          </cell>
          <cell r="Q828" t="str">
            <v>Tallied</v>
          </cell>
        </row>
        <row r="829">
          <cell r="B829">
            <v>46140</v>
          </cell>
          <cell r="K829">
            <v>0</v>
          </cell>
          <cell r="M829">
            <v>0</v>
          </cell>
          <cell r="P829">
            <v>646.24</v>
          </cell>
          <cell r="Q829" t="str">
            <v>Tallied</v>
          </cell>
        </row>
        <row r="830">
          <cell r="B830">
            <v>46140</v>
          </cell>
          <cell r="K830">
            <v>0</v>
          </cell>
          <cell r="M830">
            <v>0</v>
          </cell>
          <cell r="P830">
            <v>5090.9100000000008</v>
          </cell>
          <cell r="Q830" t="str">
            <v>Tallied</v>
          </cell>
        </row>
        <row r="831">
          <cell r="B831">
            <v>46140</v>
          </cell>
          <cell r="K831">
            <v>0</v>
          </cell>
          <cell r="M831">
            <v>0</v>
          </cell>
          <cell r="P831">
            <v>1190.5999999999999</v>
          </cell>
          <cell r="Q831" t="str">
            <v>Tallied</v>
          </cell>
        </row>
        <row r="832">
          <cell r="B832">
            <v>46140</v>
          </cell>
          <cell r="K832">
            <v>0</v>
          </cell>
          <cell r="M832">
            <v>0</v>
          </cell>
          <cell r="P832">
            <v>3228.56</v>
          </cell>
          <cell r="Q832" t="str">
            <v>Tallied</v>
          </cell>
        </row>
        <row r="833">
          <cell r="B833">
            <v>46140</v>
          </cell>
          <cell r="K833">
            <v>0</v>
          </cell>
          <cell r="M833">
            <v>0</v>
          </cell>
          <cell r="P833">
            <v>802.95</v>
          </cell>
          <cell r="Q833" t="str">
            <v>Tallied</v>
          </cell>
        </row>
        <row r="834">
          <cell r="B834">
            <v>46140</v>
          </cell>
          <cell r="K834">
            <v>0</v>
          </cell>
          <cell r="M834">
            <v>0</v>
          </cell>
          <cell r="P834">
            <v>2603.6000000000004</v>
          </cell>
          <cell r="Q834" t="str">
            <v>Tallied</v>
          </cell>
        </row>
        <row r="835">
          <cell r="B835">
            <v>46140</v>
          </cell>
          <cell r="K835">
            <v>0</v>
          </cell>
          <cell r="M835">
            <v>0</v>
          </cell>
          <cell r="P835">
            <v>1419</v>
          </cell>
          <cell r="Q835" t="str">
            <v>Tallied</v>
          </cell>
        </row>
        <row r="836">
          <cell r="B836">
            <v>46140</v>
          </cell>
          <cell r="K836">
            <v>0</v>
          </cell>
          <cell r="M836">
            <v>0</v>
          </cell>
          <cell r="P836">
            <v>1441.8000000000002</v>
          </cell>
          <cell r="Q836" t="str">
            <v>Tallied</v>
          </cell>
        </row>
        <row r="837">
          <cell r="B837">
            <v>46140</v>
          </cell>
          <cell r="K837">
            <v>0</v>
          </cell>
          <cell r="M837">
            <v>0</v>
          </cell>
          <cell r="P837">
            <v>6937.4400000000005</v>
          </cell>
          <cell r="Q837" t="str">
            <v>Tallied</v>
          </cell>
        </row>
        <row r="838">
          <cell r="B838">
            <v>46140</v>
          </cell>
          <cell r="K838">
            <v>0</v>
          </cell>
          <cell r="M838">
            <v>0</v>
          </cell>
          <cell r="P838">
            <v>4211.8</v>
          </cell>
          <cell r="Q838" t="str">
            <v>Tallied</v>
          </cell>
        </row>
        <row r="839">
          <cell r="B839">
            <v>46140</v>
          </cell>
          <cell r="K839">
            <v>0</v>
          </cell>
          <cell r="M839">
            <v>0</v>
          </cell>
          <cell r="P839">
            <v>2466.9</v>
          </cell>
          <cell r="Q839" t="str">
            <v>Tallied</v>
          </cell>
        </row>
        <row r="840">
          <cell r="B840">
            <v>46140</v>
          </cell>
          <cell r="K840">
            <v>0</v>
          </cell>
          <cell r="M840">
            <v>0</v>
          </cell>
          <cell r="P840">
            <v>1604.5700000000002</v>
          </cell>
          <cell r="Q840" t="str">
            <v>Tallied</v>
          </cell>
        </row>
        <row r="841">
          <cell r="B841">
            <v>46140</v>
          </cell>
          <cell r="K841">
            <v>0</v>
          </cell>
          <cell r="M841">
            <v>0</v>
          </cell>
          <cell r="P841">
            <v>811.96</v>
          </cell>
          <cell r="Q841" t="str">
            <v>Tallied</v>
          </cell>
        </row>
        <row r="842">
          <cell r="B842">
            <v>46140</v>
          </cell>
          <cell r="K842">
            <v>0</v>
          </cell>
          <cell r="M842">
            <v>0</v>
          </cell>
          <cell r="P842">
            <v>9105.6</v>
          </cell>
          <cell r="Q842" t="str">
            <v>Tallied</v>
          </cell>
        </row>
        <row r="843">
          <cell r="B843">
            <v>46140</v>
          </cell>
          <cell r="K843">
            <v>0</v>
          </cell>
          <cell r="M843">
            <v>0</v>
          </cell>
          <cell r="P843">
            <v>10032.549999999999</v>
          </cell>
          <cell r="Q843" t="str">
            <v>Tallied</v>
          </cell>
        </row>
        <row r="844">
          <cell r="B844">
            <v>46140</v>
          </cell>
          <cell r="K844">
            <v>0</v>
          </cell>
          <cell r="M844">
            <v>0</v>
          </cell>
          <cell r="P844">
            <v>2661.42</v>
          </cell>
          <cell r="Q844" t="str">
            <v>Tallied</v>
          </cell>
        </row>
        <row r="845">
          <cell r="B845">
            <v>46140</v>
          </cell>
          <cell r="K845">
            <v>0</v>
          </cell>
          <cell r="M845">
            <v>0</v>
          </cell>
          <cell r="P845">
            <v>2637.27</v>
          </cell>
          <cell r="Q845" t="str">
            <v>Tallied</v>
          </cell>
        </row>
        <row r="846">
          <cell r="B846">
            <v>46140</v>
          </cell>
          <cell r="K846">
            <v>0</v>
          </cell>
          <cell r="M846">
            <v>0</v>
          </cell>
          <cell r="P846">
            <v>2630.67</v>
          </cell>
          <cell r="Q846" t="str">
            <v>Tallied</v>
          </cell>
        </row>
        <row r="847">
          <cell r="B847">
            <v>46140</v>
          </cell>
          <cell r="K847">
            <v>0</v>
          </cell>
          <cell r="M847">
            <v>0</v>
          </cell>
          <cell r="P847">
            <v>3566.84</v>
          </cell>
          <cell r="Q847" t="str">
            <v>Tallied</v>
          </cell>
        </row>
        <row r="848">
          <cell r="B848">
            <v>46140</v>
          </cell>
          <cell r="K848">
            <v>0</v>
          </cell>
          <cell r="M848">
            <v>0</v>
          </cell>
          <cell r="P848">
            <v>58557.5</v>
          </cell>
          <cell r="Q848" t="str">
            <v>Tallied</v>
          </cell>
        </row>
        <row r="849">
          <cell r="B849">
            <v>46140</v>
          </cell>
          <cell r="K849">
            <v>0</v>
          </cell>
          <cell r="M849">
            <v>0</v>
          </cell>
          <cell r="P849">
            <v>57720.15</v>
          </cell>
          <cell r="Q849" t="str">
            <v>Tallied</v>
          </cell>
        </row>
        <row r="850">
          <cell r="B850">
            <v>46140</v>
          </cell>
          <cell r="K850">
            <v>0</v>
          </cell>
          <cell r="M850">
            <v>0</v>
          </cell>
          <cell r="P850">
            <v>38040</v>
          </cell>
          <cell r="Q850" t="str">
            <v>Tallied</v>
          </cell>
        </row>
        <row r="851">
          <cell r="B851">
            <v>46140</v>
          </cell>
          <cell r="K851">
            <v>0</v>
          </cell>
          <cell r="M851">
            <v>0</v>
          </cell>
          <cell r="P851">
            <v>25360</v>
          </cell>
          <cell r="Q851" t="str">
            <v>Tallied</v>
          </cell>
        </row>
        <row r="852">
          <cell r="B852">
            <v>46140</v>
          </cell>
          <cell r="K852">
            <v>0</v>
          </cell>
          <cell r="M852">
            <v>0</v>
          </cell>
          <cell r="P852">
            <v>2537.56</v>
          </cell>
          <cell r="Q852" t="str">
            <v>Tallied</v>
          </cell>
        </row>
        <row r="853">
          <cell r="B853">
            <v>46140</v>
          </cell>
          <cell r="K853">
            <v>0</v>
          </cell>
          <cell r="M853">
            <v>0</v>
          </cell>
          <cell r="P853">
            <v>8800</v>
          </cell>
          <cell r="Q853" t="str">
            <v>Tallied</v>
          </cell>
        </row>
        <row r="854">
          <cell r="B854">
            <v>46140</v>
          </cell>
          <cell r="K854">
            <v>0</v>
          </cell>
          <cell r="M854">
            <v>0</v>
          </cell>
          <cell r="P854">
            <v>2538</v>
          </cell>
          <cell r="Q854" t="str">
            <v>Tallied</v>
          </cell>
        </row>
        <row r="855">
          <cell r="B855">
            <v>46140</v>
          </cell>
          <cell r="K855">
            <v>0</v>
          </cell>
          <cell r="M855">
            <v>0</v>
          </cell>
          <cell r="P855">
            <v>11421</v>
          </cell>
          <cell r="Q855" t="str">
            <v>Tallied</v>
          </cell>
        </row>
        <row r="856">
          <cell r="B856">
            <v>46140</v>
          </cell>
          <cell r="K856">
            <v>0</v>
          </cell>
          <cell r="M856">
            <v>0</v>
          </cell>
          <cell r="P856">
            <v>5458.35</v>
          </cell>
          <cell r="Q856" t="str">
            <v>Tallied</v>
          </cell>
        </row>
        <row r="857">
          <cell r="B857">
            <v>46140</v>
          </cell>
          <cell r="K857">
            <v>0</v>
          </cell>
          <cell r="M857">
            <v>0</v>
          </cell>
          <cell r="P857">
            <v>12915.9</v>
          </cell>
          <cell r="Q857" t="str">
            <v>Tallied</v>
          </cell>
        </row>
        <row r="858">
          <cell r="B858">
            <v>46140</v>
          </cell>
          <cell r="K858">
            <v>0</v>
          </cell>
          <cell r="M858">
            <v>0</v>
          </cell>
          <cell r="P858">
            <v>1166.99</v>
          </cell>
          <cell r="Q858" t="str">
            <v>Tallied</v>
          </cell>
        </row>
        <row r="859">
          <cell r="B859">
            <v>46140</v>
          </cell>
          <cell r="K859">
            <v>0</v>
          </cell>
          <cell r="M859">
            <v>0</v>
          </cell>
          <cell r="P859">
            <v>2200</v>
          </cell>
          <cell r="Q859" t="str">
            <v>Tallied</v>
          </cell>
        </row>
        <row r="860">
          <cell r="B860">
            <v>46140</v>
          </cell>
          <cell r="K860">
            <v>0</v>
          </cell>
          <cell r="M860">
            <v>0</v>
          </cell>
          <cell r="P860">
            <v>25705.83</v>
          </cell>
          <cell r="Q860" t="str">
            <v>Tallied</v>
          </cell>
        </row>
        <row r="861">
          <cell r="B861">
            <v>46140</v>
          </cell>
          <cell r="K861">
            <v>0</v>
          </cell>
          <cell r="M861">
            <v>0</v>
          </cell>
          <cell r="P861">
            <v>10284.08</v>
          </cell>
          <cell r="Q861" t="str">
            <v>Tallied</v>
          </cell>
        </row>
        <row r="862">
          <cell r="B862">
            <v>46141</v>
          </cell>
          <cell r="K862">
            <v>0</v>
          </cell>
          <cell r="M862">
            <v>0</v>
          </cell>
          <cell r="P862">
            <v>82972.160000000003</v>
          </cell>
          <cell r="Q862" t="str">
            <v>Tallied</v>
          </cell>
        </row>
        <row r="863">
          <cell r="B863">
            <v>46141</v>
          </cell>
          <cell r="K863">
            <v>0</v>
          </cell>
          <cell r="M863">
            <v>0</v>
          </cell>
          <cell r="P863">
            <v>72379.320000000007</v>
          </cell>
          <cell r="Q863" t="str">
            <v>Tallied</v>
          </cell>
        </row>
        <row r="864">
          <cell r="B864">
            <v>46141</v>
          </cell>
          <cell r="K864">
            <v>0</v>
          </cell>
          <cell r="M864">
            <v>0</v>
          </cell>
          <cell r="P864">
            <v>89666.61</v>
          </cell>
          <cell r="Q864" t="str">
            <v>Tallied</v>
          </cell>
        </row>
        <row r="865">
          <cell r="B865">
            <v>46141</v>
          </cell>
          <cell r="K865">
            <v>0</v>
          </cell>
          <cell r="M865">
            <v>0</v>
          </cell>
          <cell r="P865">
            <v>353632.5</v>
          </cell>
          <cell r="Q865" t="str">
            <v>Tallied</v>
          </cell>
        </row>
        <row r="866">
          <cell r="B866">
            <v>46141</v>
          </cell>
          <cell r="K866">
            <v>0</v>
          </cell>
          <cell r="M866">
            <v>0</v>
          </cell>
          <cell r="P866">
            <v>54.92</v>
          </cell>
          <cell r="Q866" t="str">
            <v>Tallied</v>
          </cell>
        </row>
        <row r="867">
          <cell r="B867">
            <v>46141</v>
          </cell>
          <cell r="K867">
            <v>0</v>
          </cell>
          <cell r="M867">
            <v>0</v>
          </cell>
          <cell r="P867">
            <v>1230.54</v>
          </cell>
          <cell r="Q867" t="str">
            <v>Tallied</v>
          </cell>
        </row>
        <row r="868">
          <cell r="B868">
            <v>46141</v>
          </cell>
          <cell r="K868">
            <v>0</v>
          </cell>
          <cell r="M868">
            <v>0</v>
          </cell>
          <cell r="P868">
            <v>34335.910000000003</v>
          </cell>
          <cell r="Q868" t="str">
            <v>Tallied</v>
          </cell>
        </row>
        <row r="869">
          <cell r="B869">
            <v>46141</v>
          </cell>
          <cell r="K869">
            <v>0</v>
          </cell>
          <cell r="M869">
            <v>0</v>
          </cell>
          <cell r="P869">
            <v>84463.83</v>
          </cell>
          <cell r="Q869" t="str">
            <v>Tallied</v>
          </cell>
        </row>
        <row r="870">
          <cell r="B870">
            <v>46141</v>
          </cell>
          <cell r="K870">
            <v>0</v>
          </cell>
          <cell r="M870">
            <v>0</v>
          </cell>
          <cell r="P870">
            <v>5316322.92</v>
          </cell>
          <cell r="Q870" t="str">
            <v>Tallied</v>
          </cell>
        </row>
        <row r="871">
          <cell r="B871">
            <v>46141</v>
          </cell>
          <cell r="K871">
            <v>0</v>
          </cell>
          <cell r="M871">
            <v>0</v>
          </cell>
          <cell r="P871">
            <v>217856.18</v>
          </cell>
          <cell r="Q871" t="str">
            <v>Tallied</v>
          </cell>
        </row>
        <row r="872">
          <cell r="B872">
            <v>46141</v>
          </cell>
          <cell r="K872">
            <v>0</v>
          </cell>
          <cell r="M872">
            <v>0</v>
          </cell>
          <cell r="P872">
            <v>112265.37999999999</v>
          </cell>
          <cell r="Q872" t="str">
            <v>Tallied</v>
          </cell>
        </row>
        <row r="873">
          <cell r="B873">
            <v>46141</v>
          </cell>
          <cell r="K873">
            <v>0</v>
          </cell>
          <cell r="M873">
            <v>0</v>
          </cell>
          <cell r="P873">
            <v>84762.02</v>
          </cell>
          <cell r="Q873" t="str">
            <v>Tallied</v>
          </cell>
        </row>
        <row r="874">
          <cell r="B874">
            <v>46141</v>
          </cell>
          <cell r="K874">
            <v>0</v>
          </cell>
          <cell r="M874">
            <v>0</v>
          </cell>
          <cell r="P874">
            <v>259610.56</v>
          </cell>
          <cell r="Q874" t="str">
            <v>Tallied</v>
          </cell>
        </row>
        <row r="875">
          <cell r="B875">
            <v>46141</v>
          </cell>
          <cell r="K875">
            <v>0</v>
          </cell>
          <cell r="M875">
            <v>0</v>
          </cell>
          <cell r="P875">
            <v>88715.86</v>
          </cell>
          <cell r="Q875" t="str">
            <v>Tallied</v>
          </cell>
        </row>
        <row r="876">
          <cell r="B876">
            <v>46141</v>
          </cell>
          <cell r="K876">
            <v>0</v>
          </cell>
          <cell r="M876">
            <v>0</v>
          </cell>
          <cell r="P876">
            <v>10054.379999999999</v>
          </cell>
          <cell r="Q876" t="str">
            <v>Tallied</v>
          </cell>
        </row>
        <row r="877">
          <cell r="B877">
            <v>46141</v>
          </cell>
          <cell r="K877">
            <v>0</v>
          </cell>
          <cell r="M877">
            <v>0</v>
          </cell>
          <cell r="P877">
            <v>59350.04</v>
          </cell>
          <cell r="Q877" t="str">
            <v>Tallied</v>
          </cell>
        </row>
        <row r="878">
          <cell r="B878">
            <v>46141</v>
          </cell>
          <cell r="K878">
            <v>0</v>
          </cell>
          <cell r="M878">
            <v>0</v>
          </cell>
          <cell r="P878">
            <v>25741.919999999998</v>
          </cell>
          <cell r="Q878" t="str">
            <v>Tallied</v>
          </cell>
        </row>
        <row r="879">
          <cell r="B879">
            <v>46141</v>
          </cell>
          <cell r="K879">
            <v>0</v>
          </cell>
          <cell r="M879">
            <v>0</v>
          </cell>
          <cell r="P879">
            <v>406331.44999999995</v>
          </cell>
          <cell r="Q879" t="str">
            <v>Tallied</v>
          </cell>
        </row>
        <row r="880">
          <cell r="B880">
            <v>46141</v>
          </cell>
          <cell r="K880">
            <v>0</v>
          </cell>
          <cell r="M880">
            <v>0</v>
          </cell>
          <cell r="P880">
            <v>-432854.62</v>
          </cell>
          <cell r="Q880" t="str">
            <v>Tallied</v>
          </cell>
        </row>
        <row r="881">
          <cell r="B881">
            <v>46141</v>
          </cell>
          <cell r="K881">
            <v>0</v>
          </cell>
          <cell r="M881">
            <v>0</v>
          </cell>
          <cell r="P881">
            <v>79388.800000000003</v>
          </cell>
          <cell r="Q881" t="str">
            <v>Tallied</v>
          </cell>
        </row>
        <row r="882">
          <cell r="B882">
            <v>46141</v>
          </cell>
          <cell r="K882">
            <v>0</v>
          </cell>
          <cell r="M882">
            <v>0</v>
          </cell>
          <cell r="P882">
            <v>216492.31999999998</v>
          </cell>
          <cell r="Q882" t="str">
            <v>Tallied</v>
          </cell>
        </row>
        <row r="883">
          <cell r="B883">
            <v>46141</v>
          </cell>
          <cell r="K883">
            <v>0</v>
          </cell>
          <cell r="M883">
            <v>0</v>
          </cell>
          <cell r="P883">
            <v>123430.56</v>
          </cell>
          <cell r="Q883" t="str">
            <v>Tallied</v>
          </cell>
        </row>
        <row r="884">
          <cell r="B884">
            <v>46141</v>
          </cell>
          <cell r="K884">
            <v>0</v>
          </cell>
          <cell r="M884">
            <v>0</v>
          </cell>
          <cell r="P884">
            <v>100</v>
          </cell>
          <cell r="Q884" t="str">
            <v>Tallied</v>
          </cell>
        </row>
        <row r="885">
          <cell r="B885">
            <v>46141</v>
          </cell>
          <cell r="K885">
            <v>0</v>
          </cell>
          <cell r="M885">
            <v>0</v>
          </cell>
          <cell r="P885">
            <v>363247.35999999999</v>
          </cell>
          <cell r="Q885" t="str">
            <v>Tallied</v>
          </cell>
        </row>
        <row r="886">
          <cell r="B886">
            <v>46141</v>
          </cell>
          <cell r="K886">
            <v>0</v>
          </cell>
          <cell r="M886">
            <v>0</v>
          </cell>
          <cell r="P886">
            <v>338388.39</v>
          </cell>
          <cell r="Q886" t="str">
            <v>Tallied</v>
          </cell>
        </row>
        <row r="887">
          <cell r="B887">
            <v>46141</v>
          </cell>
          <cell r="K887">
            <v>0</v>
          </cell>
          <cell r="M887">
            <v>0</v>
          </cell>
          <cell r="P887">
            <v>612218.28</v>
          </cell>
          <cell r="Q887" t="str">
            <v>Tallied</v>
          </cell>
        </row>
        <row r="888">
          <cell r="B888">
            <v>46141</v>
          </cell>
          <cell r="K888">
            <v>0</v>
          </cell>
          <cell r="M888">
            <v>0</v>
          </cell>
          <cell r="P888">
            <v>1734643.76</v>
          </cell>
          <cell r="Q888" t="str">
            <v>Tallied</v>
          </cell>
        </row>
        <row r="889">
          <cell r="B889">
            <v>46141</v>
          </cell>
          <cell r="K889">
            <v>0</v>
          </cell>
          <cell r="M889">
            <v>0</v>
          </cell>
          <cell r="P889">
            <v>121343.96</v>
          </cell>
          <cell r="Q889" t="str">
            <v>Tallied</v>
          </cell>
        </row>
        <row r="890">
          <cell r="B890">
            <v>46141</v>
          </cell>
          <cell r="K890">
            <v>0</v>
          </cell>
          <cell r="M890">
            <v>0</v>
          </cell>
          <cell r="P890">
            <v>8814.4699999999993</v>
          </cell>
          <cell r="Q890" t="str">
            <v>Tallied</v>
          </cell>
        </row>
        <row r="891">
          <cell r="B891">
            <v>46141</v>
          </cell>
          <cell r="K891">
            <v>0</v>
          </cell>
          <cell r="M891">
            <v>0</v>
          </cell>
          <cell r="P891">
            <v>129337.98000000001</v>
          </cell>
          <cell r="Q891" t="str">
            <v>Tallied</v>
          </cell>
        </row>
        <row r="892">
          <cell r="B892">
            <v>46141</v>
          </cell>
          <cell r="K892">
            <v>0</v>
          </cell>
          <cell r="M892">
            <v>0</v>
          </cell>
          <cell r="P892">
            <v>45627.68</v>
          </cell>
          <cell r="Q892" t="str">
            <v>Tallied</v>
          </cell>
        </row>
        <row r="893">
          <cell r="B893">
            <v>46141</v>
          </cell>
          <cell r="K893">
            <v>0</v>
          </cell>
          <cell r="M893">
            <v>0</v>
          </cell>
          <cell r="P893">
            <v>34029.360000000001</v>
          </cell>
          <cell r="Q893" t="str">
            <v>Tallied</v>
          </cell>
        </row>
        <row r="894">
          <cell r="B894">
            <v>46141</v>
          </cell>
          <cell r="K894">
            <v>0</v>
          </cell>
          <cell r="M894">
            <v>0</v>
          </cell>
          <cell r="P894">
            <v>139345.79999999999</v>
          </cell>
          <cell r="Q894" t="str">
            <v>Tallied</v>
          </cell>
        </row>
        <row r="895">
          <cell r="B895">
            <v>46141</v>
          </cell>
          <cell r="K895">
            <v>0</v>
          </cell>
          <cell r="M895">
            <v>0</v>
          </cell>
          <cell r="P895">
            <v>1725.1799999999998</v>
          </cell>
          <cell r="Q895" t="str">
            <v>Tallied</v>
          </cell>
        </row>
        <row r="896">
          <cell r="B896">
            <v>46141</v>
          </cell>
          <cell r="K896">
            <v>0</v>
          </cell>
          <cell r="M896">
            <v>0</v>
          </cell>
          <cell r="P896">
            <v>47484.54</v>
          </cell>
          <cell r="Q896" t="str">
            <v>Tallied</v>
          </cell>
        </row>
        <row r="897">
          <cell r="B897">
            <v>46141</v>
          </cell>
          <cell r="K897">
            <v>0</v>
          </cell>
          <cell r="M897">
            <v>0</v>
          </cell>
          <cell r="P897">
            <v>49161.4</v>
          </cell>
          <cell r="Q897" t="str">
            <v>Tallied</v>
          </cell>
        </row>
        <row r="898">
          <cell r="B898">
            <v>46141</v>
          </cell>
          <cell r="K898">
            <v>0</v>
          </cell>
          <cell r="M898">
            <v>0</v>
          </cell>
          <cell r="P898">
            <v>136135.44</v>
          </cell>
          <cell r="Q898" t="str">
            <v>Tallied</v>
          </cell>
        </row>
        <row r="899">
          <cell r="B899">
            <v>46141</v>
          </cell>
          <cell r="K899">
            <v>0</v>
          </cell>
          <cell r="M899">
            <v>0</v>
          </cell>
          <cell r="P899">
            <v>144410.40000000002</v>
          </cell>
          <cell r="Q899" t="str">
            <v>Tallied</v>
          </cell>
        </row>
        <row r="900">
          <cell r="B900">
            <v>46141</v>
          </cell>
          <cell r="K900">
            <v>0</v>
          </cell>
          <cell r="M900">
            <v>0</v>
          </cell>
          <cell r="P900">
            <v>3856.38</v>
          </cell>
          <cell r="Q900" t="str">
            <v>Tallied</v>
          </cell>
        </row>
        <row r="901">
          <cell r="B901">
            <v>46141</v>
          </cell>
          <cell r="K901">
            <v>0</v>
          </cell>
          <cell r="M901">
            <v>0</v>
          </cell>
          <cell r="P901">
            <v>136853.04</v>
          </cell>
          <cell r="Q901" t="str">
            <v>Tallied</v>
          </cell>
        </row>
        <row r="902">
          <cell r="B902">
            <v>46141</v>
          </cell>
          <cell r="K902">
            <v>0</v>
          </cell>
          <cell r="M902">
            <v>0</v>
          </cell>
          <cell r="P902">
            <v>27661.200000000001</v>
          </cell>
          <cell r="Q902" t="str">
            <v>Tallied</v>
          </cell>
        </row>
        <row r="903">
          <cell r="B903">
            <v>46141</v>
          </cell>
          <cell r="K903">
            <v>0</v>
          </cell>
          <cell r="M903">
            <v>0</v>
          </cell>
          <cell r="P903">
            <v>59540.37</v>
          </cell>
          <cell r="Q903" t="str">
            <v>Tallied</v>
          </cell>
        </row>
        <row r="904">
          <cell r="B904">
            <v>46141</v>
          </cell>
          <cell r="K904">
            <v>0</v>
          </cell>
          <cell r="M904">
            <v>0</v>
          </cell>
          <cell r="P904">
            <v>167052.51999999999</v>
          </cell>
          <cell r="Q904" t="str">
            <v>Tallied</v>
          </cell>
        </row>
        <row r="905">
          <cell r="B905">
            <v>46141</v>
          </cell>
          <cell r="K905">
            <v>0</v>
          </cell>
          <cell r="M905">
            <v>0</v>
          </cell>
          <cell r="P905">
            <v>110697.28</v>
          </cell>
          <cell r="Q905" t="str">
            <v>Tallied</v>
          </cell>
        </row>
        <row r="906">
          <cell r="B906">
            <v>46141</v>
          </cell>
          <cell r="K906">
            <v>0</v>
          </cell>
          <cell r="M906">
            <v>0</v>
          </cell>
          <cell r="P906">
            <v>69932.97</v>
          </cell>
          <cell r="Q906" t="str">
            <v>Tallied</v>
          </cell>
        </row>
        <row r="907">
          <cell r="B907">
            <v>46141</v>
          </cell>
          <cell r="K907">
            <v>0</v>
          </cell>
          <cell r="M907">
            <v>0</v>
          </cell>
          <cell r="P907">
            <v>98314.7</v>
          </cell>
          <cell r="Q907" t="str">
            <v>Tallied</v>
          </cell>
        </row>
        <row r="908">
          <cell r="B908">
            <v>46141</v>
          </cell>
          <cell r="K908">
            <v>0</v>
          </cell>
          <cell r="M908">
            <v>0</v>
          </cell>
          <cell r="P908">
            <v>197937.28</v>
          </cell>
          <cell r="Q908" t="str">
            <v>Tallied</v>
          </cell>
        </row>
        <row r="909">
          <cell r="B909">
            <v>46141</v>
          </cell>
          <cell r="K909">
            <v>0</v>
          </cell>
          <cell r="M909">
            <v>0</v>
          </cell>
          <cell r="P909">
            <v>47841.39</v>
          </cell>
          <cell r="Q909" t="str">
            <v>Tallied</v>
          </cell>
        </row>
        <row r="910">
          <cell r="B910">
            <v>46141</v>
          </cell>
          <cell r="K910">
            <v>0</v>
          </cell>
          <cell r="M910">
            <v>0</v>
          </cell>
          <cell r="P910">
            <v>8574758.4000000004</v>
          </cell>
          <cell r="Q910" t="str">
            <v>Tallied</v>
          </cell>
        </row>
        <row r="911">
          <cell r="B911">
            <v>46141</v>
          </cell>
          <cell r="K911">
            <v>0</v>
          </cell>
          <cell r="M911">
            <v>0</v>
          </cell>
          <cell r="P911">
            <v>130210.6</v>
          </cell>
          <cell r="Q911" t="str">
            <v>Tallied</v>
          </cell>
        </row>
        <row r="912">
          <cell r="B912">
            <v>46141</v>
          </cell>
          <cell r="K912">
            <v>0</v>
          </cell>
          <cell r="M912">
            <v>0</v>
          </cell>
          <cell r="P912">
            <v>85175.679999999993</v>
          </cell>
          <cell r="Q912" t="str">
            <v>Tallied</v>
          </cell>
        </row>
        <row r="913">
          <cell r="B913">
            <v>46141</v>
          </cell>
          <cell r="K913">
            <v>0</v>
          </cell>
          <cell r="M913">
            <v>0</v>
          </cell>
          <cell r="P913">
            <v>2304.21</v>
          </cell>
          <cell r="Q913" t="str">
            <v>Tallied</v>
          </cell>
        </row>
        <row r="914">
          <cell r="B914">
            <v>46141</v>
          </cell>
          <cell r="K914">
            <v>0</v>
          </cell>
          <cell r="M914">
            <v>0</v>
          </cell>
          <cell r="P914">
            <v>254277.84</v>
          </cell>
          <cell r="Q914" t="str">
            <v>Tallied</v>
          </cell>
        </row>
        <row r="915">
          <cell r="B915">
            <v>46142</v>
          </cell>
          <cell r="K915">
            <v>0</v>
          </cell>
          <cell r="M915">
            <v>0</v>
          </cell>
          <cell r="P915">
            <v>243593.17</v>
          </cell>
          <cell r="Q915" t="str">
            <v>Tallied</v>
          </cell>
        </row>
        <row r="916">
          <cell r="B916">
            <v>46142</v>
          </cell>
          <cell r="K916">
            <v>0</v>
          </cell>
          <cell r="M916">
            <v>0</v>
          </cell>
          <cell r="P916">
            <v>1359.54</v>
          </cell>
          <cell r="Q916" t="str">
            <v>Tallied</v>
          </cell>
        </row>
        <row r="917">
          <cell r="B917">
            <v>46142</v>
          </cell>
          <cell r="K917">
            <v>0</v>
          </cell>
          <cell r="M917">
            <v>0</v>
          </cell>
          <cell r="P917">
            <v>2906280</v>
          </cell>
          <cell r="Q917" t="str">
            <v>Tallied</v>
          </cell>
        </row>
        <row r="918">
          <cell r="B918">
            <v>46142</v>
          </cell>
          <cell r="K918">
            <v>0</v>
          </cell>
          <cell r="M918">
            <v>0</v>
          </cell>
          <cell r="P918">
            <v>84698.36</v>
          </cell>
          <cell r="Q918" t="str">
            <v>Tallied</v>
          </cell>
        </row>
        <row r="919">
          <cell r="B919">
            <v>46142</v>
          </cell>
          <cell r="K919">
            <v>0</v>
          </cell>
          <cell r="M919">
            <v>0</v>
          </cell>
          <cell r="P919">
            <v>308530.71000000002</v>
          </cell>
          <cell r="Q919" t="str">
            <v>Tallied</v>
          </cell>
        </row>
        <row r="920">
          <cell r="B920">
            <v>46142</v>
          </cell>
          <cell r="K920">
            <v>0</v>
          </cell>
          <cell r="M920">
            <v>0</v>
          </cell>
          <cell r="P920">
            <v>402771.54</v>
          </cell>
          <cell r="Q920" t="str">
            <v>Tallied</v>
          </cell>
        </row>
        <row r="921">
          <cell r="B921">
            <v>46142</v>
          </cell>
          <cell r="K921">
            <v>0</v>
          </cell>
          <cell r="M921">
            <v>0</v>
          </cell>
          <cell r="P921">
            <v>159547.44</v>
          </cell>
          <cell r="Q921" t="str">
            <v>Tallied</v>
          </cell>
        </row>
        <row r="922">
          <cell r="B922">
            <v>46142</v>
          </cell>
          <cell r="K922">
            <v>0</v>
          </cell>
          <cell r="M922">
            <v>0</v>
          </cell>
          <cell r="P922">
            <v>15140.58</v>
          </cell>
          <cell r="Q922" t="str">
            <v>Tallied</v>
          </cell>
        </row>
        <row r="923">
          <cell r="B923">
            <v>46142</v>
          </cell>
          <cell r="K923">
            <v>0</v>
          </cell>
          <cell r="M923">
            <v>0</v>
          </cell>
          <cell r="P923">
            <v>114827.3</v>
          </cell>
          <cell r="Q923" t="str">
            <v>Tallied</v>
          </cell>
        </row>
        <row r="924">
          <cell r="B924">
            <v>46142</v>
          </cell>
          <cell r="K924">
            <v>0</v>
          </cell>
          <cell r="M924">
            <v>0</v>
          </cell>
          <cell r="P924">
            <v>149.86000000000001</v>
          </cell>
          <cell r="Q924" t="str">
            <v>Tallied</v>
          </cell>
        </row>
        <row r="925">
          <cell r="B925">
            <v>46142</v>
          </cell>
          <cell r="K925">
            <v>0</v>
          </cell>
          <cell r="M925">
            <v>0</v>
          </cell>
          <cell r="P925">
            <v>32661.69</v>
          </cell>
          <cell r="Q925" t="str">
            <v>Tallied</v>
          </cell>
        </row>
        <row r="926">
          <cell r="B926">
            <v>46142</v>
          </cell>
          <cell r="K926">
            <v>0</v>
          </cell>
          <cell r="M926">
            <v>0</v>
          </cell>
          <cell r="P926">
            <v>8280</v>
          </cell>
          <cell r="Q926" t="str">
            <v>Tallied</v>
          </cell>
        </row>
        <row r="927">
          <cell r="B927">
            <v>46142</v>
          </cell>
          <cell r="K927">
            <v>0</v>
          </cell>
          <cell r="M927">
            <v>0</v>
          </cell>
          <cell r="P927">
            <v>12981</v>
          </cell>
          <cell r="Q927" t="str">
            <v>Tallied</v>
          </cell>
        </row>
        <row r="928">
          <cell r="B928">
            <v>46142</v>
          </cell>
          <cell r="K928">
            <v>0</v>
          </cell>
          <cell r="M928">
            <v>0</v>
          </cell>
          <cell r="P928">
            <v>5205</v>
          </cell>
          <cell r="Q928" t="str">
            <v>Tallied</v>
          </cell>
        </row>
        <row r="929">
          <cell r="B929">
            <v>46142</v>
          </cell>
          <cell r="K929">
            <v>0</v>
          </cell>
          <cell r="M929">
            <v>0</v>
          </cell>
          <cell r="P929">
            <v>1214.5</v>
          </cell>
          <cell r="Q929" t="str">
            <v>Tallied</v>
          </cell>
        </row>
        <row r="930">
          <cell r="B930">
            <v>46142</v>
          </cell>
          <cell r="K930">
            <v>0</v>
          </cell>
          <cell r="M930">
            <v>0</v>
          </cell>
          <cell r="P930">
            <v>2940</v>
          </cell>
          <cell r="Q930" t="str">
            <v>Tallied</v>
          </cell>
        </row>
        <row r="931">
          <cell r="B931">
            <v>46142</v>
          </cell>
          <cell r="K931">
            <v>0</v>
          </cell>
          <cell r="M931">
            <v>0</v>
          </cell>
          <cell r="P931">
            <v>1300.2</v>
          </cell>
          <cell r="Q931" t="str">
            <v>Tallied</v>
          </cell>
        </row>
        <row r="932">
          <cell r="B932">
            <v>46142</v>
          </cell>
          <cell r="K932">
            <v>0</v>
          </cell>
          <cell r="M932">
            <v>0</v>
          </cell>
          <cell r="P932">
            <v>1</v>
          </cell>
          <cell r="Q932" t="str">
            <v>Tallied</v>
          </cell>
        </row>
        <row r="933">
          <cell r="B933">
            <v>46142</v>
          </cell>
          <cell r="K933">
            <v>0</v>
          </cell>
          <cell r="M933">
            <v>0</v>
          </cell>
          <cell r="P933">
            <v>13300</v>
          </cell>
          <cell r="Q933" t="str">
            <v>Tallied</v>
          </cell>
        </row>
        <row r="934">
          <cell r="B934">
            <v>46142</v>
          </cell>
          <cell r="K934">
            <v>0</v>
          </cell>
          <cell r="M934">
            <v>0</v>
          </cell>
          <cell r="P934">
            <v>76840</v>
          </cell>
          <cell r="Q934" t="str">
            <v>Tallied</v>
          </cell>
        </row>
        <row r="935">
          <cell r="B935">
            <v>46142</v>
          </cell>
          <cell r="K935">
            <v>0</v>
          </cell>
          <cell r="M935">
            <v>0</v>
          </cell>
          <cell r="P935">
            <v>2740</v>
          </cell>
          <cell r="Q935" t="str">
            <v>Tallied</v>
          </cell>
        </row>
        <row r="936">
          <cell r="B936">
            <v>46142</v>
          </cell>
          <cell r="K936">
            <v>0</v>
          </cell>
          <cell r="M936">
            <v>0</v>
          </cell>
          <cell r="P936">
            <v>772.2</v>
          </cell>
          <cell r="Q936" t="str">
            <v>Tallied</v>
          </cell>
        </row>
        <row r="937">
          <cell r="B937">
            <v>46142</v>
          </cell>
          <cell r="K937">
            <v>0</v>
          </cell>
          <cell r="M937">
            <v>0</v>
          </cell>
          <cell r="P937">
            <v>101260</v>
          </cell>
          <cell r="Q937" t="str">
            <v>Tallied</v>
          </cell>
        </row>
        <row r="938">
          <cell r="B938">
            <v>46142</v>
          </cell>
          <cell r="K938">
            <v>0</v>
          </cell>
          <cell r="M938">
            <v>0</v>
          </cell>
          <cell r="P938">
            <v>27719.1</v>
          </cell>
          <cell r="Q938" t="str">
            <v>Tallied</v>
          </cell>
        </row>
        <row r="939">
          <cell r="B939">
            <v>46142</v>
          </cell>
          <cell r="K939">
            <v>0</v>
          </cell>
          <cell r="M939">
            <v>0</v>
          </cell>
          <cell r="P939">
            <v>14374.800000000001</v>
          </cell>
          <cell r="Q939" t="str">
            <v>Tallied</v>
          </cell>
        </row>
        <row r="940">
          <cell r="B940">
            <v>46142</v>
          </cell>
          <cell r="K940">
            <v>0</v>
          </cell>
          <cell r="M940">
            <v>0</v>
          </cell>
          <cell r="P940">
            <v>42240</v>
          </cell>
          <cell r="Q940" t="str">
            <v>Tallied</v>
          </cell>
        </row>
        <row r="941">
          <cell r="B941">
            <v>46142</v>
          </cell>
          <cell r="K941">
            <v>0</v>
          </cell>
          <cell r="M941">
            <v>0</v>
          </cell>
          <cell r="P941">
            <v>9993.6</v>
          </cell>
          <cell r="Q941" t="str">
            <v>Tallied</v>
          </cell>
        </row>
        <row r="942">
          <cell r="B942">
            <v>46142</v>
          </cell>
          <cell r="K942">
            <v>0</v>
          </cell>
          <cell r="M942">
            <v>0</v>
          </cell>
          <cell r="P942">
            <v>38950</v>
          </cell>
          <cell r="Q942" t="str">
            <v>Tallied</v>
          </cell>
        </row>
        <row r="943">
          <cell r="B943">
            <v>46142</v>
          </cell>
          <cell r="K943">
            <v>0</v>
          </cell>
          <cell r="M943">
            <v>0</v>
          </cell>
          <cell r="P943">
            <v>20700</v>
          </cell>
          <cell r="Q943" t="str">
            <v>Tallied</v>
          </cell>
        </row>
        <row r="944">
          <cell r="B944">
            <v>46142</v>
          </cell>
          <cell r="K944">
            <v>0</v>
          </cell>
          <cell r="M944">
            <v>0</v>
          </cell>
          <cell r="P944">
            <v>15360.8</v>
          </cell>
          <cell r="Q944" t="str">
            <v>Tallied</v>
          </cell>
        </row>
        <row r="945">
          <cell r="B945">
            <v>46142</v>
          </cell>
          <cell r="K945">
            <v>0</v>
          </cell>
          <cell r="M945">
            <v>0</v>
          </cell>
          <cell r="P945">
            <v>1717.8999999999999</v>
          </cell>
          <cell r="Q945" t="str">
            <v>Tallied</v>
          </cell>
        </row>
        <row r="946">
          <cell r="B946">
            <v>46142</v>
          </cell>
          <cell r="K946">
            <v>0</v>
          </cell>
          <cell r="M946">
            <v>0</v>
          </cell>
          <cell r="P946">
            <v>15920</v>
          </cell>
          <cell r="Q946" t="str">
            <v>Tallied</v>
          </cell>
        </row>
        <row r="947">
          <cell r="B947">
            <v>46142</v>
          </cell>
          <cell r="K947">
            <v>0</v>
          </cell>
          <cell r="M947">
            <v>0</v>
          </cell>
          <cell r="P947">
            <v>11040</v>
          </cell>
          <cell r="Q947" t="str">
            <v>Tallied</v>
          </cell>
        </row>
        <row r="948">
          <cell r="B948">
            <v>46142</v>
          </cell>
          <cell r="K948">
            <v>0</v>
          </cell>
          <cell r="M948">
            <v>0</v>
          </cell>
          <cell r="P948">
            <v>277655</v>
          </cell>
          <cell r="Q948" t="str">
            <v>Tallied</v>
          </cell>
        </row>
        <row r="949">
          <cell r="B949">
            <v>46142</v>
          </cell>
          <cell r="K949">
            <v>0</v>
          </cell>
          <cell r="M949">
            <v>0</v>
          </cell>
          <cell r="P949">
            <v>299092.5</v>
          </cell>
          <cell r="Q949" t="str">
            <v>Tallied</v>
          </cell>
        </row>
        <row r="950">
          <cell r="B950">
            <v>46142</v>
          </cell>
          <cell r="K950">
            <v>0</v>
          </cell>
          <cell r="M950">
            <v>0</v>
          </cell>
          <cell r="P950">
            <v>4372.2000000000007</v>
          </cell>
          <cell r="Q950" t="str">
            <v>Tallied</v>
          </cell>
        </row>
        <row r="951">
          <cell r="B951">
            <v>46142</v>
          </cell>
          <cell r="K951">
            <v>0</v>
          </cell>
          <cell r="M951">
            <v>0</v>
          </cell>
          <cell r="P951">
            <v>5310</v>
          </cell>
          <cell r="Q951" t="str">
            <v>Tallied</v>
          </cell>
        </row>
        <row r="952">
          <cell r="B952">
            <v>46142</v>
          </cell>
          <cell r="K952">
            <v>0</v>
          </cell>
          <cell r="M952">
            <v>0</v>
          </cell>
          <cell r="P952">
            <v>97957.2</v>
          </cell>
          <cell r="Q952" t="str">
            <v>Tallied</v>
          </cell>
        </row>
        <row r="953">
          <cell r="B953">
            <v>46142</v>
          </cell>
          <cell r="K953">
            <v>0</v>
          </cell>
          <cell r="M953">
            <v>0</v>
          </cell>
          <cell r="P953">
            <v>119700</v>
          </cell>
          <cell r="Q953" t="str">
            <v>Tallied</v>
          </cell>
        </row>
        <row r="954">
          <cell r="B954">
            <v>46142</v>
          </cell>
          <cell r="K954">
            <v>0</v>
          </cell>
          <cell r="M954">
            <v>0</v>
          </cell>
          <cell r="P954">
            <v>526793.69999999995</v>
          </cell>
          <cell r="Q954" t="str">
            <v>Tallied</v>
          </cell>
        </row>
        <row r="955">
          <cell r="B955">
            <v>46142</v>
          </cell>
          <cell r="K955">
            <v>0</v>
          </cell>
          <cell r="M955">
            <v>0</v>
          </cell>
          <cell r="P955">
            <v>83713.42</v>
          </cell>
          <cell r="Q955" t="str">
            <v>Tallied</v>
          </cell>
        </row>
        <row r="956">
          <cell r="B956">
            <v>46142</v>
          </cell>
          <cell r="K956">
            <v>0</v>
          </cell>
          <cell r="M956">
            <v>0</v>
          </cell>
          <cell r="P956">
            <v>126963.6</v>
          </cell>
          <cell r="Q956" t="str">
            <v>Tallied</v>
          </cell>
        </row>
        <row r="957">
          <cell r="B957">
            <v>46142</v>
          </cell>
          <cell r="K957">
            <v>0</v>
          </cell>
          <cell r="M957">
            <v>0</v>
          </cell>
          <cell r="P957">
            <v>604577.91</v>
          </cell>
          <cell r="Q957" t="str">
            <v>Tallied</v>
          </cell>
        </row>
        <row r="958">
          <cell r="B958">
            <v>46142</v>
          </cell>
          <cell r="K958">
            <v>0</v>
          </cell>
          <cell r="M958">
            <v>0</v>
          </cell>
          <cell r="P958">
            <v>184330.02000000002</v>
          </cell>
          <cell r="Q958" t="str">
            <v>Tallied</v>
          </cell>
        </row>
        <row r="959">
          <cell r="B959">
            <v>46142</v>
          </cell>
          <cell r="K959">
            <v>0</v>
          </cell>
          <cell r="M959">
            <v>0</v>
          </cell>
          <cell r="P959">
            <v>10257.040000000001</v>
          </cell>
          <cell r="Q959" t="str">
            <v>Tallied</v>
          </cell>
        </row>
        <row r="960">
          <cell r="B960">
            <v>46142</v>
          </cell>
          <cell r="K960">
            <v>0</v>
          </cell>
          <cell r="M960">
            <v>0</v>
          </cell>
          <cell r="P960">
            <v>94.05</v>
          </cell>
          <cell r="Q960" t="str">
            <v>Tallied</v>
          </cell>
        </row>
        <row r="961">
          <cell r="B961">
            <v>46142</v>
          </cell>
          <cell r="K961">
            <v>0</v>
          </cell>
          <cell r="M961">
            <v>0</v>
          </cell>
          <cell r="P961">
            <v>13198.53</v>
          </cell>
          <cell r="Q961" t="str">
            <v>Tallied</v>
          </cell>
        </row>
        <row r="962">
          <cell r="B962">
            <v>46142</v>
          </cell>
          <cell r="K962">
            <v>0</v>
          </cell>
          <cell r="M962">
            <v>0</v>
          </cell>
          <cell r="P962">
            <v>1</v>
          </cell>
          <cell r="Q962" t="str">
            <v>Tallied</v>
          </cell>
        </row>
        <row r="963">
          <cell r="B963">
            <v>46142</v>
          </cell>
          <cell r="K963">
            <v>0</v>
          </cell>
          <cell r="M963">
            <v>0</v>
          </cell>
          <cell r="P963">
            <v>252</v>
          </cell>
          <cell r="Q963" t="str">
            <v>Tallied</v>
          </cell>
        </row>
        <row r="964">
          <cell r="B964">
            <v>46142</v>
          </cell>
          <cell r="K964">
            <v>0</v>
          </cell>
          <cell r="M964">
            <v>0</v>
          </cell>
          <cell r="P964">
            <v>6</v>
          </cell>
          <cell r="Q964" t="str">
            <v>Tallied</v>
          </cell>
        </row>
        <row r="965">
          <cell r="B965">
            <v>46142</v>
          </cell>
          <cell r="K965">
            <v>0</v>
          </cell>
          <cell r="M965">
            <v>0</v>
          </cell>
          <cell r="P965">
            <v>57117.799999999996</v>
          </cell>
          <cell r="Q965" t="str">
            <v>Tallied</v>
          </cell>
        </row>
        <row r="966">
          <cell r="K966">
            <v>0</v>
          </cell>
          <cell r="M966">
            <v>0</v>
          </cell>
          <cell r="P966">
            <v>0</v>
          </cell>
          <cell r="Q966" t="str">
            <v>Tallied</v>
          </cell>
        </row>
        <row r="967">
          <cell r="K967">
            <v>0</v>
          </cell>
          <cell r="M967">
            <v>0</v>
          </cell>
          <cell r="P967">
            <v>0</v>
          </cell>
          <cell r="Q967" t="str">
            <v>Tallied</v>
          </cell>
        </row>
        <row r="968">
          <cell r="K968">
            <v>0</v>
          </cell>
          <cell r="M968">
            <v>0</v>
          </cell>
          <cell r="P968">
            <v>0</v>
          </cell>
          <cell r="Q968" t="str">
            <v>Tallied</v>
          </cell>
        </row>
        <row r="969">
          <cell r="K969">
            <v>0</v>
          </cell>
          <cell r="M969">
            <v>0</v>
          </cell>
          <cell r="P969">
            <v>0</v>
          </cell>
          <cell r="Q969" t="str">
            <v>Tallied</v>
          </cell>
        </row>
        <row r="970">
          <cell r="K970">
            <v>0</v>
          </cell>
          <cell r="M970">
            <v>0</v>
          </cell>
          <cell r="P970">
            <v>0</v>
          </cell>
          <cell r="Q970" t="str">
            <v>Tallied</v>
          </cell>
        </row>
        <row r="971">
          <cell r="K971">
            <v>0</v>
          </cell>
          <cell r="M971">
            <v>0</v>
          </cell>
          <cell r="P971">
            <v>0</v>
          </cell>
          <cell r="Q971" t="str">
            <v>Tallied</v>
          </cell>
        </row>
        <row r="972">
          <cell r="K972">
            <v>0</v>
          </cell>
          <cell r="M972">
            <v>0</v>
          </cell>
          <cell r="P972">
            <v>0</v>
          </cell>
          <cell r="Q972" t="str">
            <v>Tallied</v>
          </cell>
        </row>
        <row r="973">
          <cell r="K973">
            <v>0</v>
          </cell>
          <cell r="M973">
            <v>0</v>
          </cell>
          <cell r="P973">
            <v>0</v>
          </cell>
          <cell r="Q973" t="str">
            <v>Tallied</v>
          </cell>
        </row>
        <row r="974">
          <cell r="K974">
            <v>0</v>
          </cell>
          <cell r="M974">
            <v>0</v>
          </cell>
          <cell r="P974">
            <v>0</v>
          </cell>
          <cell r="Q974" t="str">
            <v>Tallied</v>
          </cell>
        </row>
        <row r="975">
          <cell r="K975">
            <v>0</v>
          </cell>
          <cell r="M975">
            <v>0</v>
          </cell>
          <cell r="P975">
            <v>0</v>
          </cell>
          <cell r="Q975" t="str">
            <v>Tallied</v>
          </cell>
        </row>
        <row r="976">
          <cell r="K976">
            <v>0</v>
          </cell>
          <cell r="M976">
            <v>0</v>
          </cell>
          <cell r="P976">
            <v>0</v>
          </cell>
          <cell r="Q976" t="str">
            <v>Tallied</v>
          </cell>
        </row>
        <row r="977">
          <cell r="K977">
            <v>0</v>
          </cell>
          <cell r="M977">
            <v>0</v>
          </cell>
          <cell r="P977">
            <v>0</v>
          </cell>
          <cell r="Q977" t="str">
            <v>Tallied</v>
          </cell>
        </row>
        <row r="978">
          <cell r="K978">
            <v>0</v>
          </cell>
          <cell r="M978">
            <v>0</v>
          </cell>
          <cell r="P978">
            <v>0</v>
          </cell>
          <cell r="Q978" t="str">
            <v>Tallied</v>
          </cell>
        </row>
        <row r="979">
          <cell r="K979">
            <v>0</v>
          </cell>
          <cell r="M979">
            <v>0</v>
          </cell>
          <cell r="P979">
            <v>0</v>
          </cell>
          <cell r="Q979" t="str">
            <v>Tallied</v>
          </cell>
        </row>
        <row r="980">
          <cell r="K980">
            <v>0</v>
          </cell>
          <cell r="M980">
            <v>0</v>
          </cell>
          <cell r="P980">
            <v>0</v>
          </cell>
          <cell r="Q980" t="str">
            <v>Tallied</v>
          </cell>
        </row>
        <row r="981">
          <cell r="K981">
            <v>0</v>
          </cell>
          <cell r="M981">
            <v>0</v>
          </cell>
          <cell r="P981">
            <v>0</v>
          </cell>
          <cell r="Q981" t="str">
            <v>Tallied</v>
          </cell>
        </row>
        <row r="982">
          <cell r="K982">
            <v>0</v>
          </cell>
          <cell r="M982">
            <v>0</v>
          </cell>
          <cell r="P982">
            <v>0</v>
          </cell>
          <cell r="Q982" t="str">
            <v>Tallied</v>
          </cell>
        </row>
        <row r="983">
          <cell r="K983">
            <v>0</v>
          </cell>
          <cell r="M983">
            <v>0</v>
          </cell>
          <cell r="P983">
            <v>0</v>
          </cell>
          <cell r="Q983" t="str">
            <v>Tallied</v>
          </cell>
        </row>
        <row r="984">
          <cell r="K984">
            <v>0</v>
          </cell>
          <cell r="M984">
            <v>0</v>
          </cell>
          <cell r="P984">
            <v>0</v>
          </cell>
          <cell r="Q984" t="str">
            <v>Tallied</v>
          </cell>
        </row>
        <row r="985">
          <cell r="K985">
            <v>0</v>
          </cell>
          <cell r="M985">
            <v>0</v>
          </cell>
          <cell r="P985">
            <v>0</v>
          </cell>
          <cell r="Q985" t="str">
            <v>Tallied</v>
          </cell>
        </row>
        <row r="986">
          <cell r="K986">
            <v>0</v>
          </cell>
          <cell r="M986">
            <v>0</v>
          </cell>
          <cell r="P986">
            <v>0</v>
          </cell>
          <cell r="Q986" t="str">
            <v>Tallied</v>
          </cell>
        </row>
        <row r="987">
          <cell r="K987">
            <v>0</v>
          </cell>
          <cell r="M987">
            <v>0</v>
          </cell>
          <cell r="P987">
            <v>0</v>
          </cell>
          <cell r="Q987" t="str">
            <v>Tallied</v>
          </cell>
        </row>
        <row r="988">
          <cell r="K988">
            <v>0</v>
          </cell>
          <cell r="M988">
            <v>0</v>
          </cell>
          <cell r="P988">
            <v>0</v>
          </cell>
          <cell r="Q988" t="str">
            <v>Tallied</v>
          </cell>
        </row>
        <row r="989">
          <cell r="K989">
            <v>0</v>
          </cell>
          <cell r="M989">
            <v>0</v>
          </cell>
          <cell r="P989">
            <v>0</v>
          </cell>
          <cell r="Q989" t="str">
            <v>Tallied</v>
          </cell>
        </row>
        <row r="990">
          <cell r="K990">
            <v>0</v>
          </cell>
          <cell r="M990">
            <v>0</v>
          </cell>
          <cell r="P990">
            <v>0</v>
          </cell>
          <cell r="Q990" t="str">
            <v>Tallied</v>
          </cell>
        </row>
        <row r="991">
          <cell r="K991">
            <v>0</v>
          </cell>
          <cell r="M991">
            <v>0</v>
          </cell>
          <cell r="P991">
            <v>0</v>
          </cell>
          <cell r="Q991" t="str">
            <v>Tallied</v>
          </cell>
        </row>
        <row r="992">
          <cell r="K992">
            <v>0</v>
          </cell>
          <cell r="M992">
            <v>0</v>
          </cell>
          <cell r="P992">
            <v>0</v>
          </cell>
          <cell r="Q992" t="str">
            <v>Tallied</v>
          </cell>
        </row>
        <row r="993">
          <cell r="K993">
            <v>0</v>
          </cell>
          <cell r="M993">
            <v>0</v>
          </cell>
          <cell r="P993">
            <v>0</v>
          </cell>
          <cell r="Q993" t="str">
            <v>Tallied</v>
          </cell>
        </row>
        <row r="994">
          <cell r="K994">
            <v>0</v>
          </cell>
          <cell r="M994">
            <v>0</v>
          </cell>
          <cell r="P994">
            <v>0</v>
          </cell>
          <cell r="Q994" t="str">
            <v>Tallied</v>
          </cell>
        </row>
        <row r="995">
          <cell r="K995">
            <v>0</v>
          </cell>
          <cell r="M995">
            <v>0</v>
          </cell>
          <cell r="P995">
            <v>0</v>
          </cell>
          <cell r="Q995" t="str">
            <v>Tallied</v>
          </cell>
        </row>
        <row r="996">
          <cell r="K996">
            <v>0</v>
          </cell>
          <cell r="M996">
            <v>0</v>
          </cell>
          <cell r="P996">
            <v>0</v>
          </cell>
          <cell r="Q996" t="str">
            <v>Tallied</v>
          </cell>
        </row>
        <row r="997">
          <cell r="K997">
            <v>0</v>
          </cell>
          <cell r="M997">
            <v>0</v>
          </cell>
          <cell r="P997">
            <v>0</v>
          </cell>
          <cell r="Q997" t="str">
            <v>Tallied</v>
          </cell>
        </row>
        <row r="998">
          <cell r="K998">
            <v>0</v>
          </cell>
          <cell r="M998">
            <v>0</v>
          </cell>
          <cell r="P998">
            <v>0</v>
          </cell>
          <cell r="Q998" t="str">
            <v>Tallied</v>
          </cell>
        </row>
        <row r="999">
          <cell r="K999">
            <v>0</v>
          </cell>
          <cell r="M999">
            <v>0</v>
          </cell>
          <cell r="P999">
            <v>0</v>
          </cell>
          <cell r="Q999" t="str">
            <v>Tallied</v>
          </cell>
        </row>
        <row r="1000">
          <cell r="K1000">
            <v>0</v>
          </cell>
          <cell r="M1000">
            <v>0</v>
          </cell>
          <cell r="P1000">
            <v>0</v>
          </cell>
          <cell r="Q1000" t="str">
            <v>Tallied</v>
          </cell>
        </row>
        <row r="1001">
          <cell r="K1001">
            <v>0</v>
          </cell>
          <cell r="M1001">
            <v>0</v>
          </cell>
          <cell r="P1001">
            <v>0</v>
          </cell>
          <cell r="Q1001" t="str">
            <v>Tallied</v>
          </cell>
        </row>
        <row r="1002">
          <cell r="K1002">
            <v>0</v>
          </cell>
          <cell r="M1002">
            <v>0</v>
          </cell>
          <cell r="P1002">
            <v>0</v>
          </cell>
          <cell r="Q1002" t="str">
            <v>Tallied</v>
          </cell>
        </row>
        <row r="1003">
          <cell r="K1003">
            <v>0</v>
          </cell>
          <cell r="M1003">
            <v>0</v>
          </cell>
          <cell r="P1003">
            <v>0</v>
          </cell>
          <cell r="Q1003" t="str">
            <v>Tallied</v>
          </cell>
        </row>
        <row r="1004">
          <cell r="K1004">
            <v>0</v>
          </cell>
          <cell r="M1004">
            <v>0</v>
          </cell>
          <cell r="P1004">
            <v>0</v>
          </cell>
          <cell r="Q1004" t="str">
            <v>Tallied</v>
          </cell>
        </row>
        <row r="1005">
          <cell r="K1005">
            <v>0</v>
          </cell>
          <cell r="M1005">
            <v>0</v>
          </cell>
          <cell r="P1005">
            <v>0</v>
          </cell>
          <cell r="Q1005" t="str">
            <v>Tallied</v>
          </cell>
        </row>
        <row r="1006">
          <cell r="K1006">
            <v>0</v>
          </cell>
          <cell r="M1006">
            <v>0</v>
          </cell>
          <cell r="P1006">
            <v>0</v>
          </cell>
          <cell r="Q1006" t="str">
            <v>Tallied</v>
          </cell>
        </row>
        <row r="1007">
          <cell r="K1007">
            <v>0</v>
          </cell>
          <cell r="M1007">
            <v>0</v>
          </cell>
          <cell r="P1007">
            <v>0</v>
          </cell>
          <cell r="Q1007" t="str">
            <v>Tallied</v>
          </cell>
        </row>
        <row r="1008">
          <cell r="K1008">
            <v>0</v>
          </cell>
          <cell r="M1008">
            <v>0</v>
          </cell>
          <cell r="P1008">
            <v>0</v>
          </cell>
          <cell r="Q1008" t="str">
            <v>Tallied</v>
          </cell>
        </row>
        <row r="1009">
          <cell r="K1009">
            <v>0</v>
          </cell>
          <cell r="M1009">
            <v>0</v>
          </cell>
          <cell r="P1009">
            <v>0</v>
          </cell>
          <cell r="Q1009" t="str">
            <v>Tallied</v>
          </cell>
        </row>
        <row r="1010">
          <cell r="K1010">
            <v>0</v>
          </cell>
          <cell r="M1010">
            <v>0</v>
          </cell>
          <cell r="P1010">
            <v>0</v>
          </cell>
          <cell r="Q1010" t="str">
            <v>Tallied</v>
          </cell>
        </row>
        <row r="1011">
          <cell r="K1011">
            <v>0</v>
          </cell>
          <cell r="M1011">
            <v>0</v>
          </cell>
          <cell r="P1011">
            <v>0</v>
          </cell>
          <cell r="Q1011" t="str">
            <v>Tallied</v>
          </cell>
        </row>
        <row r="1012">
          <cell r="K1012">
            <v>0</v>
          </cell>
          <cell r="M1012">
            <v>0</v>
          </cell>
          <cell r="P1012">
            <v>0</v>
          </cell>
          <cell r="Q1012" t="str">
            <v>Tallied</v>
          </cell>
        </row>
        <row r="1013">
          <cell r="K1013">
            <v>0</v>
          </cell>
          <cell r="M1013">
            <v>0</v>
          </cell>
          <cell r="P1013">
            <v>0</v>
          </cell>
          <cell r="Q1013" t="str">
            <v>Tallied</v>
          </cell>
        </row>
        <row r="1014">
          <cell r="K1014">
            <v>0</v>
          </cell>
          <cell r="M1014">
            <v>0</v>
          </cell>
          <cell r="P1014">
            <v>0</v>
          </cell>
          <cell r="Q1014" t="str">
            <v>Tallied</v>
          </cell>
        </row>
        <row r="1015">
          <cell r="K1015">
            <v>0</v>
          </cell>
          <cell r="M1015">
            <v>0</v>
          </cell>
          <cell r="P1015">
            <v>0</v>
          </cell>
          <cell r="Q1015" t="str">
            <v>Tallied</v>
          </cell>
        </row>
        <row r="1016">
          <cell r="K1016">
            <v>0</v>
          </cell>
          <cell r="M1016">
            <v>0</v>
          </cell>
          <cell r="P1016">
            <v>0</v>
          </cell>
          <cell r="Q1016" t="str">
            <v>Tallied</v>
          </cell>
        </row>
        <row r="1017">
          <cell r="K1017">
            <v>0</v>
          </cell>
          <cell r="M1017">
            <v>0</v>
          </cell>
          <cell r="P1017">
            <v>0</v>
          </cell>
          <cell r="Q1017" t="str">
            <v>Tallied</v>
          </cell>
        </row>
        <row r="1018">
          <cell r="K1018">
            <v>0</v>
          </cell>
          <cell r="M1018">
            <v>0</v>
          </cell>
          <cell r="P1018">
            <v>0</v>
          </cell>
          <cell r="Q1018" t="str">
            <v>Tallied</v>
          </cell>
        </row>
        <row r="1019">
          <cell r="K1019">
            <v>0</v>
          </cell>
          <cell r="M1019">
            <v>0</v>
          </cell>
          <cell r="P1019">
            <v>0</v>
          </cell>
          <cell r="Q1019" t="str">
            <v>Tallied</v>
          </cell>
        </row>
        <row r="1020">
          <cell r="K1020">
            <v>0</v>
          </cell>
          <cell r="M1020">
            <v>0</v>
          </cell>
          <cell r="P1020">
            <v>0</v>
          </cell>
          <cell r="Q1020" t="str">
            <v>Tallied</v>
          </cell>
        </row>
        <row r="1021">
          <cell r="K1021">
            <v>0</v>
          </cell>
          <cell r="M1021">
            <v>0</v>
          </cell>
          <cell r="P1021">
            <v>0</v>
          </cell>
          <cell r="Q1021" t="str">
            <v>Tallied</v>
          </cell>
        </row>
        <row r="1022">
          <cell r="K1022">
            <v>0</v>
          </cell>
          <cell r="M1022">
            <v>0</v>
          </cell>
          <cell r="P1022">
            <v>0</v>
          </cell>
          <cell r="Q1022" t="str">
            <v>Tallied</v>
          </cell>
        </row>
        <row r="1023">
          <cell r="K1023">
            <v>0</v>
          </cell>
          <cell r="M1023">
            <v>0</v>
          </cell>
          <cell r="P1023">
            <v>0</v>
          </cell>
          <cell r="Q1023" t="str">
            <v>Tallied</v>
          </cell>
        </row>
        <row r="1024">
          <cell r="K1024">
            <v>0</v>
          </cell>
          <cell r="M1024">
            <v>0</v>
          </cell>
          <cell r="P1024">
            <v>0</v>
          </cell>
          <cell r="Q1024" t="str">
            <v>Tallied</v>
          </cell>
        </row>
        <row r="1025">
          <cell r="K1025">
            <v>0</v>
          </cell>
          <cell r="M1025">
            <v>0</v>
          </cell>
          <cell r="P1025">
            <v>0</v>
          </cell>
          <cell r="Q1025" t="str">
            <v>Tallied</v>
          </cell>
        </row>
        <row r="1026">
          <cell r="K1026">
            <v>0</v>
          </cell>
          <cell r="M1026">
            <v>0</v>
          </cell>
          <cell r="P1026">
            <v>0</v>
          </cell>
          <cell r="Q1026" t="str">
            <v>Tallied</v>
          </cell>
        </row>
        <row r="1027">
          <cell r="K1027">
            <v>0</v>
          </cell>
          <cell r="M1027">
            <v>0</v>
          </cell>
          <cell r="P1027">
            <v>0</v>
          </cell>
          <cell r="Q1027" t="str">
            <v>Tallied</v>
          </cell>
        </row>
        <row r="1028">
          <cell r="K1028">
            <v>0</v>
          </cell>
          <cell r="M1028">
            <v>0</v>
          </cell>
          <cell r="P1028">
            <v>0</v>
          </cell>
          <cell r="Q1028" t="str">
            <v>Tallied</v>
          </cell>
        </row>
        <row r="1029">
          <cell r="K1029">
            <v>0</v>
          </cell>
          <cell r="M1029">
            <v>0</v>
          </cell>
          <cell r="P1029">
            <v>0</v>
          </cell>
          <cell r="Q1029" t="str">
            <v>Tallied</v>
          </cell>
        </row>
        <row r="1030">
          <cell r="K1030">
            <v>0</v>
          </cell>
          <cell r="M1030">
            <v>0</v>
          </cell>
          <cell r="P1030">
            <v>0</v>
          </cell>
          <cell r="Q1030" t="str">
            <v>Tallied</v>
          </cell>
        </row>
        <row r="1031">
          <cell r="K1031">
            <v>0</v>
          </cell>
          <cell r="M1031">
            <v>0</v>
          </cell>
          <cell r="P1031">
            <v>0</v>
          </cell>
          <cell r="Q1031" t="str">
            <v>Tallied</v>
          </cell>
        </row>
        <row r="1032">
          <cell r="K1032">
            <v>0</v>
          </cell>
          <cell r="M1032">
            <v>0</v>
          </cell>
          <cell r="P1032">
            <v>0</v>
          </cell>
          <cell r="Q1032" t="str">
            <v>Tallied</v>
          </cell>
        </row>
        <row r="1033">
          <cell r="K1033">
            <v>0</v>
          </cell>
          <cell r="M1033">
            <v>0</v>
          </cell>
          <cell r="P1033">
            <v>0</v>
          </cell>
          <cell r="Q1033" t="str">
            <v>Tallied</v>
          </cell>
        </row>
        <row r="1034">
          <cell r="K1034">
            <v>0</v>
          </cell>
          <cell r="M1034">
            <v>0</v>
          </cell>
          <cell r="P1034">
            <v>0</v>
          </cell>
          <cell r="Q1034" t="str">
            <v>Tallied</v>
          </cell>
        </row>
        <row r="1035">
          <cell r="K1035">
            <v>0</v>
          </cell>
          <cell r="M1035">
            <v>0</v>
          </cell>
          <cell r="P1035">
            <v>0</v>
          </cell>
          <cell r="Q1035" t="str">
            <v>Tallied</v>
          </cell>
        </row>
        <row r="1036">
          <cell r="K1036">
            <v>0</v>
          </cell>
          <cell r="M1036">
            <v>0</v>
          </cell>
          <cell r="P1036">
            <v>0</v>
          </cell>
          <cell r="Q1036" t="str">
            <v>Tallied</v>
          </cell>
        </row>
        <row r="1037">
          <cell r="K1037">
            <v>0</v>
          </cell>
          <cell r="M1037">
            <v>0</v>
          </cell>
          <cell r="P1037">
            <v>0</v>
          </cell>
          <cell r="Q1037" t="str">
            <v>Tallied</v>
          </cell>
        </row>
        <row r="1038">
          <cell r="K1038">
            <v>0</v>
          </cell>
          <cell r="M1038">
            <v>0</v>
          </cell>
          <cell r="P1038">
            <v>0</v>
          </cell>
          <cell r="Q1038" t="str">
            <v>Tallied</v>
          </cell>
        </row>
        <row r="1039">
          <cell r="K1039">
            <v>0</v>
          </cell>
          <cell r="M1039">
            <v>0</v>
          </cell>
          <cell r="P1039">
            <v>0</v>
          </cell>
          <cell r="Q1039" t="str">
            <v>Tallied</v>
          </cell>
        </row>
        <row r="1040">
          <cell r="K1040">
            <v>0</v>
          </cell>
          <cell r="M1040">
            <v>0</v>
          </cell>
          <cell r="P1040">
            <v>0</v>
          </cell>
          <cell r="Q1040" t="str">
            <v>Tallied</v>
          </cell>
        </row>
        <row r="1041">
          <cell r="K1041">
            <v>0</v>
          </cell>
          <cell r="M1041">
            <v>0</v>
          </cell>
          <cell r="P1041">
            <v>0</v>
          </cell>
          <cell r="Q1041" t="str">
            <v>Tallied</v>
          </cell>
        </row>
        <row r="1042">
          <cell r="K1042">
            <v>0</v>
          </cell>
          <cell r="M1042">
            <v>0</v>
          </cell>
          <cell r="P1042">
            <v>0</v>
          </cell>
          <cell r="Q1042" t="str">
            <v>Tallied</v>
          </cell>
        </row>
        <row r="1043">
          <cell r="K1043">
            <v>0</v>
          </cell>
          <cell r="M1043">
            <v>0</v>
          </cell>
          <cell r="P1043">
            <v>0</v>
          </cell>
          <cell r="Q1043" t="str">
            <v>Tallied</v>
          </cell>
        </row>
        <row r="1044">
          <cell r="K1044">
            <v>0</v>
          </cell>
          <cell r="M1044">
            <v>0</v>
          </cell>
          <cell r="P1044">
            <v>0</v>
          </cell>
          <cell r="Q1044" t="str">
            <v>Tallied</v>
          </cell>
        </row>
        <row r="1045">
          <cell r="K1045">
            <v>0</v>
          </cell>
          <cell r="M1045">
            <v>0</v>
          </cell>
          <cell r="P1045">
            <v>0</v>
          </cell>
          <cell r="Q1045" t="str">
            <v>Tallied</v>
          </cell>
        </row>
        <row r="1046">
          <cell r="K1046">
            <v>0</v>
          </cell>
          <cell r="M1046">
            <v>0</v>
          </cell>
          <cell r="P1046">
            <v>0</v>
          </cell>
          <cell r="Q1046" t="str">
            <v>Tallied</v>
          </cell>
        </row>
        <row r="1047">
          <cell r="K1047">
            <v>0</v>
          </cell>
          <cell r="M1047">
            <v>0</v>
          </cell>
          <cell r="P1047">
            <v>0</v>
          </cell>
          <cell r="Q1047" t="str">
            <v>Tallied</v>
          </cell>
        </row>
        <row r="1048">
          <cell r="K1048">
            <v>0</v>
          </cell>
          <cell r="M1048">
            <v>0</v>
          </cell>
          <cell r="P1048">
            <v>0</v>
          </cell>
          <cell r="Q1048" t="str">
            <v>Tallied</v>
          </cell>
        </row>
        <row r="1049">
          <cell r="K1049">
            <v>0</v>
          </cell>
          <cell r="M1049">
            <v>0</v>
          </cell>
          <cell r="P1049">
            <v>0</v>
          </cell>
          <cell r="Q1049" t="str">
            <v>Tallied</v>
          </cell>
        </row>
        <row r="1050">
          <cell r="K1050">
            <v>0</v>
          </cell>
          <cell r="M1050">
            <v>0</v>
          </cell>
          <cell r="P1050">
            <v>0</v>
          </cell>
          <cell r="Q1050" t="str">
            <v>Tallied</v>
          </cell>
        </row>
        <row r="1051">
          <cell r="K1051">
            <v>0</v>
          </cell>
          <cell r="M1051">
            <v>0</v>
          </cell>
          <cell r="P1051">
            <v>0</v>
          </cell>
          <cell r="Q1051" t="str">
            <v>Tallied</v>
          </cell>
        </row>
        <row r="1052">
          <cell r="K1052">
            <v>0</v>
          </cell>
          <cell r="M1052">
            <v>0</v>
          </cell>
          <cell r="P1052">
            <v>0</v>
          </cell>
          <cell r="Q1052" t="str">
            <v>Tallied</v>
          </cell>
        </row>
        <row r="1053">
          <cell r="K1053">
            <v>0</v>
          </cell>
          <cell r="M1053">
            <v>0</v>
          </cell>
          <cell r="P1053">
            <v>0</v>
          </cell>
          <cell r="Q1053" t="str">
            <v>Tallied</v>
          </cell>
        </row>
        <row r="1054">
          <cell r="K1054">
            <v>0</v>
          </cell>
          <cell r="M1054">
            <v>0</v>
          </cell>
          <cell r="P1054">
            <v>0</v>
          </cell>
          <cell r="Q1054" t="str">
            <v>Tallied</v>
          </cell>
        </row>
        <row r="1055">
          <cell r="K1055">
            <v>0</v>
          </cell>
          <cell r="M1055">
            <v>0</v>
          </cell>
          <cell r="P1055">
            <v>0</v>
          </cell>
          <cell r="Q1055" t="str">
            <v>Tallied</v>
          </cell>
        </row>
        <row r="1056">
          <cell r="K1056">
            <v>0</v>
          </cell>
          <cell r="M1056">
            <v>0</v>
          </cell>
          <cell r="P1056">
            <v>0</v>
          </cell>
          <cell r="Q1056" t="str">
            <v>Tallied</v>
          </cell>
        </row>
        <row r="1057">
          <cell r="K1057">
            <v>0</v>
          </cell>
          <cell r="M1057">
            <v>0</v>
          </cell>
          <cell r="P1057">
            <v>0</v>
          </cell>
          <cell r="Q1057" t="str">
            <v>Tallied</v>
          </cell>
        </row>
        <row r="1058">
          <cell r="K1058">
            <v>0</v>
          </cell>
          <cell r="M1058">
            <v>0</v>
          </cell>
          <cell r="P1058">
            <v>0</v>
          </cell>
          <cell r="Q1058" t="str">
            <v>Tallied</v>
          </cell>
        </row>
        <row r="1059">
          <cell r="K1059">
            <v>0</v>
          </cell>
          <cell r="M1059">
            <v>0</v>
          </cell>
          <cell r="P1059">
            <v>0</v>
          </cell>
          <cell r="Q1059" t="str">
            <v>Tallied</v>
          </cell>
        </row>
        <row r="1060">
          <cell r="K1060">
            <v>0</v>
          </cell>
          <cell r="M1060">
            <v>0</v>
          </cell>
          <cell r="P1060">
            <v>0</v>
          </cell>
          <cell r="Q1060" t="str">
            <v>Tallied</v>
          </cell>
        </row>
        <row r="1061">
          <cell r="K1061">
            <v>0</v>
          </cell>
          <cell r="M1061">
            <v>0</v>
          </cell>
          <cell r="P1061">
            <v>0</v>
          </cell>
          <cell r="Q1061" t="str">
            <v>Tallied</v>
          </cell>
        </row>
        <row r="1062">
          <cell r="K1062">
            <v>0</v>
          </cell>
          <cell r="M1062">
            <v>0</v>
          </cell>
          <cell r="P1062">
            <v>0</v>
          </cell>
          <cell r="Q1062" t="str">
            <v>Tallied</v>
          </cell>
        </row>
        <row r="1063">
          <cell r="K1063">
            <v>0</v>
          </cell>
          <cell r="M1063">
            <v>0</v>
          </cell>
          <cell r="P1063">
            <v>0</v>
          </cell>
          <cell r="Q1063" t="str">
            <v>Tallied</v>
          </cell>
        </row>
        <row r="1064">
          <cell r="K1064">
            <v>0</v>
          </cell>
          <cell r="M1064">
            <v>0</v>
          </cell>
          <cell r="P1064">
            <v>0</v>
          </cell>
          <cell r="Q1064" t="str">
            <v>Tallied</v>
          </cell>
        </row>
        <row r="1065">
          <cell r="K1065">
            <v>0</v>
          </cell>
          <cell r="M1065">
            <v>0</v>
          </cell>
          <cell r="P1065">
            <v>0</v>
          </cell>
          <cell r="Q1065" t="str">
            <v>Tallied</v>
          </cell>
        </row>
        <row r="1066">
          <cell r="K1066">
            <v>0</v>
          </cell>
          <cell r="M1066">
            <v>0</v>
          </cell>
          <cell r="P1066">
            <v>0</v>
          </cell>
          <cell r="Q1066" t="str">
            <v>Tallied</v>
          </cell>
        </row>
        <row r="1067">
          <cell r="K1067">
            <v>0</v>
          </cell>
          <cell r="M1067">
            <v>0</v>
          </cell>
          <cell r="P1067">
            <v>0</v>
          </cell>
          <cell r="Q1067" t="str">
            <v>Tallied</v>
          </cell>
        </row>
        <row r="1068">
          <cell r="K1068">
            <v>0</v>
          </cell>
          <cell r="M1068">
            <v>0</v>
          </cell>
          <cell r="P1068">
            <v>0</v>
          </cell>
          <cell r="Q1068" t="str">
            <v>Tallied</v>
          </cell>
        </row>
        <row r="1069">
          <cell r="K1069">
            <v>0</v>
          </cell>
          <cell r="M1069">
            <v>0</v>
          </cell>
          <cell r="P1069">
            <v>0</v>
          </cell>
          <cell r="Q1069" t="str">
            <v>Tallied</v>
          </cell>
        </row>
        <row r="1070">
          <cell r="K1070">
            <v>0</v>
          </cell>
          <cell r="M1070">
            <v>0</v>
          </cell>
          <cell r="P1070">
            <v>0</v>
          </cell>
          <cell r="Q1070" t="str">
            <v>Tallied</v>
          </cell>
        </row>
        <row r="1071">
          <cell r="K1071">
            <v>0</v>
          </cell>
          <cell r="M1071">
            <v>0</v>
          </cell>
          <cell r="P1071">
            <v>0</v>
          </cell>
          <cell r="Q1071" t="str">
            <v>Tallied</v>
          </cell>
        </row>
        <row r="1072">
          <cell r="K1072">
            <v>0</v>
          </cell>
          <cell r="M1072">
            <v>0</v>
          </cell>
          <cell r="P1072">
            <v>0</v>
          </cell>
          <cell r="Q1072" t="str">
            <v>Tallied</v>
          </cell>
        </row>
        <row r="1073">
          <cell r="K1073">
            <v>0</v>
          </cell>
          <cell r="M1073">
            <v>0</v>
          </cell>
          <cell r="P1073">
            <v>0</v>
          </cell>
          <cell r="Q1073" t="str">
            <v>Tallied</v>
          </cell>
        </row>
        <row r="1074">
          <cell r="K1074">
            <v>0</v>
          </cell>
          <cell r="M1074">
            <v>0</v>
          </cell>
          <cell r="P1074">
            <v>0</v>
          </cell>
          <cell r="Q1074" t="str">
            <v>Tallied</v>
          </cell>
        </row>
        <row r="1075">
          <cell r="K1075">
            <v>0</v>
          </cell>
          <cell r="M1075">
            <v>0</v>
          </cell>
          <cell r="P1075">
            <v>0</v>
          </cell>
          <cell r="Q1075" t="str">
            <v>Tallied</v>
          </cell>
        </row>
        <row r="1076">
          <cell r="K1076">
            <v>0</v>
          </cell>
          <cell r="M1076">
            <v>0</v>
          </cell>
          <cell r="P1076">
            <v>0</v>
          </cell>
          <cell r="Q1076" t="str">
            <v>Tallied</v>
          </cell>
        </row>
        <row r="1077">
          <cell r="K1077">
            <v>0</v>
          </cell>
          <cell r="M1077">
            <v>0</v>
          </cell>
          <cell r="P1077">
            <v>0</v>
          </cell>
          <cell r="Q1077" t="str">
            <v>Tallied</v>
          </cell>
        </row>
        <row r="1078">
          <cell r="K1078">
            <v>0</v>
          </cell>
          <cell r="M1078">
            <v>0</v>
          </cell>
          <cell r="P1078">
            <v>0</v>
          </cell>
          <cell r="Q1078" t="str">
            <v>Tallied</v>
          </cell>
        </row>
        <row r="1079">
          <cell r="K1079">
            <v>0</v>
          </cell>
          <cell r="M1079">
            <v>0</v>
          </cell>
          <cell r="P1079">
            <v>0</v>
          </cell>
          <cell r="Q1079" t="str">
            <v>Tallied</v>
          </cell>
        </row>
        <row r="1080">
          <cell r="K1080">
            <v>0</v>
          </cell>
          <cell r="M1080">
            <v>0</v>
          </cell>
          <cell r="P1080">
            <v>0</v>
          </cell>
          <cell r="Q1080" t="str">
            <v>Tallied</v>
          </cell>
        </row>
        <row r="1081">
          <cell r="K1081">
            <v>0</v>
          </cell>
          <cell r="M1081">
            <v>0</v>
          </cell>
          <cell r="P1081">
            <v>0</v>
          </cell>
          <cell r="Q1081" t="str">
            <v>Tallied</v>
          </cell>
        </row>
        <row r="1082">
          <cell r="K1082">
            <v>0</v>
          </cell>
          <cell r="M1082">
            <v>0</v>
          </cell>
          <cell r="P1082">
            <v>0</v>
          </cell>
          <cell r="Q1082" t="str">
            <v>Tallied</v>
          </cell>
        </row>
        <row r="1083">
          <cell r="K1083">
            <v>0</v>
          </cell>
          <cell r="M1083">
            <v>0</v>
          </cell>
          <cell r="P1083">
            <v>0</v>
          </cell>
          <cell r="Q1083" t="str">
            <v>Tallied</v>
          </cell>
        </row>
        <row r="1084">
          <cell r="K1084">
            <v>0</v>
          </cell>
          <cell r="M1084">
            <v>0</v>
          </cell>
          <cell r="P1084">
            <v>0</v>
          </cell>
          <cell r="Q1084" t="str">
            <v>Tallied</v>
          </cell>
        </row>
        <row r="1085">
          <cell r="K1085">
            <v>0</v>
          </cell>
          <cell r="M1085">
            <v>0</v>
          </cell>
          <cell r="P1085">
            <v>0</v>
          </cell>
          <cell r="Q1085" t="str">
            <v>Tallied</v>
          </cell>
        </row>
        <row r="1086">
          <cell r="K1086">
            <v>0</v>
          </cell>
          <cell r="M1086">
            <v>0</v>
          </cell>
          <cell r="P1086">
            <v>0</v>
          </cell>
          <cell r="Q1086" t="str">
            <v>Tallied</v>
          </cell>
        </row>
        <row r="1087">
          <cell r="K1087">
            <v>0</v>
          </cell>
          <cell r="M1087">
            <v>0</v>
          </cell>
          <cell r="P1087">
            <v>0</v>
          </cell>
          <cell r="Q1087" t="str">
            <v>Tallied</v>
          </cell>
        </row>
        <row r="1088">
          <cell r="K1088">
            <v>0</v>
          </cell>
          <cell r="M1088">
            <v>0</v>
          </cell>
          <cell r="P1088">
            <v>0</v>
          </cell>
          <cell r="Q1088" t="str">
            <v>Tallied</v>
          </cell>
        </row>
        <row r="1089">
          <cell r="K1089">
            <v>0</v>
          </cell>
          <cell r="M1089">
            <v>0</v>
          </cell>
          <cell r="P1089">
            <v>0</v>
          </cell>
          <cell r="Q1089" t="str">
            <v>Tallied</v>
          </cell>
        </row>
        <row r="1090">
          <cell r="K1090">
            <v>0</v>
          </cell>
          <cell r="M1090">
            <v>0</v>
          </cell>
          <cell r="P1090">
            <v>0</v>
          </cell>
          <cell r="Q1090" t="str">
            <v>Tallied</v>
          </cell>
        </row>
        <row r="1091">
          <cell r="K1091">
            <v>0</v>
          </cell>
          <cell r="M1091">
            <v>0</v>
          </cell>
          <cell r="P1091">
            <v>0</v>
          </cell>
          <cell r="Q1091" t="str">
            <v>Tallied</v>
          </cell>
        </row>
        <row r="1092">
          <cell r="K1092">
            <v>0</v>
          </cell>
          <cell r="M1092">
            <v>0</v>
          </cell>
          <cell r="P1092">
            <v>0</v>
          </cell>
          <cell r="Q1092" t="str">
            <v>Tallied</v>
          </cell>
        </row>
        <row r="1093">
          <cell r="K1093">
            <v>0</v>
          </cell>
          <cell r="M1093">
            <v>0</v>
          </cell>
          <cell r="P1093">
            <v>0</v>
          </cell>
          <cell r="Q1093" t="str">
            <v>Tallied</v>
          </cell>
        </row>
        <row r="1094">
          <cell r="K1094">
            <v>0</v>
          </cell>
          <cell r="M1094">
            <v>0</v>
          </cell>
          <cell r="P1094">
            <v>0</v>
          </cell>
          <cell r="Q1094" t="str">
            <v>Tallied</v>
          </cell>
        </row>
        <row r="1095">
          <cell r="K1095">
            <v>0</v>
          </cell>
          <cell r="M1095">
            <v>0</v>
          </cell>
          <cell r="P1095">
            <v>0</v>
          </cell>
          <cell r="Q1095" t="str">
            <v>Tallied</v>
          </cell>
        </row>
        <row r="1096">
          <cell r="K1096">
            <v>0</v>
          </cell>
          <cell r="M1096">
            <v>0</v>
          </cell>
          <cell r="P1096">
            <v>0</v>
          </cell>
          <cell r="Q1096" t="str">
            <v>Tallied</v>
          </cell>
        </row>
        <row r="1097">
          <cell r="K1097">
            <v>0</v>
          </cell>
          <cell r="M1097">
            <v>0</v>
          </cell>
          <cell r="P1097">
            <v>0</v>
          </cell>
          <cell r="Q1097" t="str">
            <v>Tallied</v>
          </cell>
        </row>
        <row r="1098">
          <cell r="K1098">
            <v>0</v>
          </cell>
          <cell r="M1098">
            <v>0</v>
          </cell>
          <cell r="P1098">
            <v>0</v>
          </cell>
          <cell r="Q1098" t="str">
            <v>Tallied</v>
          </cell>
        </row>
        <row r="1099">
          <cell r="K1099">
            <v>0</v>
          </cell>
          <cell r="M1099">
            <v>0</v>
          </cell>
          <cell r="P1099">
            <v>0</v>
          </cell>
          <cell r="Q1099" t="str">
            <v>Tallied</v>
          </cell>
        </row>
        <row r="1100">
          <cell r="K1100">
            <v>0</v>
          </cell>
          <cell r="M1100">
            <v>0</v>
          </cell>
          <cell r="P1100">
            <v>0</v>
          </cell>
          <cell r="Q1100" t="str">
            <v>Tallied</v>
          </cell>
        </row>
        <row r="1101">
          <cell r="K1101">
            <v>0</v>
          </cell>
          <cell r="M1101">
            <v>0</v>
          </cell>
          <cell r="P1101">
            <v>0</v>
          </cell>
          <cell r="Q1101" t="str">
            <v>Tallied</v>
          </cell>
        </row>
        <row r="1102">
          <cell r="K1102">
            <v>0</v>
          </cell>
          <cell r="M1102">
            <v>0</v>
          </cell>
          <cell r="P1102">
            <v>0</v>
          </cell>
          <cell r="Q1102" t="str">
            <v>Tallied</v>
          </cell>
        </row>
        <row r="1103">
          <cell r="K1103">
            <v>0</v>
          </cell>
          <cell r="M1103">
            <v>0</v>
          </cell>
          <cell r="P1103">
            <v>0</v>
          </cell>
          <cell r="Q1103" t="str">
            <v>Tallied</v>
          </cell>
        </row>
        <row r="1104">
          <cell r="K1104">
            <v>0</v>
          </cell>
          <cell r="M1104">
            <v>0</v>
          </cell>
          <cell r="P1104">
            <v>0</v>
          </cell>
          <cell r="Q1104" t="str">
            <v>Tallied</v>
          </cell>
        </row>
        <row r="1105">
          <cell r="K1105">
            <v>0</v>
          </cell>
          <cell r="M1105">
            <v>0</v>
          </cell>
          <cell r="P1105">
            <v>0</v>
          </cell>
          <cell r="Q1105" t="str">
            <v>Tallied</v>
          </cell>
        </row>
        <row r="1106">
          <cell r="K1106">
            <v>0</v>
          </cell>
          <cell r="M1106">
            <v>0</v>
          </cell>
          <cell r="P1106">
            <v>0</v>
          </cell>
          <cell r="Q1106" t="str">
            <v>Tallied</v>
          </cell>
        </row>
        <row r="1107">
          <cell r="K1107">
            <v>0</v>
          </cell>
          <cell r="M1107">
            <v>0</v>
          </cell>
          <cell r="P1107">
            <v>0</v>
          </cell>
          <cell r="Q1107" t="str">
            <v>Tallied</v>
          </cell>
        </row>
        <row r="1108">
          <cell r="K1108">
            <v>0</v>
          </cell>
          <cell r="M1108">
            <v>0</v>
          </cell>
          <cell r="P1108">
            <v>0</v>
          </cell>
          <cell r="Q1108" t="str">
            <v>Tallied</v>
          </cell>
        </row>
        <row r="1109">
          <cell r="K1109">
            <v>0</v>
          </cell>
          <cell r="M1109">
            <v>0</v>
          </cell>
          <cell r="P1109">
            <v>0</v>
          </cell>
          <cell r="Q1109" t="str">
            <v>Tallied</v>
          </cell>
        </row>
        <row r="1110">
          <cell r="K1110">
            <v>0</v>
          </cell>
          <cell r="M1110">
            <v>0</v>
          </cell>
          <cell r="P1110">
            <v>0</v>
          </cell>
          <cell r="Q1110" t="str">
            <v>Tallied</v>
          </cell>
        </row>
        <row r="1111">
          <cell r="K1111">
            <v>0</v>
          </cell>
          <cell r="M1111">
            <v>0</v>
          </cell>
          <cell r="P1111">
            <v>0</v>
          </cell>
          <cell r="Q1111" t="str">
            <v>Tallied</v>
          </cell>
        </row>
        <row r="1112">
          <cell r="K1112">
            <v>0</v>
          </cell>
          <cell r="M1112">
            <v>0</v>
          </cell>
          <cell r="P1112">
            <v>0</v>
          </cell>
          <cell r="Q1112" t="str">
            <v>Tallied</v>
          </cell>
        </row>
        <row r="1113">
          <cell r="K1113">
            <v>0</v>
          </cell>
          <cell r="M1113">
            <v>0</v>
          </cell>
          <cell r="P1113">
            <v>0</v>
          </cell>
          <cell r="Q1113" t="str">
            <v>Tallied</v>
          </cell>
        </row>
        <row r="1114">
          <cell r="K1114">
            <v>0</v>
          </cell>
          <cell r="M1114">
            <v>0</v>
          </cell>
          <cell r="P1114">
            <v>0</v>
          </cell>
          <cell r="Q1114" t="str">
            <v>Tallied</v>
          </cell>
        </row>
        <row r="1115">
          <cell r="K1115">
            <v>0</v>
          </cell>
          <cell r="M1115">
            <v>0</v>
          </cell>
          <cell r="P1115">
            <v>0</v>
          </cell>
          <cell r="Q1115" t="str">
            <v>Tallied</v>
          </cell>
        </row>
        <row r="1116">
          <cell r="K1116">
            <v>0</v>
          </cell>
          <cell r="M1116">
            <v>0</v>
          </cell>
          <cell r="P1116">
            <v>0</v>
          </cell>
          <cell r="Q1116" t="str">
            <v>Tallied</v>
          </cell>
        </row>
        <row r="1117">
          <cell r="K1117">
            <v>0</v>
          </cell>
          <cell r="M1117">
            <v>0</v>
          </cell>
          <cell r="P1117">
            <v>0</v>
          </cell>
          <cell r="Q1117" t="str">
            <v>Tallied</v>
          </cell>
        </row>
        <row r="1118">
          <cell r="K1118">
            <v>0</v>
          </cell>
          <cell r="M1118">
            <v>0</v>
          </cell>
          <cell r="P1118">
            <v>0</v>
          </cell>
          <cell r="Q1118" t="str">
            <v>Tallied</v>
          </cell>
        </row>
        <row r="1119">
          <cell r="K1119">
            <v>0</v>
          </cell>
          <cell r="M1119">
            <v>0</v>
          </cell>
          <cell r="P1119">
            <v>0</v>
          </cell>
          <cell r="Q1119" t="str">
            <v>Tallied</v>
          </cell>
        </row>
        <row r="1120">
          <cell r="K1120">
            <v>0</v>
          </cell>
          <cell r="M1120">
            <v>0</v>
          </cell>
          <cell r="P1120">
            <v>0</v>
          </cell>
          <cell r="Q1120" t="str">
            <v>Tallied</v>
          </cell>
        </row>
        <row r="1121">
          <cell r="K1121">
            <v>0</v>
          </cell>
          <cell r="M1121">
            <v>0</v>
          </cell>
          <cell r="P1121">
            <v>0</v>
          </cell>
          <cell r="Q1121" t="str">
            <v>Tallied</v>
          </cell>
        </row>
        <row r="1122">
          <cell r="K1122">
            <v>0</v>
          </cell>
          <cell r="M1122">
            <v>0</v>
          </cell>
          <cell r="P1122">
            <v>0</v>
          </cell>
          <cell r="Q1122" t="str">
            <v>Tallied</v>
          </cell>
        </row>
        <row r="1123">
          <cell r="K1123">
            <v>0</v>
          </cell>
          <cell r="M1123">
            <v>0</v>
          </cell>
          <cell r="P1123">
            <v>0</v>
          </cell>
          <cell r="Q1123" t="str">
            <v>Tallied</v>
          </cell>
        </row>
        <row r="1124">
          <cell r="K1124">
            <v>0</v>
          </cell>
          <cell r="M1124">
            <v>0</v>
          </cell>
          <cell r="P1124">
            <v>0</v>
          </cell>
          <cell r="Q1124" t="str">
            <v>Tallied</v>
          </cell>
        </row>
        <row r="1125">
          <cell r="K1125">
            <v>0</v>
          </cell>
          <cell r="M1125">
            <v>0</v>
          </cell>
          <cell r="P1125">
            <v>0</v>
          </cell>
          <cell r="Q1125" t="str">
            <v>Tallied</v>
          </cell>
        </row>
        <row r="1126">
          <cell r="K1126">
            <v>0</v>
          </cell>
          <cell r="M1126">
            <v>0</v>
          </cell>
          <cell r="P1126">
            <v>0</v>
          </cell>
          <cell r="Q1126" t="str">
            <v>Tallied</v>
          </cell>
        </row>
        <row r="1127">
          <cell r="K1127">
            <v>0</v>
          </cell>
          <cell r="M1127">
            <v>0</v>
          </cell>
          <cell r="P1127">
            <v>0</v>
          </cell>
          <cell r="Q1127" t="str">
            <v>Tallied</v>
          </cell>
        </row>
        <row r="1128">
          <cell r="K1128">
            <v>0</v>
          </cell>
          <cell r="M1128">
            <v>0</v>
          </cell>
          <cell r="P1128">
            <v>0</v>
          </cell>
          <cell r="Q1128" t="str">
            <v>Tallied</v>
          </cell>
        </row>
        <row r="1129">
          <cell r="K1129">
            <v>0</v>
          </cell>
          <cell r="M1129">
            <v>0</v>
          </cell>
          <cell r="P1129">
            <v>0</v>
          </cell>
          <cell r="Q1129" t="str">
            <v>Tallied</v>
          </cell>
        </row>
        <row r="1130">
          <cell r="K1130">
            <v>0</v>
          </cell>
          <cell r="M1130">
            <v>0</v>
          </cell>
          <cell r="P1130">
            <v>0</v>
          </cell>
          <cell r="Q1130" t="str">
            <v>Tallied</v>
          </cell>
        </row>
        <row r="1131">
          <cell r="K1131">
            <v>0</v>
          </cell>
          <cell r="M1131">
            <v>0</v>
          </cell>
          <cell r="P1131">
            <v>0</v>
          </cell>
          <cell r="Q1131" t="str">
            <v>Tallied</v>
          </cell>
        </row>
        <row r="1132">
          <cell r="K1132">
            <v>0</v>
          </cell>
          <cell r="M1132">
            <v>0</v>
          </cell>
          <cell r="P1132">
            <v>0</v>
          </cell>
          <cell r="Q1132" t="str">
            <v>Tallied</v>
          </cell>
        </row>
        <row r="1133">
          <cell r="K1133">
            <v>0</v>
          </cell>
          <cell r="M1133">
            <v>0</v>
          </cell>
          <cell r="P1133">
            <v>0</v>
          </cell>
          <cell r="Q1133" t="str">
            <v>Tallied</v>
          </cell>
        </row>
        <row r="1134">
          <cell r="K1134">
            <v>0</v>
          </cell>
          <cell r="M1134">
            <v>0</v>
          </cell>
          <cell r="P1134">
            <v>0</v>
          </cell>
          <cell r="Q1134" t="str">
            <v>Tallied</v>
          </cell>
        </row>
        <row r="1135">
          <cell r="K1135">
            <v>0</v>
          </cell>
          <cell r="M1135">
            <v>0</v>
          </cell>
          <cell r="P1135">
            <v>0</v>
          </cell>
          <cell r="Q1135" t="str">
            <v>Tallied</v>
          </cell>
        </row>
        <row r="1136">
          <cell r="K1136">
            <v>0</v>
          </cell>
          <cell r="M1136">
            <v>0</v>
          </cell>
          <cell r="P1136">
            <v>0</v>
          </cell>
          <cell r="Q1136" t="str">
            <v>Tallied</v>
          </cell>
        </row>
        <row r="1137">
          <cell r="K1137">
            <v>0</v>
          </cell>
          <cell r="M1137">
            <v>0</v>
          </cell>
          <cell r="P1137">
            <v>0</v>
          </cell>
          <cell r="Q1137" t="str">
            <v>Tallied</v>
          </cell>
        </row>
        <row r="1138">
          <cell r="K1138">
            <v>0</v>
          </cell>
          <cell r="M1138">
            <v>0</v>
          </cell>
          <cell r="P1138">
            <v>0</v>
          </cell>
          <cell r="Q1138" t="str">
            <v>Tallied</v>
          </cell>
        </row>
        <row r="1139">
          <cell r="K1139">
            <v>0</v>
          </cell>
          <cell r="M1139">
            <v>0</v>
          </cell>
          <cell r="P1139">
            <v>0</v>
          </cell>
          <cell r="Q1139" t="str">
            <v>Tallied</v>
          </cell>
        </row>
        <row r="1140">
          <cell r="K1140">
            <v>0</v>
          </cell>
          <cell r="M1140">
            <v>0</v>
          </cell>
          <cell r="P1140">
            <v>0</v>
          </cell>
          <cell r="Q1140" t="str">
            <v>Tallied</v>
          </cell>
        </row>
        <row r="1141">
          <cell r="K1141">
            <v>0</v>
          </cell>
          <cell r="M1141">
            <v>0</v>
          </cell>
          <cell r="P1141">
            <v>0</v>
          </cell>
          <cell r="Q1141" t="str">
            <v>Tallied</v>
          </cell>
        </row>
        <row r="1142">
          <cell r="K1142">
            <v>0</v>
          </cell>
          <cell r="M1142">
            <v>0</v>
          </cell>
          <cell r="P1142">
            <v>0</v>
          </cell>
          <cell r="Q1142" t="str">
            <v>Tallied</v>
          </cell>
        </row>
        <row r="1143">
          <cell r="K1143">
            <v>0</v>
          </cell>
          <cell r="M1143">
            <v>0</v>
          </cell>
          <cell r="P1143">
            <v>0</v>
          </cell>
          <cell r="Q1143" t="str">
            <v>Tallied</v>
          </cell>
        </row>
        <row r="1144">
          <cell r="K1144">
            <v>0</v>
          </cell>
          <cell r="M1144">
            <v>0</v>
          </cell>
          <cell r="P1144">
            <v>0</v>
          </cell>
          <cell r="Q1144" t="str">
            <v>Tallied</v>
          </cell>
        </row>
        <row r="1145">
          <cell r="K1145">
            <v>0</v>
          </cell>
          <cell r="M1145">
            <v>0</v>
          </cell>
          <cell r="P1145">
            <v>0</v>
          </cell>
          <cell r="Q1145" t="str">
            <v>Tallied</v>
          </cell>
        </row>
        <row r="1146">
          <cell r="K1146">
            <v>0</v>
          </cell>
          <cell r="M1146">
            <v>0</v>
          </cell>
          <cell r="P1146">
            <v>0</v>
          </cell>
          <cell r="Q1146" t="str">
            <v>Tallied</v>
          </cell>
        </row>
        <row r="1147">
          <cell r="K1147">
            <v>0</v>
          </cell>
          <cell r="M1147">
            <v>0</v>
          </cell>
          <cell r="P1147">
            <v>0</v>
          </cell>
          <cell r="Q1147" t="str">
            <v>Tallied</v>
          </cell>
        </row>
        <row r="1148">
          <cell r="K1148">
            <v>0</v>
          </cell>
          <cell r="M1148">
            <v>0</v>
          </cell>
          <cell r="P1148">
            <v>0</v>
          </cell>
          <cell r="Q1148" t="str">
            <v>Tallied</v>
          </cell>
        </row>
        <row r="1149">
          <cell r="K1149">
            <v>0</v>
          </cell>
          <cell r="M1149">
            <v>0</v>
          </cell>
          <cell r="P1149">
            <v>0</v>
          </cell>
          <cell r="Q1149" t="str">
            <v>Tallied</v>
          </cell>
        </row>
        <row r="1150">
          <cell r="K1150">
            <v>0</v>
          </cell>
          <cell r="M1150">
            <v>0</v>
          </cell>
          <cell r="P1150">
            <v>0</v>
          </cell>
          <cell r="Q1150" t="str">
            <v>Tallied</v>
          </cell>
        </row>
        <row r="1151">
          <cell r="K1151">
            <v>0</v>
          </cell>
          <cell r="M1151">
            <v>0</v>
          </cell>
          <cell r="P1151">
            <v>0</v>
          </cell>
          <cell r="Q1151" t="str">
            <v>Tallied</v>
          </cell>
        </row>
        <row r="1152">
          <cell r="K1152">
            <v>0</v>
          </cell>
          <cell r="M1152">
            <v>0</v>
          </cell>
          <cell r="P1152">
            <v>0</v>
          </cell>
          <cell r="Q1152" t="str">
            <v>Tallied</v>
          </cell>
        </row>
        <row r="1153">
          <cell r="K1153">
            <v>0</v>
          </cell>
          <cell r="M1153">
            <v>0</v>
          </cell>
          <cell r="P1153">
            <v>0</v>
          </cell>
          <cell r="Q1153" t="str">
            <v>Tallied</v>
          </cell>
        </row>
        <row r="1154">
          <cell r="K1154">
            <v>0</v>
          </cell>
          <cell r="M1154">
            <v>0</v>
          </cell>
          <cell r="P1154">
            <v>0</v>
          </cell>
          <cell r="Q1154" t="str">
            <v>Tallied</v>
          </cell>
        </row>
        <row r="1155">
          <cell r="K1155">
            <v>0</v>
          </cell>
          <cell r="M1155">
            <v>0</v>
          </cell>
          <cell r="P1155">
            <v>0</v>
          </cell>
          <cell r="Q1155" t="str">
            <v>Tallied</v>
          </cell>
        </row>
        <row r="1156">
          <cell r="K1156">
            <v>0</v>
          </cell>
          <cell r="M1156">
            <v>0</v>
          </cell>
          <cell r="P1156">
            <v>0</v>
          </cell>
          <cell r="Q1156" t="str">
            <v>Tallied</v>
          </cell>
        </row>
        <row r="1157">
          <cell r="K1157">
            <v>0</v>
          </cell>
          <cell r="M1157">
            <v>0</v>
          </cell>
          <cell r="P1157">
            <v>0</v>
          </cell>
          <cell r="Q1157" t="str">
            <v>Tallied</v>
          </cell>
        </row>
        <row r="1158">
          <cell r="K1158">
            <v>0</v>
          </cell>
          <cell r="M1158">
            <v>0</v>
          </cell>
          <cell r="P1158">
            <v>0</v>
          </cell>
          <cell r="Q1158" t="str">
            <v>Tallied</v>
          </cell>
        </row>
        <row r="1159">
          <cell r="K1159">
            <v>0</v>
          </cell>
          <cell r="M1159">
            <v>0</v>
          </cell>
          <cell r="P1159">
            <v>0</v>
          </cell>
          <cell r="Q1159" t="str">
            <v>Tallied</v>
          </cell>
        </row>
        <row r="1160">
          <cell r="K1160">
            <v>0</v>
          </cell>
          <cell r="M1160">
            <v>0</v>
          </cell>
          <cell r="P1160">
            <v>0</v>
          </cell>
          <cell r="Q1160" t="str">
            <v>Tallied</v>
          </cell>
        </row>
        <row r="1161">
          <cell r="K1161">
            <v>0</v>
          </cell>
          <cell r="M1161">
            <v>0</v>
          </cell>
          <cell r="P1161">
            <v>0</v>
          </cell>
          <cell r="Q1161" t="str">
            <v>Tallied</v>
          </cell>
        </row>
        <row r="1162">
          <cell r="K1162">
            <v>0</v>
          </cell>
          <cell r="M1162">
            <v>0</v>
          </cell>
          <cell r="P1162">
            <v>0</v>
          </cell>
          <cell r="Q1162" t="str">
            <v>Tallied</v>
          </cell>
        </row>
        <row r="1163">
          <cell r="K1163">
            <v>0</v>
          </cell>
          <cell r="M1163">
            <v>0</v>
          </cell>
          <cell r="P1163">
            <v>0</v>
          </cell>
          <cell r="Q1163" t="str">
            <v>Tallied</v>
          </cell>
        </row>
        <row r="1164">
          <cell r="K1164">
            <v>0</v>
          </cell>
          <cell r="M1164">
            <v>0</v>
          </cell>
          <cell r="P1164">
            <v>0</v>
          </cell>
          <cell r="Q1164" t="str">
            <v>Tallied</v>
          </cell>
        </row>
        <row r="1165">
          <cell r="K1165">
            <v>0</v>
          </cell>
          <cell r="M1165">
            <v>0</v>
          </cell>
          <cell r="P1165">
            <v>0</v>
          </cell>
          <cell r="Q1165" t="str">
            <v>Tallied</v>
          </cell>
        </row>
        <row r="1166">
          <cell r="K1166">
            <v>0</v>
          </cell>
          <cell r="M1166">
            <v>0</v>
          </cell>
          <cell r="P1166">
            <v>0</v>
          </cell>
          <cell r="Q1166" t="str">
            <v>Tallied</v>
          </cell>
        </row>
        <row r="1167">
          <cell r="K1167">
            <v>0</v>
          </cell>
          <cell r="M1167">
            <v>0</v>
          </cell>
          <cell r="P1167">
            <v>0</v>
          </cell>
          <cell r="Q1167" t="str">
            <v>Tallied</v>
          </cell>
        </row>
        <row r="1168">
          <cell r="K1168">
            <v>0</v>
          </cell>
          <cell r="M1168">
            <v>0</v>
          </cell>
          <cell r="P1168">
            <v>0</v>
          </cell>
          <cell r="Q1168" t="str">
            <v>Tallied</v>
          </cell>
        </row>
        <row r="1169">
          <cell r="K1169">
            <v>0</v>
          </cell>
          <cell r="M1169">
            <v>0</v>
          </cell>
          <cell r="P1169">
            <v>0</v>
          </cell>
          <cell r="Q1169" t="str">
            <v>Tallied</v>
          </cell>
        </row>
        <row r="1170">
          <cell r="K1170">
            <v>0</v>
          </cell>
          <cell r="M1170">
            <v>0</v>
          </cell>
          <cell r="P1170">
            <v>0</v>
          </cell>
          <cell r="Q1170" t="str">
            <v>Tallied</v>
          </cell>
        </row>
        <row r="1171">
          <cell r="K1171">
            <v>0</v>
          </cell>
          <cell r="M1171">
            <v>0</v>
          </cell>
          <cell r="P1171">
            <v>0</v>
          </cell>
          <cell r="Q1171" t="str">
            <v>Tallied</v>
          </cell>
        </row>
        <row r="1172">
          <cell r="K1172">
            <v>0</v>
          </cell>
          <cell r="M1172">
            <v>0</v>
          </cell>
          <cell r="P1172">
            <v>0</v>
          </cell>
          <cell r="Q1172" t="str">
            <v>Tallied</v>
          </cell>
        </row>
        <row r="1173">
          <cell r="K1173">
            <v>0</v>
          </cell>
          <cell r="M1173">
            <v>0</v>
          </cell>
          <cell r="P1173">
            <v>0</v>
          </cell>
          <cell r="Q1173" t="str">
            <v>Tallied</v>
          </cell>
        </row>
        <row r="1174">
          <cell r="K1174">
            <v>0</v>
          </cell>
          <cell r="M1174">
            <v>0</v>
          </cell>
          <cell r="P1174">
            <v>0</v>
          </cell>
          <cell r="Q1174" t="str">
            <v>Tallied</v>
          </cell>
        </row>
        <row r="1175">
          <cell r="K1175">
            <v>0</v>
          </cell>
          <cell r="M1175">
            <v>0</v>
          </cell>
          <cell r="P1175">
            <v>0</v>
          </cell>
          <cell r="Q1175" t="str">
            <v>Tallied</v>
          </cell>
        </row>
        <row r="1176">
          <cell r="K1176">
            <v>0</v>
          </cell>
          <cell r="M1176">
            <v>0</v>
          </cell>
          <cell r="P1176">
            <v>0</v>
          </cell>
          <cell r="Q1176" t="str">
            <v>Tallied</v>
          </cell>
        </row>
        <row r="1177">
          <cell r="K1177">
            <v>0</v>
          </cell>
          <cell r="M1177">
            <v>0</v>
          </cell>
          <cell r="P1177">
            <v>0</v>
          </cell>
          <cell r="Q1177" t="str">
            <v>Tallied</v>
          </cell>
        </row>
        <row r="1178">
          <cell r="K1178">
            <v>0</v>
          </cell>
          <cell r="M1178">
            <v>0</v>
          </cell>
          <cell r="P1178">
            <v>0</v>
          </cell>
          <cell r="Q1178" t="str">
            <v>Tallied</v>
          </cell>
        </row>
        <row r="1179">
          <cell r="K1179">
            <v>0</v>
          </cell>
          <cell r="M1179">
            <v>0</v>
          </cell>
          <cell r="P1179">
            <v>0</v>
          </cell>
          <cell r="Q1179" t="str">
            <v>Tallied</v>
          </cell>
        </row>
        <row r="1180">
          <cell r="K1180">
            <v>0</v>
          </cell>
          <cell r="M1180">
            <v>0</v>
          </cell>
          <cell r="P1180">
            <v>0</v>
          </cell>
          <cell r="Q1180" t="str">
            <v>Tallied</v>
          </cell>
        </row>
        <row r="1181">
          <cell r="K1181">
            <v>0</v>
          </cell>
          <cell r="M1181">
            <v>0</v>
          </cell>
          <cell r="P1181">
            <v>0</v>
          </cell>
          <cell r="Q1181" t="str">
            <v>Tallied</v>
          </cell>
        </row>
        <row r="1182">
          <cell r="K1182">
            <v>0</v>
          </cell>
          <cell r="M1182">
            <v>0</v>
          </cell>
          <cell r="P1182">
            <v>0</v>
          </cell>
          <cell r="Q1182" t="str">
            <v>Tallied</v>
          </cell>
        </row>
        <row r="1183">
          <cell r="K1183">
            <v>0</v>
          </cell>
          <cell r="M1183">
            <v>0</v>
          </cell>
          <cell r="P1183">
            <v>0</v>
          </cell>
          <cell r="Q1183" t="str">
            <v>Tallied</v>
          </cell>
        </row>
        <row r="1184">
          <cell r="K1184">
            <v>0</v>
          </cell>
          <cell r="M1184">
            <v>0</v>
          </cell>
          <cell r="P1184">
            <v>0</v>
          </cell>
          <cell r="Q1184" t="str">
            <v>Tallied</v>
          </cell>
        </row>
        <row r="1185">
          <cell r="K1185">
            <v>0</v>
          </cell>
          <cell r="M1185">
            <v>0</v>
          </cell>
          <cell r="P1185">
            <v>0</v>
          </cell>
          <cell r="Q1185" t="str">
            <v>Tallied</v>
          </cell>
        </row>
        <row r="1186">
          <cell r="K1186">
            <v>0</v>
          </cell>
          <cell r="M1186">
            <v>0</v>
          </cell>
          <cell r="P1186">
            <v>0</v>
          </cell>
          <cell r="Q1186" t="str">
            <v>Tallied</v>
          </cell>
        </row>
        <row r="1187">
          <cell r="K1187">
            <v>0</v>
          </cell>
          <cell r="M1187">
            <v>0</v>
          </cell>
          <cell r="P1187">
            <v>0</v>
          </cell>
          <cell r="Q1187" t="str">
            <v>Tallied</v>
          </cell>
        </row>
        <row r="1188">
          <cell r="K1188">
            <v>0</v>
          </cell>
          <cell r="M1188">
            <v>0</v>
          </cell>
          <cell r="P1188">
            <v>0</v>
          </cell>
          <cell r="Q1188" t="str">
            <v>Tallied</v>
          </cell>
        </row>
        <row r="1189">
          <cell r="K1189">
            <v>0</v>
          </cell>
          <cell r="M1189">
            <v>0</v>
          </cell>
          <cell r="P1189">
            <v>0</v>
          </cell>
          <cell r="Q1189" t="str">
            <v>Tallied</v>
          </cell>
        </row>
        <row r="1190">
          <cell r="K1190">
            <v>0</v>
          </cell>
          <cell r="M1190">
            <v>0</v>
          </cell>
          <cell r="P1190">
            <v>0</v>
          </cell>
          <cell r="Q1190" t="str">
            <v>Tallied</v>
          </cell>
        </row>
        <row r="1191">
          <cell r="K1191">
            <v>0</v>
          </cell>
          <cell r="M1191">
            <v>0</v>
          </cell>
          <cell r="P1191">
            <v>0</v>
          </cell>
          <cell r="Q1191" t="str">
            <v>Tallied</v>
          </cell>
        </row>
        <row r="1192">
          <cell r="K1192">
            <v>0</v>
          </cell>
          <cell r="M1192">
            <v>0</v>
          </cell>
          <cell r="P1192">
            <v>0</v>
          </cell>
          <cell r="Q1192" t="str">
            <v>Tallied</v>
          </cell>
        </row>
        <row r="1193">
          <cell r="K1193">
            <v>0</v>
          </cell>
          <cell r="M1193">
            <v>0</v>
          </cell>
          <cell r="P1193">
            <v>0</v>
          </cell>
          <cell r="Q1193" t="str">
            <v>Tallied</v>
          </cell>
        </row>
        <row r="1194">
          <cell r="K1194">
            <v>0</v>
          </cell>
          <cell r="M1194">
            <v>0</v>
          </cell>
          <cell r="P1194">
            <v>0</v>
          </cell>
          <cell r="Q1194" t="str">
            <v>Tallied</v>
          </cell>
        </row>
        <row r="1195">
          <cell r="K1195">
            <v>0</v>
          </cell>
          <cell r="M1195">
            <v>0</v>
          </cell>
          <cell r="P1195">
            <v>0</v>
          </cell>
          <cell r="Q1195" t="str">
            <v>Tallied</v>
          </cell>
        </row>
        <row r="1196">
          <cell r="K1196">
            <v>0</v>
          </cell>
          <cell r="M1196">
            <v>0</v>
          </cell>
          <cell r="P1196">
            <v>0</v>
          </cell>
          <cell r="Q1196" t="str">
            <v>Tallied</v>
          </cell>
        </row>
        <row r="1197">
          <cell r="K1197">
            <v>0</v>
          </cell>
          <cell r="M1197">
            <v>0</v>
          </cell>
          <cell r="P1197">
            <v>0</v>
          </cell>
          <cell r="Q1197" t="str">
            <v>Tallied</v>
          </cell>
        </row>
        <row r="1198">
          <cell r="K1198">
            <v>0</v>
          </cell>
          <cell r="M1198">
            <v>0</v>
          </cell>
          <cell r="P1198">
            <v>0</v>
          </cell>
          <cell r="Q1198" t="str">
            <v>Tallied</v>
          </cell>
        </row>
        <row r="1199">
          <cell r="K1199">
            <v>0</v>
          </cell>
          <cell r="M1199">
            <v>0</v>
          </cell>
          <cell r="P1199">
            <v>0</v>
          </cell>
          <cell r="Q1199" t="str">
            <v>Tallied</v>
          </cell>
        </row>
        <row r="1200">
          <cell r="K1200">
            <v>0</v>
          </cell>
          <cell r="M1200">
            <v>0</v>
          </cell>
          <cell r="P1200">
            <v>0</v>
          </cell>
          <cell r="Q1200" t="str">
            <v>Tallied</v>
          </cell>
        </row>
        <row r="1201">
          <cell r="K1201">
            <v>0</v>
          </cell>
          <cell r="M1201">
            <v>0</v>
          </cell>
          <cell r="P1201">
            <v>0</v>
          </cell>
          <cell r="Q1201" t="str">
            <v>Tallied</v>
          </cell>
        </row>
        <row r="1202">
          <cell r="K1202">
            <v>0</v>
          </cell>
          <cell r="M1202">
            <v>0</v>
          </cell>
          <cell r="P1202">
            <v>0</v>
          </cell>
          <cell r="Q1202" t="str">
            <v>Tallied</v>
          </cell>
        </row>
        <row r="1203">
          <cell r="K1203">
            <v>0</v>
          </cell>
          <cell r="M1203">
            <v>0</v>
          </cell>
          <cell r="P1203">
            <v>0</v>
          </cell>
          <cell r="Q1203" t="str">
            <v>Tallied</v>
          </cell>
        </row>
        <row r="1204">
          <cell r="K1204">
            <v>0</v>
          </cell>
          <cell r="M1204">
            <v>0</v>
          </cell>
          <cell r="P1204">
            <v>0</v>
          </cell>
          <cell r="Q1204" t="str">
            <v>Tallied</v>
          </cell>
        </row>
        <row r="1205">
          <cell r="K1205">
            <v>0</v>
          </cell>
          <cell r="M1205">
            <v>0</v>
          </cell>
          <cell r="P1205">
            <v>0</v>
          </cell>
          <cell r="Q1205" t="str">
            <v>Tallied</v>
          </cell>
        </row>
        <row r="1206">
          <cell r="K1206">
            <v>0</v>
          </cell>
          <cell r="M1206">
            <v>0</v>
          </cell>
          <cell r="P1206">
            <v>0</v>
          </cell>
          <cell r="Q1206" t="str">
            <v>Tallied</v>
          </cell>
        </row>
        <row r="1207">
          <cell r="K1207">
            <v>0</v>
          </cell>
          <cell r="M1207">
            <v>0</v>
          </cell>
          <cell r="P1207">
            <v>0</v>
          </cell>
          <cell r="Q1207" t="str">
            <v>Tallied</v>
          </cell>
        </row>
        <row r="1208">
          <cell r="K1208">
            <v>0</v>
          </cell>
          <cell r="M1208">
            <v>0</v>
          </cell>
          <cell r="P1208">
            <v>0</v>
          </cell>
          <cell r="Q1208" t="str">
            <v>Tallied</v>
          </cell>
        </row>
        <row r="1209">
          <cell r="K1209">
            <v>0</v>
          </cell>
          <cell r="M1209">
            <v>0</v>
          </cell>
          <cell r="P1209">
            <v>0</v>
          </cell>
          <cell r="Q1209" t="str">
            <v>Tallied</v>
          </cell>
        </row>
        <row r="1210">
          <cell r="K1210">
            <v>0</v>
          </cell>
          <cell r="M1210">
            <v>0</v>
          </cell>
          <cell r="P1210">
            <v>0</v>
          </cell>
          <cell r="Q1210" t="str">
            <v>Tallied</v>
          </cell>
        </row>
        <row r="1211">
          <cell r="K1211">
            <v>0</v>
          </cell>
          <cell r="M1211">
            <v>0</v>
          </cell>
          <cell r="P1211">
            <v>0</v>
          </cell>
          <cell r="Q1211" t="str">
            <v>Tallied</v>
          </cell>
        </row>
        <row r="1212">
          <cell r="K1212">
            <v>0</v>
          </cell>
          <cell r="M1212">
            <v>0</v>
          </cell>
          <cell r="P1212">
            <v>0</v>
          </cell>
          <cell r="Q1212" t="str">
            <v>Tallied</v>
          </cell>
        </row>
        <row r="1213">
          <cell r="K1213">
            <v>0</v>
          </cell>
          <cell r="M1213">
            <v>0</v>
          </cell>
          <cell r="P1213">
            <v>0</v>
          </cell>
          <cell r="Q1213" t="str">
            <v>Tallied</v>
          </cell>
        </row>
        <row r="1214">
          <cell r="K1214">
            <v>0</v>
          </cell>
          <cell r="M1214">
            <v>0</v>
          </cell>
          <cell r="P1214">
            <v>0</v>
          </cell>
          <cell r="Q1214" t="str">
            <v>Tallied</v>
          </cell>
        </row>
        <row r="1215">
          <cell r="K1215">
            <v>0</v>
          </cell>
          <cell r="M1215">
            <v>0</v>
          </cell>
          <cell r="P1215">
            <v>0</v>
          </cell>
          <cell r="Q1215" t="str">
            <v>Tallied</v>
          </cell>
        </row>
        <row r="1216">
          <cell r="K1216">
            <v>0</v>
          </cell>
          <cell r="M1216">
            <v>0</v>
          </cell>
          <cell r="P1216">
            <v>0</v>
          </cell>
          <cell r="Q1216" t="str">
            <v>Tallied</v>
          </cell>
        </row>
        <row r="1217">
          <cell r="K1217">
            <v>0</v>
          </cell>
          <cell r="M1217">
            <v>0</v>
          </cell>
          <cell r="P1217">
            <v>0</v>
          </cell>
          <cell r="Q1217" t="str">
            <v>Tallied</v>
          </cell>
        </row>
        <row r="1218">
          <cell r="K1218">
            <v>0</v>
          </cell>
          <cell r="M1218">
            <v>0</v>
          </cell>
          <cell r="P1218">
            <v>0</v>
          </cell>
          <cell r="Q1218" t="str">
            <v>Tallied</v>
          </cell>
        </row>
        <row r="1219">
          <cell r="K1219">
            <v>0</v>
          </cell>
          <cell r="M1219">
            <v>0</v>
          </cell>
          <cell r="P1219">
            <v>0</v>
          </cell>
          <cell r="Q1219" t="str">
            <v>Tallied</v>
          </cell>
        </row>
        <row r="1220">
          <cell r="K1220">
            <v>0</v>
          </cell>
          <cell r="M1220">
            <v>0</v>
          </cell>
          <cell r="P1220">
            <v>0</v>
          </cell>
          <cell r="Q1220" t="str">
            <v>Tallied</v>
          </cell>
        </row>
        <row r="1221">
          <cell r="K1221">
            <v>0</v>
          </cell>
          <cell r="M1221">
            <v>0</v>
          </cell>
          <cell r="P1221">
            <v>0</v>
          </cell>
          <cell r="Q1221" t="str">
            <v>Tallied</v>
          </cell>
        </row>
        <row r="1222">
          <cell r="K1222">
            <v>0</v>
          </cell>
          <cell r="M1222">
            <v>0</v>
          </cell>
          <cell r="P1222">
            <v>0</v>
          </cell>
          <cell r="Q1222" t="str">
            <v>Tallied</v>
          </cell>
        </row>
        <row r="1223">
          <cell r="K1223">
            <v>0</v>
          </cell>
          <cell r="M1223">
            <v>0</v>
          </cell>
          <cell r="P1223">
            <v>0</v>
          </cell>
          <cell r="Q1223" t="str">
            <v>Tallied</v>
          </cell>
        </row>
        <row r="1224">
          <cell r="K1224">
            <v>0</v>
          </cell>
          <cell r="M1224">
            <v>0</v>
          </cell>
          <cell r="P1224">
            <v>0</v>
          </cell>
          <cell r="Q1224" t="str">
            <v>Tallied</v>
          </cell>
        </row>
        <row r="1225">
          <cell r="K1225">
            <v>0</v>
          </cell>
          <cell r="M1225">
            <v>0</v>
          </cell>
          <cell r="P1225">
            <v>0</v>
          </cell>
          <cell r="Q1225" t="str">
            <v>Tallied</v>
          </cell>
        </row>
        <row r="1226">
          <cell r="K1226">
            <v>0</v>
          </cell>
          <cell r="M1226">
            <v>0</v>
          </cell>
          <cell r="P1226">
            <v>0</v>
          </cell>
          <cell r="Q1226" t="str">
            <v>Tallied</v>
          </cell>
        </row>
        <row r="1227">
          <cell r="K1227">
            <v>0</v>
          </cell>
          <cell r="M1227">
            <v>0</v>
          </cell>
          <cell r="P1227">
            <v>0</v>
          </cell>
          <cell r="Q1227" t="str">
            <v>Tallied</v>
          </cell>
        </row>
        <row r="1228">
          <cell r="K1228">
            <v>0</v>
          </cell>
          <cell r="M1228">
            <v>0</v>
          </cell>
          <cell r="P1228">
            <v>0</v>
          </cell>
          <cell r="Q1228" t="str">
            <v>Tallied</v>
          </cell>
        </row>
        <row r="1229">
          <cell r="K1229">
            <v>0</v>
          </cell>
          <cell r="M1229">
            <v>0</v>
          </cell>
          <cell r="P1229">
            <v>0</v>
          </cell>
          <cell r="Q1229" t="str">
            <v>Tallied</v>
          </cell>
        </row>
        <row r="1230">
          <cell r="K1230">
            <v>0</v>
          </cell>
          <cell r="M1230">
            <v>0</v>
          </cell>
          <cell r="P1230">
            <v>0</v>
          </cell>
          <cell r="Q1230" t="str">
            <v>Tallied</v>
          </cell>
        </row>
        <row r="1231">
          <cell r="K1231">
            <v>0</v>
          </cell>
          <cell r="M1231">
            <v>0</v>
          </cell>
          <cell r="P1231">
            <v>0</v>
          </cell>
          <cell r="Q1231" t="str">
            <v>Tallied</v>
          </cell>
        </row>
        <row r="1232">
          <cell r="K1232">
            <v>0</v>
          </cell>
          <cell r="M1232">
            <v>0</v>
          </cell>
          <cell r="P1232">
            <v>0</v>
          </cell>
          <cell r="Q1232" t="str">
            <v>Tallied</v>
          </cell>
        </row>
        <row r="1233">
          <cell r="K1233">
            <v>0</v>
          </cell>
          <cell r="M1233">
            <v>0</v>
          </cell>
          <cell r="P1233">
            <v>0</v>
          </cell>
          <cell r="Q1233" t="str">
            <v>Tallied</v>
          </cell>
        </row>
        <row r="1234">
          <cell r="K1234">
            <v>0</v>
          </cell>
          <cell r="M1234">
            <v>0</v>
          </cell>
          <cell r="P1234">
            <v>0</v>
          </cell>
          <cell r="Q1234" t="str">
            <v>Tallied</v>
          </cell>
        </row>
        <row r="1235">
          <cell r="K1235">
            <v>0</v>
          </cell>
          <cell r="M1235">
            <v>0</v>
          </cell>
          <cell r="P1235">
            <v>0</v>
          </cell>
          <cell r="Q1235" t="str">
            <v>Tallied</v>
          </cell>
        </row>
        <row r="1236">
          <cell r="K1236">
            <v>0</v>
          </cell>
          <cell r="M1236">
            <v>0</v>
          </cell>
          <cell r="P1236">
            <v>0</v>
          </cell>
          <cell r="Q1236" t="str">
            <v>Tallied</v>
          </cell>
        </row>
        <row r="1237">
          <cell r="K1237">
            <v>0</v>
          </cell>
          <cell r="M1237">
            <v>0</v>
          </cell>
          <cell r="P1237">
            <v>0</v>
          </cell>
          <cell r="Q1237" t="str">
            <v>Tallied</v>
          </cell>
        </row>
        <row r="1238">
          <cell r="K1238">
            <v>0</v>
          </cell>
          <cell r="M1238">
            <v>0</v>
          </cell>
          <cell r="P1238">
            <v>0</v>
          </cell>
          <cell r="Q1238" t="str">
            <v>Tallied</v>
          </cell>
        </row>
        <row r="1239">
          <cell r="K1239">
            <v>0</v>
          </cell>
          <cell r="M1239">
            <v>0</v>
          </cell>
          <cell r="P1239">
            <v>0</v>
          </cell>
          <cell r="Q1239" t="str">
            <v>Tallied</v>
          </cell>
        </row>
        <row r="1240">
          <cell r="K1240">
            <v>0</v>
          </cell>
          <cell r="M1240">
            <v>0</v>
          </cell>
          <cell r="P1240">
            <v>0</v>
          </cell>
          <cell r="Q1240" t="str">
            <v>Tallied</v>
          </cell>
        </row>
        <row r="1241">
          <cell r="K1241">
            <v>0</v>
          </cell>
          <cell r="M1241">
            <v>0</v>
          </cell>
          <cell r="P1241">
            <v>0</v>
          </cell>
          <cell r="Q1241" t="str">
            <v>Tallied</v>
          </cell>
        </row>
        <row r="1242">
          <cell r="K1242">
            <v>0</v>
          </cell>
          <cell r="M1242">
            <v>0</v>
          </cell>
          <cell r="P1242">
            <v>0</v>
          </cell>
          <cell r="Q1242" t="str">
            <v>Tallied</v>
          </cell>
        </row>
        <row r="1243">
          <cell r="K1243">
            <v>0</v>
          </cell>
          <cell r="M1243">
            <v>0</v>
          </cell>
          <cell r="P1243">
            <v>0</v>
          </cell>
          <cell r="Q1243" t="str">
            <v>Tallied</v>
          </cell>
        </row>
        <row r="1244">
          <cell r="K1244">
            <v>0</v>
          </cell>
          <cell r="M1244">
            <v>0</v>
          </cell>
          <cell r="P1244">
            <v>0</v>
          </cell>
          <cell r="Q1244" t="str">
            <v>Tallied</v>
          </cell>
        </row>
        <row r="1245">
          <cell r="K1245">
            <v>0</v>
          </cell>
          <cell r="M1245">
            <v>0</v>
          </cell>
          <cell r="P1245">
            <v>0</v>
          </cell>
          <cell r="Q1245" t="str">
            <v>Tallied</v>
          </cell>
        </row>
        <row r="1246">
          <cell r="K1246">
            <v>0</v>
          </cell>
          <cell r="M1246">
            <v>0</v>
          </cell>
          <cell r="P1246">
            <v>0</v>
          </cell>
          <cell r="Q1246" t="str">
            <v>Tallied</v>
          </cell>
        </row>
        <row r="1247">
          <cell r="K1247">
            <v>0</v>
          </cell>
          <cell r="M1247">
            <v>0</v>
          </cell>
          <cell r="P1247">
            <v>0</v>
          </cell>
          <cell r="Q1247" t="str">
            <v>Tallied</v>
          </cell>
        </row>
        <row r="1248">
          <cell r="K1248">
            <v>0</v>
          </cell>
          <cell r="M1248">
            <v>0</v>
          </cell>
          <cell r="P1248">
            <v>0</v>
          </cell>
          <cell r="Q1248" t="str">
            <v>Tallied</v>
          </cell>
        </row>
        <row r="1249">
          <cell r="K1249">
            <v>0</v>
          </cell>
          <cell r="M1249">
            <v>0</v>
          </cell>
          <cell r="P1249">
            <v>0</v>
          </cell>
          <cell r="Q1249" t="str">
            <v>Tallied</v>
          </cell>
        </row>
        <row r="1250">
          <cell r="K1250">
            <v>0</v>
          </cell>
          <cell r="M1250">
            <v>0</v>
          </cell>
          <cell r="P1250">
            <v>0</v>
          </cell>
          <cell r="Q1250" t="str">
            <v>Tallied</v>
          </cell>
        </row>
        <row r="1251">
          <cell r="K1251">
            <v>0</v>
          </cell>
          <cell r="M1251">
            <v>0</v>
          </cell>
          <cell r="P1251">
            <v>0</v>
          </cell>
          <cell r="Q1251" t="str">
            <v>Tallied</v>
          </cell>
        </row>
        <row r="1252">
          <cell r="K1252">
            <v>0</v>
          </cell>
          <cell r="M1252">
            <v>0</v>
          </cell>
          <cell r="P1252">
            <v>0</v>
          </cell>
          <cell r="Q1252" t="str">
            <v>Tallied</v>
          </cell>
        </row>
        <row r="1253">
          <cell r="K1253">
            <v>0</v>
          </cell>
          <cell r="M1253">
            <v>0</v>
          </cell>
          <cell r="P1253">
            <v>0</v>
          </cell>
          <cell r="Q1253" t="str">
            <v>Tallied</v>
          </cell>
        </row>
        <row r="1254">
          <cell r="K1254">
            <v>0</v>
          </cell>
          <cell r="M1254">
            <v>0</v>
          </cell>
          <cell r="P1254">
            <v>0</v>
          </cell>
          <cell r="Q1254" t="str">
            <v>Tallied</v>
          </cell>
        </row>
        <row r="1255">
          <cell r="K1255">
            <v>0</v>
          </cell>
          <cell r="M1255">
            <v>0</v>
          </cell>
          <cell r="P1255">
            <v>0</v>
          </cell>
          <cell r="Q1255" t="str">
            <v>Tallied</v>
          </cell>
        </row>
        <row r="1256">
          <cell r="K1256">
            <v>0</v>
          </cell>
          <cell r="M1256">
            <v>0</v>
          </cell>
          <cell r="P1256">
            <v>0</v>
          </cell>
          <cell r="Q1256" t="str">
            <v>Tallied</v>
          </cell>
        </row>
        <row r="1257">
          <cell r="K1257">
            <v>0</v>
          </cell>
          <cell r="M1257">
            <v>0</v>
          </cell>
          <cell r="P1257">
            <v>0</v>
          </cell>
          <cell r="Q1257" t="str">
            <v>Tallied</v>
          </cell>
        </row>
        <row r="1258">
          <cell r="K1258">
            <v>0</v>
          </cell>
          <cell r="M1258">
            <v>0</v>
          </cell>
          <cell r="P1258">
            <v>0</v>
          </cell>
          <cell r="Q1258" t="str">
            <v>Tallied</v>
          </cell>
        </row>
        <row r="1259">
          <cell r="K1259">
            <v>0</v>
          </cell>
          <cell r="M1259">
            <v>0</v>
          </cell>
          <cell r="P1259">
            <v>0</v>
          </cell>
          <cell r="Q1259" t="str">
            <v>Tallied</v>
          </cell>
        </row>
        <row r="1260">
          <cell r="K1260">
            <v>0</v>
          </cell>
          <cell r="M1260">
            <v>0</v>
          </cell>
          <cell r="P1260">
            <v>0</v>
          </cell>
          <cell r="Q1260" t="str">
            <v>Tallied</v>
          </cell>
        </row>
        <row r="1261">
          <cell r="K1261">
            <v>0</v>
          </cell>
          <cell r="M1261">
            <v>0</v>
          </cell>
          <cell r="P1261">
            <v>0</v>
          </cell>
          <cell r="Q1261" t="str">
            <v>Tallied</v>
          </cell>
        </row>
        <row r="1262">
          <cell r="K1262">
            <v>0</v>
          </cell>
          <cell r="M1262">
            <v>0</v>
          </cell>
          <cell r="P1262">
            <v>0</v>
          </cell>
          <cell r="Q1262" t="str">
            <v>Tallied</v>
          </cell>
        </row>
        <row r="1263">
          <cell r="K1263">
            <v>0</v>
          </cell>
          <cell r="M1263">
            <v>0</v>
          </cell>
          <cell r="P1263">
            <v>0</v>
          </cell>
          <cell r="Q1263" t="str">
            <v>Tallied</v>
          </cell>
        </row>
        <row r="1264">
          <cell r="K1264">
            <v>0</v>
          </cell>
          <cell r="M1264">
            <v>0</v>
          </cell>
          <cell r="P1264">
            <v>0</v>
          </cell>
          <cell r="Q1264" t="str">
            <v>Tallied</v>
          </cell>
        </row>
        <row r="1265">
          <cell r="K1265">
            <v>0</v>
          </cell>
          <cell r="M1265">
            <v>0</v>
          </cell>
          <cell r="P1265">
            <v>0</v>
          </cell>
          <cell r="Q1265" t="str">
            <v>Tallied</v>
          </cell>
        </row>
        <row r="1266">
          <cell r="K1266">
            <v>0</v>
          </cell>
          <cell r="M1266">
            <v>0</v>
          </cell>
          <cell r="P1266">
            <v>0</v>
          </cell>
          <cell r="Q1266" t="str">
            <v>Tallied</v>
          </cell>
        </row>
        <row r="1267">
          <cell r="K1267">
            <v>0</v>
          </cell>
          <cell r="M1267">
            <v>0</v>
          </cell>
          <cell r="P1267">
            <v>0</v>
          </cell>
          <cell r="Q1267" t="str">
            <v>Tallied</v>
          </cell>
        </row>
        <row r="1268">
          <cell r="K1268">
            <v>0</v>
          </cell>
          <cell r="M1268">
            <v>0</v>
          </cell>
          <cell r="P1268">
            <v>0</v>
          </cell>
          <cell r="Q1268" t="str">
            <v>Tallied</v>
          </cell>
        </row>
        <row r="1269">
          <cell r="K1269">
            <v>0</v>
          </cell>
          <cell r="M1269">
            <v>0</v>
          </cell>
          <cell r="P1269">
            <v>0</v>
          </cell>
          <cell r="Q1269" t="str">
            <v>Tallied</v>
          </cell>
        </row>
        <row r="1270">
          <cell r="K1270">
            <v>0</v>
          </cell>
          <cell r="M1270">
            <v>0</v>
          </cell>
          <cell r="P1270">
            <v>0</v>
          </cell>
          <cell r="Q1270" t="str">
            <v>Tallied</v>
          </cell>
        </row>
        <row r="1271">
          <cell r="K1271">
            <v>0</v>
          </cell>
          <cell r="M1271">
            <v>0</v>
          </cell>
          <cell r="P1271">
            <v>0</v>
          </cell>
          <cell r="Q1271" t="str">
            <v>Tallied</v>
          </cell>
        </row>
        <row r="1272">
          <cell r="K1272">
            <v>0</v>
          </cell>
          <cell r="M1272">
            <v>0</v>
          </cell>
          <cell r="P1272">
            <v>0</v>
          </cell>
          <cell r="Q1272" t="str">
            <v>Tallied</v>
          </cell>
        </row>
        <row r="1273">
          <cell r="K1273">
            <v>0</v>
          </cell>
          <cell r="M1273">
            <v>0</v>
          </cell>
          <cell r="P1273">
            <v>0</v>
          </cell>
          <cell r="Q1273" t="str">
            <v>Tallied</v>
          </cell>
        </row>
        <row r="1274">
          <cell r="K1274">
            <v>0</v>
          </cell>
          <cell r="M1274">
            <v>0</v>
          </cell>
          <cell r="P1274">
            <v>0</v>
          </cell>
          <cell r="Q1274" t="str">
            <v>Tallied</v>
          </cell>
        </row>
        <row r="1275">
          <cell r="K1275">
            <v>0</v>
          </cell>
          <cell r="M1275">
            <v>0</v>
          </cell>
          <cell r="P1275">
            <v>0</v>
          </cell>
          <cell r="Q1275" t="str">
            <v>Tallied</v>
          </cell>
        </row>
        <row r="1276">
          <cell r="K1276">
            <v>0</v>
          </cell>
          <cell r="M1276">
            <v>0</v>
          </cell>
          <cell r="P1276">
            <v>0</v>
          </cell>
          <cell r="Q1276" t="str">
            <v>Tallied</v>
          </cell>
        </row>
        <row r="1277">
          <cell r="K1277">
            <v>0</v>
          </cell>
          <cell r="M1277">
            <v>0</v>
          </cell>
          <cell r="P1277">
            <v>0</v>
          </cell>
          <cell r="Q1277" t="str">
            <v>Tallied</v>
          </cell>
        </row>
        <row r="1278">
          <cell r="K1278">
            <v>0</v>
          </cell>
          <cell r="M1278">
            <v>0</v>
          </cell>
          <cell r="P1278">
            <v>0</v>
          </cell>
          <cell r="Q1278" t="str">
            <v>Tallied</v>
          </cell>
        </row>
        <row r="1279">
          <cell r="K1279">
            <v>0</v>
          </cell>
          <cell r="M1279">
            <v>0</v>
          </cell>
          <cell r="P1279">
            <v>0</v>
          </cell>
          <cell r="Q1279" t="str">
            <v>Tallied</v>
          </cell>
        </row>
        <row r="1280">
          <cell r="K1280">
            <v>0</v>
          </cell>
          <cell r="M1280">
            <v>0</v>
          </cell>
          <cell r="P1280">
            <v>0</v>
          </cell>
          <cell r="Q1280" t="str">
            <v>Tallied</v>
          </cell>
        </row>
        <row r="1281">
          <cell r="K1281">
            <v>0</v>
          </cell>
          <cell r="M1281">
            <v>0</v>
          </cell>
          <cell r="P1281">
            <v>0</v>
          </cell>
          <cell r="Q1281" t="str">
            <v>Tallied</v>
          </cell>
        </row>
        <row r="1282">
          <cell r="K1282">
            <v>0</v>
          </cell>
          <cell r="M1282">
            <v>0</v>
          </cell>
          <cell r="P1282">
            <v>0</v>
          </cell>
          <cell r="Q1282" t="str">
            <v>Tallied</v>
          </cell>
        </row>
        <row r="1283">
          <cell r="K1283">
            <v>0</v>
          </cell>
          <cell r="M1283">
            <v>0</v>
          </cell>
          <cell r="P1283">
            <v>0</v>
          </cell>
          <cell r="Q1283" t="str">
            <v>Tallied</v>
          </cell>
        </row>
        <row r="1284">
          <cell r="K1284">
            <v>0</v>
          </cell>
          <cell r="M1284">
            <v>0</v>
          </cell>
          <cell r="P1284">
            <v>0</v>
          </cell>
          <cell r="Q1284" t="str">
            <v>Tallied</v>
          </cell>
        </row>
        <row r="1285">
          <cell r="K1285">
            <v>0</v>
          </cell>
          <cell r="M1285">
            <v>0</v>
          </cell>
          <cell r="P1285">
            <v>0</v>
          </cell>
          <cell r="Q1285" t="str">
            <v>Tallied</v>
          </cell>
        </row>
        <row r="1286">
          <cell r="K1286">
            <v>0</v>
          </cell>
          <cell r="M1286">
            <v>0</v>
          </cell>
          <cell r="P1286">
            <v>0</v>
          </cell>
          <cell r="Q1286" t="str">
            <v>Tallied</v>
          </cell>
        </row>
        <row r="1287">
          <cell r="K1287">
            <v>0</v>
          </cell>
          <cell r="M1287">
            <v>0</v>
          </cell>
          <cell r="P1287">
            <v>0</v>
          </cell>
          <cell r="Q1287" t="str">
            <v>Tallied</v>
          </cell>
        </row>
        <row r="1288">
          <cell r="K1288">
            <v>0</v>
          </cell>
          <cell r="M1288">
            <v>0</v>
          </cell>
          <cell r="P1288">
            <v>0</v>
          </cell>
          <cell r="Q1288" t="str">
            <v>Tallied</v>
          </cell>
        </row>
        <row r="1289">
          <cell r="K1289">
            <v>0</v>
          </cell>
          <cell r="M1289">
            <v>0</v>
          </cell>
          <cell r="P1289">
            <v>0</v>
          </cell>
          <cell r="Q1289" t="str">
            <v>Tallied</v>
          </cell>
        </row>
        <row r="1290">
          <cell r="K1290">
            <v>0</v>
          </cell>
          <cell r="M1290">
            <v>0</v>
          </cell>
          <cell r="P1290">
            <v>0</v>
          </cell>
          <cell r="Q1290" t="str">
            <v>Tallied</v>
          </cell>
        </row>
        <row r="1291">
          <cell r="K1291">
            <v>0</v>
          </cell>
          <cell r="M1291">
            <v>0</v>
          </cell>
          <cell r="P1291">
            <v>0</v>
          </cell>
          <cell r="Q1291" t="str">
            <v>Tallied</v>
          </cell>
        </row>
        <row r="1292">
          <cell r="K1292">
            <v>0</v>
          </cell>
          <cell r="M1292">
            <v>0</v>
          </cell>
          <cell r="P1292">
            <v>0</v>
          </cell>
          <cell r="Q1292" t="str">
            <v>Tallied</v>
          </cell>
        </row>
        <row r="1293">
          <cell r="K1293">
            <v>0</v>
          </cell>
          <cell r="M1293">
            <v>0</v>
          </cell>
          <cell r="P1293">
            <v>0</v>
          </cell>
          <cell r="Q1293" t="str">
            <v>Tallied</v>
          </cell>
        </row>
        <row r="1294">
          <cell r="K1294">
            <v>0</v>
          </cell>
          <cell r="M1294">
            <v>0</v>
          </cell>
          <cell r="P1294">
            <v>0</v>
          </cell>
          <cell r="Q1294" t="str">
            <v>Tallied</v>
          </cell>
        </row>
        <row r="1295">
          <cell r="K1295">
            <v>0</v>
          </cell>
          <cell r="M1295">
            <v>0</v>
          </cell>
          <cell r="P1295">
            <v>0</v>
          </cell>
          <cell r="Q1295" t="str">
            <v>Tallied</v>
          </cell>
        </row>
        <row r="1296">
          <cell r="K1296">
            <v>0</v>
          </cell>
          <cell r="M1296">
            <v>0</v>
          </cell>
          <cell r="P1296">
            <v>0</v>
          </cell>
          <cell r="Q1296" t="str">
            <v>Tallied</v>
          </cell>
        </row>
        <row r="1297">
          <cell r="K1297">
            <v>0</v>
          </cell>
          <cell r="M1297">
            <v>0</v>
          </cell>
          <cell r="P1297">
            <v>0</v>
          </cell>
          <cell r="Q1297" t="str">
            <v>Tallied</v>
          </cell>
        </row>
        <row r="1298">
          <cell r="K1298">
            <v>0</v>
          </cell>
          <cell r="M1298">
            <v>0</v>
          </cell>
          <cell r="P1298">
            <v>0</v>
          </cell>
          <cell r="Q1298" t="str">
            <v>Tallied</v>
          </cell>
        </row>
        <row r="1299">
          <cell r="K1299">
            <v>0</v>
          </cell>
          <cell r="M1299">
            <v>0</v>
          </cell>
          <cell r="P1299">
            <v>0</v>
          </cell>
          <cell r="Q1299" t="str">
            <v>Tallied</v>
          </cell>
        </row>
        <row r="1300">
          <cell r="K1300">
            <v>0</v>
          </cell>
          <cell r="M1300">
            <v>0</v>
          </cell>
          <cell r="P1300">
            <v>0</v>
          </cell>
          <cell r="Q1300" t="str">
            <v>Tallied</v>
          </cell>
        </row>
        <row r="1301">
          <cell r="K1301">
            <v>0</v>
          </cell>
          <cell r="M1301">
            <v>0</v>
          </cell>
          <cell r="P1301">
            <v>0</v>
          </cell>
          <cell r="Q1301" t="str">
            <v>Tallied</v>
          </cell>
        </row>
        <row r="1302">
          <cell r="K1302">
            <v>0</v>
          </cell>
          <cell r="M1302">
            <v>0</v>
          </cell>
          <cell r="P1302">
            <v>0</v>
          </cell>
          <cell r="Q1302" t="str">
            <v>Tallied</v>
          </cell>
        </row>
        <row r="1303">
          <cell r="K1303">
            <v>0</v>
          </cell>
          <cell r="M1303">
            <v>0</v>
          </cell>
          <cell r="P1303">
            <v>0</v>
          </cell>
          <cell r="Q1303" t="str">
            <v>Tallied</v>
          </cell>
        </row>
        <row r="1304">
          <cell r="K1304">
            <v>0</v>
          </cell>
          <cell r="M1304">
            <v>0</v>
          </cell>
          <cell r="P1304">
            <v>0</v>
          </cell>
          <cell r="Q1304" t="str">
            <v>Tallied</v>
          </cell>
        </row>
        <row r="1305">
          <cell r="K1305">
            <v>0</v>
          </cell>
          <cell r="M1305">
            <v>0</v>
          </cell>
          <cell r="P1305">
            <v>0</v>
          </cell>
          <cell r="Q1305" t="str">
            <v>Tallied</v>
          </cell>
        </row>
        <row r="1306">
          <cell r="K1306">
            <v>0</v>
          </cell>
          <cell r="M1306">
            <v>0</v>
          </cell>
          <cell r="P1306">
            <v>0</v>
          </cell>
          <cell r="Q1306" t="str">
            <v>Tallied</v>
          </cell>
        </row>
        <row r="1307">
          <cell r="K1307">
            <v>0</v>
          </cell>
          <cell r="M1307">
            <v>0</v>
          </cell>
          <cell r="P1307">
            <v>0</v>
          </cell>
          <cell r="Q1307" t="str">
            <v>Tallied</v>
          </cell>
        </row>
        <row r="1308">
          <cell r="K1308">
            <v>0</v>
          </cell>
          <cell r="M1308">
            <v>0</v>
          </cell>
          <cell r="P1308">
            <v>0</v>
          </cell>
          <cell r="Q1308" t="str">
            <v>Tallied</v>
          </cell>
        </row>
        <row r="1309">
          <cell r="K1309">
            <v>0</v>
          </cell>
          <cell r="M1309">
            <v>0</v>
          </cell>
          <cell r="P1309">
            <v>0</v>
          </cell>
          <cell r="Q1309" t="str">
            <v>Tallied</v>
          </cell>
        </row>
        <row r="1310">
          <cell r="K1310">
            <v>0</v>
          </cell>
          <cell r="M1310">
            <v>0</v>
          </cell>
          <cell r="P1310">
            <v>0</v>
          </cell>
          <cell r="Q1310" t="str">
            <v>Tallied</v>
          </cell>
        </row>
        <row r="1311">
          <cell r="K1311">
            <v>0</v>
          </cell>
          <cell r="M1311">
            <v>0</v>
          </cell>
          <cell r="P1311">
            <v>0</v>
          </cell>
          <cell r="Q1311" t="str">
            <v>Tallied</v>
          </cell>
        </row>
        <row r="1312">
          <cell r="K1312">
            <v>0</v>
          </cell>
          <cell r="M1312">
            <v>0</v>
          </cell>
          <cell r="P1312">
            <v>0</v>
          </cell>
          <cell r="Q1312" t="str">
            <v>Tallied</v>
          </cell>
        </row>
        <row r="1313">
          <cell r="K1313">
            <v>0</v>
          </cell>
          <cell r="M1313">
            <v>0</v>
          </cell>
          <cell r="P1313">
            <v>0</v>
          </cell>
          <cell r="Q1313" t="str">
            <v>Tallied</v>
          </cell>
        </row>
        <row r="1314">
          <cell r="K1314">
            <v>0</v>
          </cell>
          <cell r="M1314">
            <v>0</v>
          </cell>
          <cell r="P1314">
            <v>0</v>
          </cell>
          <cell r="Q1314" t="str">
            <v>Tallied</v>
          </cell>
        </row>
        <row r="1315">
          <cell r="K1315">
            <v>0</v>
          </cell>
          <cell r="M1315">
            <v>0</v>
          </cell>
          <cell r="P1315">
            <v>0</v>
          </cell>
          <cell r="Q1315" t="str">
            <v>Tallied</v>
          </cell>
        </row>
        <row r="1316">
          <cell r="K1316">
            <v>0</v>
          </cell>
          <cell r="M1316">
            <v>0</v>
          </cell>
          <cell r="P1316">
            <v>0</v>
          </cell>
          <cell r="Q1316" t="str">
            <v>Tallied</v>
          </cell>
        </row>
        <row r="1317">
          <cell r="K1317">
            <v>0</v>
          </cell>
          <cell r="M1317">
            <v>0</v>
          </cell>
          <cell r="P1317">
            <v>0</v>
          </cell>
          <cell r="Q1317" t="str">
            <v>Tallied</v>
          </cell>
        </row>
        <row r="1318">
          <cell r="K1318">
            <v>0</v>
          </cell>
          <cell r="M1318">
            <v>0</v>
          </cell>
          <cell r="P1318">
            <v>0</v>
          </cell>
          <cell r="Q1318" t="str">
            <v>Tallied</v>
          </cell>
        </row>
        <row r="1319">
          <cell r="K1319">
            <v>0</v>
          </cell>
          <cell r="M1319">
            <v>0</v>
          </cell>
          <cell r="P1319">
            <v>0</v>
          </cell>
          <cell r="Q1319" t="str">
            <v>Tallied</v>
          </cell>
        </row>
        <row r="1320">
          <cell r="K1320">
            <v>0</v>
          </cell>
          <cell r="M1320">
            <v>0</v>
          </cell>
          <cell r="P1320">
            <v>0</v>
          </cell>
          <cell r="Q1320" t="str">
            <v>Tallied</v>
          </cell>
        </row>
        <row r="1321">
          <cell r="K1321">
            <v>0</v>
          </cell>
          <cell r="M1321">
            <v>0</v>
          </cell>
          <cell r="P1321">
            <v>0</v>
          </cell>
          <cell r="Q1321" t="str">
            <v>Tallied</v>
          </cell>
        </row>
        <row r="1322">
          <cell r="K1322">
            <v>0</v>
          </cell>
          <cell r="M1322">
            <v>0</v>
          </cell>
          <cell r="P1322">
            <v>0</v>
          </cell>
          <cell r="Q1322" t="str">
            <v>Tallied</v>
          </cell>
        </row>
        <row r="1323">
          <cell r="K1323">
            <v>0</v>
          </cell>
          <cell r="M1323">
            <v>0</v>
          </cell>
          <cell r="P1323">
            <v>0</v>
          </cell>
          <cell r="Q1323" t="str">
            <v>Tallied</v>
          </cell>
        </row>
        <row r="1324">
          <cell r="K1324">
            <v>0</v>
          </cell>
          <cell r="M1324">
            <v>0</v>
          </cell>
          <cell r="P1324">
            <v>0</v>
          </cell>
          <cell r="Q1324" t="str">
            <v>Tallied</v>
          </cell>
        </row>
        <row r="1325">
          <cell r="K1325">
            <v>0</v>
          </cell>
          <cell r="M1325">
            <v>0</v>
          </cell>
          <cell r="P1325">
            <v>0</v>
          </cell>
          <cell r="Q1325" t="str">
            <v>Tallied</v>
          </cell>
        </row>
        <row r="1326">
          <cell r="K1326">
            <v>0</v>
          </cell>
          <cell r="M1326">
            <v>0</v>
          </cell>
          <cell r="P1326">
            <v>0</v>
          </cell>
          <cell r="Q1326" t="str">
            <v>Tallied</v>
          </cell>
        </row>
        <row r="1327">
          <cell r="K1327">
            <v>0</v>
          </cell>
          <cell r="M1327">
            <v>0</v>
          </cell>
          <cell r="P1327">
            <v>0</v>
          </cell>
          <cell r="Q1327" t="str">
            <v>Tallied</v>
          </cell>
        </row>
        <row r="1328">
          <cell r="K1328">
            <v>0</v>
          </cell>
          <cell r="M1328">
            <v>0</v>
          </cell>
          <cell r="P1328">
            <v>0</v>
          </cell>
          <cell r="Q1328" t="str">
            <v>Tallied</v>
          </cell>
        </row>
        <row r="1329">
          <cell r="K1329">
            <v>0</v>
          </cell>
          <cell r="M1329">
            <v>0</v>
          </cell>
          <cell r="P1329">
            <v>0</v>
          </cell>
          <cell r="Q1329" t="str">
            <v>Tallied</v>
          </cell>
        </row>
        <row r="1330">
          <cell r="K1330">
            <v>0</v>
          </cell>
          <cell r="M1330">
            <v>0</v>
          </cell>
          <cell r="P1330">
            <v>0</v>
          </cell>
          <cell r="Q1330" t="str">
            <v>Tallied</v>
          </cell>
        </row>
        <row r="1331">
          <cell r="K1331">
            <v>0</v>
          </cell>
          <cell r="M1331">
            <v>0</v>
          </cell>
          <cell r="P1331">
            <v>0</v>
          </cell>
          <cell r="Q1331" t="str">
            <v>Tallied</v>
          </cell>
        </row>
        <row r="1332">
          <cell r="K1332">
            <v>0</v>
          </cell>
          <cell r="M1332">
            <v>0</v>
          </cell>
          <cell r="P1332">
            <v>0</v>
          </cell>
          <cell r="Q1332" t="str">
            <v>Tallied</v>
          </cell>
        </row>
        <row r="1333">
          <cell r="K1333">
            <v>0</v>
          </cell>
          <cell r="M1333">
            <v>0</v>
          </cell>
          <cell r="P1333">
            <v>0</v>
          </cell>
          <cell r="Q1333" t="str">
            <v>Tallied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A IVA Graph"/>
      <sheetName val="Daily IRA IVA Score card"/>
      <sheetName val="Cycle counting report"/>
      <sheetName val="Detsils"/>
      <sheetName val="Back up files if any"/>
    </sheetNames>
    <sheetDataSet>
      <sheetData sheetId="0"/>
      <sheetData sheetId="1">
        <row r="1">
          <cell r="B1" t="str">
            <v>Date</v>
          </cell>
        </row>
        <row r="2">
          <cell r="B2">
            <v>46143</v>
          </cell>
        </row>
        <row r="3">
          <cell r="B3">
            <v>46144</v>
          </cell>
        </row>
        <row r="4">
          <cell r="B4">
            <v>46145</v>
          </cell>
        </row>
        <row r="5">
          <cell r="B5">
            <v>46146</v>
          </cell>
        </row>
        <row r="6">
          <cell r="B6">
            <v>46147</v>
          </cell>
        </row>
        <row r="7">
          <cell r="B7">
            <v>46148</v>
          </cell>
        </row>
        <row r="8">
          <cell r="B8">
            <v>46149</v>
          </cell>
        </row>
        <row r="9">
          <cell r="B9">
            <v>46150</v>
          </cell>
        </row>
        <row r="10">
          <cell r="B10">
            <v>46151</v>
          </cell>
        </row>
        <row r="11">
          <cell r="B11">
            <v>46152</v>
          </cell>
        </row>
        <row r="12">
          <cell r="B12">
            <v>46153</v>
          </cell>
        </row>
        <row r="13">
          <cell r="B13">
            <v>46154</v>
          </cell>
        </row>
        <row r="14">
          <cell r="B14">
            <v>46155</v>
          </cell>
        </row>
        <row r="15">
          <cell r="B15">
            <v>46156</v>
          </cell>
        </row>
        <row r="16">
          <cell r="B16">
            <v>46157</v>
          </cell>
        </row>
        <row r="17">
          <cell r="B17">
            <v>46158</v>
          </cell>
        </row>
        <row r="18">
          <cell r="B18">
            <v>46159</v>
          </cell>
        </row>
        <row r="19">
          <cell r="B19">
            <v>46160</v>
          </cell>
        </row>
        <row r="20">
          <cell r="B20">
            <v>46161</v>
          </cell>
        </row>
        <row r="21">
          <cell r="B21">
            <v>46162</v>
          </cell>
        </row>
        <row r="22">
          <cell r="B22">
            <v>46163</v>
          </cell>
        </row>
        <row r="23">
          <cell r="B23">
            <v>46164</v>
          </cell>
        </row>
        <row r="24">
          <cell r="B24">
            <v>46165</v>
          </cell>
        </row>
        <row r="25">
          <cell r="B25">
            <v>46166</v>
          </cell>
        </row>
        <row r="26">
          <cell r="B26">
            <v>46167</v>
          </cell>
        </row>
        <row r="27">
          <cell r="B27">
            <v>46168</v>
          </cell>
        </row>
        <row r="28">
          <cell r="B28">
            <v>46169</v>
          </cell>
        </row>
        <row r="29">
          <cell r="B29">
            <v>46170</v>
          </cell>
        </row>
        <row r="30">
          <cell r="B30">
            <v>46171</v>
          </cell>
        </row>
        <row r="31">
          <cell r="B31">
            <v>46172</v>
          </cell>
        </row>
        <row r="32">
          <cell r="B32">
            <v>46173</v>
          </cell>
        </row>
        <row r="33">
          <cell r="B33" t="str">
            <v>END</v>
          </cell>
        </row>
      </sheetData>
      <sheetData sheetId="2">
        <row r="2">
          <cell r="B2" t="str">
            <v>Date</v>
          </cell>
          <cell r="K2" t="str">
            <v>Excess Value</v>
          </cell>
          <cell r="M2" t="str">
            <v>Short 
value</v>
          </cell>
          <cell r="P2" t="str">
            <v>System Value</v>
          </cell>
          <cell r="Q2" t="str">
            <v xml:space="preserve">Status </v>
          </cell>
        </row>
        <row r="3">
          <cell r="B3">
            <v>46144</v>
          </cell>
          <cell r="K3">
            <v>0</v>
          </cell>
          <cell r="M3">
            <v>0</v>
          </cell>
          <cell r="P3">
            <v>117227.93</v>
          </cell>
          <cell r="Q3" t="str">
            <v>Tallied</v>
          </cell>
        </row>
        <row r="4">
          <cell r="B4">
            <v>46144</v>
          </cell>
          <cell r="K4">
            <v>0</v>
          </cell>
          <cell r="M4">
            <v>0</v>
          </cell>
          <cell r="P4">
            <v>64122</v>
          </cell>
          <cell r="Q4" t="str">
            <v>Tallied</v>
          </cell>
        </row>
        <row r="5">
          <cell r="B5">
            <v>46144</v>
          </cell>
          <cell r="K5">
            <v>0</v>
          </cell>
          <cell r="M5">
            <v>0</v>
          </cell>
          <cell r="P5">
            <v>17409277.199999999</v>
          </cell>
          <cell r="Q5" t="str">
            <v>Tallied</v>
          </cell>
        </row>
        <row r="6">
          <cell r="B6">
            <v>46144</v>
          </cell>
          <cell r="K6">
            <v>0</v>
          </cell>
          <cell r="M6">
            <v>0</v>
          </cell>
          <cell r="P6">
            <v>245818.91999999998</v>
          </cell>
          <cell r="Q6" t="str">
            <v>Tallied</v>
          </cell>
        </row>
        <row r="7">
          <cell r="B7">
            <v>46144</v>
          </cell>
          <cell r="K7">
            <v>0</v>
          </cell>
          <cell r="M7">
            <v>0</v>
          </cell>
          <cell r="P7">
            <v>261648.4</v>
          </cell>
          <cell r="Q7" t="str">
            <v>Tallied</v>
          </cell>
        </row>
        <row r="8">
          <cell r="B8">
            <v>46144</v>
          </cell>
          <cell r="K8">
            <v>0</v>
          </cell>
          <cell r="M8">
            <v>0</v>
          </cell>
          <cell r="P8">
            <v>11134.84</v>
          </cell>
          <cell r="Q8" t="str">
            <v>Tallied</v>
          </cell>
        </row>
        <row r="9">
          <cell r="B9">
            <v>46144</v>
          </cell>
          <cell r="K9">
            <v>0</v>
          </cell>
          <cell r="M9">
            <v>0</v>
          </cell>
          <cell r="P9">
            <v>81261.48</v>
          </cell>
          <cell r="Q9" t="str">
            <v>Tallied</v>
          </cell>
        </row>
        <row r="10">
          <cell r="B10">
            <v>46144</v>
          </cell>
          <cell r="K10">
            <v>0</v>
          </cell>
          <cell r="M10">
            <v>0</v>
          </cell>
          <cell r="P10">
            <v>2324268.52</v>
          </cell>
          <cell r="Q10" t="str">
            <v>Tallied</v>
          </cell>
        </row>
        <row r="11">
          <cell r="B11">
            <v>46144</v>
          </cell>
          <cell r="K11">
            <v>0</v>
          </cell>
          <cell r="M11">
            <v>0</v>
          </cell>
          <cell r="P11">
            <v>20</v>
          </cell>
          <cell r="Q11" t="str">
            <v>Tallied</v>
          </cell>
        </row>
        <row r="12">
          <cell r="B12">
            <v>46144</v>
          </cell>
          <cell r="K12">
            <v>0</v>
          </cell>
          <cell r="M12">
            <v>0</v>
          </cell>
          <cell r="P12">
            <v>14093.400000000001</v>
          </cell>
          <cell r="Q12" t="str">
            <v>Tallied</v>
          </cell>
        </row>
        <row r="13">
          <cell r="B13">
            <v>46144</v>
          </cell>
          <cell r="K13">
            <v>0</v>
          </cell>
          <cell r="M13">
            <v>0</v>
          </cell>
          <cell r="P13">
            <v>5671.24</v>
          </cell>
          <cell r="Q13" t="str">
            <v>Tallied</v>
          </cell>
        </row>
        <row r="14">
          <cell r="B14">
            <v>46144</v>
          </cell>
          <cell r="K14">
            <v>0</v>
          </cell>
          <cell r="M14">
            <v>0</v>
          </cell>
          <cell r="P14">
            <v>1091.8900000000001</v>
          </cell>
          <cell r="Q14" t="str">
            <v>Tallied</v>
          </cell>
        </row>
        <row r="15">
          <cell r="B15">
            <v>46144</v>
          </cell>
          <cell r="K15">
            <v>0</v>
          </cell>
          <cell r="M15">
            <v>0</v>
          </cell>
          <cell r="P15">
            <v>1241.97</v>
          </cell>
          <cell r="Q15" t="str">
            <v>Tallied</v>
          </cell>
        </row>
        <row r="16">
          <cell r="B16">
            <v>46144</v>
          </cell>
          <cell r="K16">
            <v>0</v>
          </cell>
          <cell r="M16">
            <v>0</v>
          </cell>
          <cell r="P16">
            <v>1074.46</v>
          </cell>
          <cell r="Q16" t="str">
            <v>Tallied</v>
          </cell>
        </row>
        <row r="17">
          <cell r="B17">
            <v>46144</v>
          </cell>
          <cell r="K17">
            <v>0</v>
          </cell>
          <cell r="M17">
            <v>0</v>
          </cell>
          <cell r="P17">
            <v>1099.58</v>
          </cell>
          <cell r="Q17" t="str">
            <v>Tallied</v>
          </cell>
        </row>
        <row r="18">
          <cell r="B18">
            <v>46144</v>
          </cell>
          <cell r="K18">
            <v>0</v>
          </cell>
          <cell r="M18">
            <v>0</v>
          </cell>
          <cell r="P18">
            <v>435.12</v>
          </cell>
          <cell r="Q18" t="str">
            <v>Tallied</v>
          </cell>
        </row>
        <row r="19">
          <cell r="B19">
            <v>46144</v>
          </cell>
          <cell r="K19">
            <v>0</v>
          </cell>
          <cell r="M19">
            <v>0</v>
          </cell>
          <cell r="P19">
            <v>4938.92</v>
          </cell>
          <cell r="Q19" t="str">
            <v>Tallied</v>
          </cell>
        </row>
        <row r="20">
          <cell r="B20">
            <v>46144</v>
          </cell>
          <cell r="K20">
            <v>0</v>
          </cell>
          <cell r="M20">
            <v>0</v>
          </cell>
          <cell r="P20">
            <v>20542.32</v>
          </cell>
          <cell r="Q20" t="str">
            <v>Tallied</v>
          </cell>
        </row>
        <row r="21">
          <cell r="B21">
            <v>46144</v>
          </cell>
          <cell r="K21">
            <v>0</v>
          </cell>
          <cell r="M21">
            <v>0</v>
          </cell>
          <cell r="P21">
            <v>2298.58</v>
          </cell>
          <cell r="Q21" t="str">
            <v>Tallied</v>
          </cell>
        </row>
        <row r="22">
          <cell r="B22">
            <v>46144</v>
          </cell>
          <cell r="K22">
            <v>0</v>
          </cell>
          <cell r="M22">
            <v>0</v>
          </cell>
          <cell r="P22">
            <v>2496.44</v>
          </cell>
          <cell r="Q22" t="str">
            <v>Tallied</v>
          </cell>
        </row>
        <row r="23">
          <cell r="B23">
            <v>46144</v>
          </cell>
          <cell r="K23">
            <v>0</v>
          </cell>
          <cell r="M23">
            <v>0</v>
          </cell>
          <cell r="P23">
            <v>5133.88</v>
          </cell>
          <cell r="Q23" t="str">
            <v>Tallied</v>
          </cell>
        </row>
        <row r="24">
          <cell r="B24">
            <v>46144</v>
          </cell>
          <cell r="K24">
            <v>0</v>
          </cell>
          <cell r="M24">
            <v>0</v>
          </cell>
          <cell r="P24">
            <v>2901.24</v>
          </cell>
          <cell r="Q24" t="str">
            <v>Tallied</v>
          </cell>
        </row>
        <row r="25">
          <cell r="B25">
            <v>46144</v>
          </cell>
          <cell r="K25">
            <v>0</v>
          </cell>
          <cell r="M25">
            <v>0</v>
          </cell>
          <cell r="P25">
            <v>3092.88</v>
          </cell>
          <cell r="Q25" t="str">
            <v>Tallied</v>
          </cell>
        </row>
        <row r="26">
          <cell r="B26">
            <v>46144</v>
          </cell>
          <cell r="K26">
            <v>0</v>
          </cell>
          <cell r="M26">
            <v>0</v>
          </cell>
          <cell r="P26">
            <v>30372.720000000001</v>
          </cell>
          <cell r="Q26" t="str">
            <v>Tallied</v>
          </cell>
        </row>
        <row r="27">
          <cell r="B27">
            <v>46144</v>
          </cell>
          <cell r="K27">
            <v>0</v>
          </cell>
          <cell r="M27">
            <v>0</v>
          </cell>
          <cell r="P27">
            <v>95231.12</v>
          </cell>
          <cell r="Q27" t="str">
            <v>Tallied</v>
          </cell>
        </row>
        <row r="28">
          <cell r="B28">
            <v>46144</v>
          </cell>
          <cell r="K28">
            <v>0</v>
          </cell>
          <cell r="M28">
            <v>0</v>
          </cell>
          <cell r="P28">
            <v>166533132.48000014</v>
          </cell>
          <cell r="Q28" t="str">
            <v>Tallied</v>
          </cell>
        </row>
        <row r="29">
          <cell r="B29">
            <v>46144</v>
          </cell>
          <cell r="K29">
            <v>0</v>
          </cell>
          <cell r="M29">
            <v>0</v>
          </cell>
          <cell r="P29">
            <v>537508211.52000022</v>
          </cell>
          <cell r="Q29" t="str">
            <v>Tallied</v>
          </cell>
        </row>
        <row r="30">
          <cell r="B30">
            <v>46144</v>
          </cell>
          <cell r="K30">
            <v>0</v>
          </cell>
          <cell r="M30">
            <v>0</v>
          </cell>
          <cell r="P30">
            <v>145770.30000000002</v>
          </cell>
          <cell r="Q30" t="str">
            <v>Tallied</v>
          </cell>
        </row>
        <row r="31">
          <cell r="B31">
            <v>46144</v>
          </cell>
          <cell r="K31">
            <v>0</v>
          </cell>
          <cell r="M31">
            <v>0</v>
          </cell>
          <cell r="P31">
            <v>475909.91999999993</v>
          </cell>
          <cell r="Q31" t="str">
            <v>Tallied</v>
          </cell>
        </row>
        <row r="32">
          <cell r="B32">
            <v>46144</v>
          </cell>
          <cell r="K32">
            <v>0</v>
          </cell>
          <cell r="M32">
            <v>0</v>
          </cell>
          <cell r="P32">
            <v>29945472.840000011</v>
          </cell>
          <cell r="Q32" t="str">
            <v>Tallied</v>
          </cell>
        </row>
        <row r="33">
          <cell r="B33">
            <v>46144</v>
          </cell>
          <cell r="K33">
            <v>0</v>
          </cell>
          <cell r="M33">
            <v>0</v>
          </cell>
          <cell r="P33">
            <v>660364</v>
          </cell>
          <cell r="Q33" t="str">
            <v>Tallied</v>
          </cell>
        </row>
        <row r="34">
          <cell r="B34">
            <v>46144</v>
          </cell>
          <cell r="K34">
            <v>0</v>
          </cell>
          <cell r="M34">
            <v>0</v>
          </cell>
          <cell r="P34">
            <v>1261427.8599999999</v>
          </cell>
          <cell r="Q34" t="str">
            <v>Tallied</v>
          </cell>
        </row>
        <row r="35">
          <cell r="B35">
            <v>46144</v>
          </cell>
          <cell r="K35">
            <v>0</v>
          </cell>
          <cell r="M35">
            <v>0</v>
          </cell>
          <cell r="P35">
            <v>268961.59999999998</v>
          </cell>
          <cell r="Q35" t="str">
            <v>Tallied</v>
          </cell>
        </row>
        <row r="36">
          <cell r="B36">
            <v>46144</v>
          </cell>
          <cell r="K36">
            <v>0</v>
          </cell>
          <cell r="M36">
            <v>0</v>
          </cell>
          <cell r="P36">
            <v>187460.16</v>
          </cell>
          <cell r="Q36" t="str">
            <v>Tallied</v>
          </cell>
        </row>
        <row r="37">
          <cell r="B37">
            <v>46144</v>
          </cell>
          <cell r="K37">
            <v>0</v>
          </cell>
          <cell r="M37">
            <v>0</v>
          </cell>
          <cell r="P37">
            <v>20579.669999999998</v>
          </cell>
          <cell r="Q37" t="str">
            <v>Tallied</v>
          </cell>
        </row>
        <row r="38">
          <cell r="B38">
            <v>46144</v>
          </cell>
          <cell r="K38">
            <v>0</v>
          </cell>
          <cell r="M38">
            <v>0</v>
          </cell>
          <cell r="P38">
            <v>1245706</v>
          </cell>
          <cell r="Q38" t="str">
            <v>Tallied</v>
          </cell>
        </row>
        <row r="39">
          <cell r="B39">
            <v>46144</v>
          </cell>
          <cell r="K39">
            <v>0</v>
          </cell>
          <cell r="M39">
            <v>0</v>
          </cell>
          <cell r="P39">
            <v>12025.57</v>
          </cell>
          <cell r="Q39" t="str">
            <v>Tallied</v>
          </cell>
        </row>
        <row r="40">
          <cell r="B40">
            <v>46144</v>
          </cell>
          <cell r="K40">
            <v>0</v>
          </cell>
          <cell r="M40">
            <v>0</v>
          </cell>
          <cell r="P40">
            <v>2047180.08</v>
          </cell>
          <cell r="Q40" t="str">
            <v>Tallied</v>
          </cell>
        </row>
        <row r="41">
          <cell r="B41">
            <v>46144</v>
          </cell>
          <cell r="K41">
            <v>0</v>
          </cell>
          <cell r="M41">
            <v>0</v>
          </cell>
          <cell r="P41">
            <v>85774.79</v>
          </cell>
          <cell r="Q41" t="str">
            <v>Tallied</v>
          </cell>
        </row>
        <row r="42">
          <cell r="B42">
            <v>46144</v>
          </cell>
          <cell r="K42">
            <v>0</v>
          </cell>
          <cell r="M42">
            <v>0</v>
          </cell>
          <cell r="P42">
            <v>16295.54</v>
          </cell>
          <cell r="Q42" t="str">
            <v>Tallied</v>
          </cell>
        </row>
        <row r="43">
          <cell r="B43">
            <v>46144</v>
          </cell>
          <cell r="K43">
            <v>0</v>
          </cell>
          <cell r="M43">
            <v>0</v>
          </cell>
          <cell r="P43">
            <v>4851.84</v>
          </cell>
          <cell r="Q43" t="str">
            <v>Tallied</v>
          </cell>
        </row>
        <row r="44">
          <cell r="B44">
            <v>46144</v>
          </cell>
          <cell r="K44">
            <v>0</v>
          </cell>
          <cell r="M44">
            <v>0</v>
          </cell>
          <cell r="P44">
            <v>4</v>
          </cell>
          <cell r="Q44" t="str">
            <v>Tallied</v>
          </cell>
        </row>
        <row r="45">
          <cell r="B45">
            <v>46144</v>
          </cell>
          <cell r="K45">
            <v>0</v>
          </cell>
          <cell r="M45">
            <v>0</v>
          </cell>
          <cell r="P45">
            <v>56769.599999999999</v>
          </cell>
          <cell r="Q45" t="str">
            <v>Tallied</v>
          </cell>
        </row>
        <row r="46">
          <cell r="B46">
            <v>46144</v>
          </cell>
          <cell r="K46">
            <v>0</v>
          </cell>
          <cell r="M46">
            <v>0</v>
          </cell>
          <cell r="P46">
            <v>2585922.9600000009</v>
          </cell>
          <cell r="Q46" t="str">
            <v>Tallied</v>
          </cell>
        </row>
        <row r="47">
          <cell r="B47">
            <v>46144</v>
          </cell>
          <cell r="K47">
            <v>0</v>
          </cell>
          <cell r="M47">
            <v>0</v>
          </cell>
          <cell r="P47">
            <v>13424619.600000003</v>
          </cell>
          <cell r="Q47" t="str">
            <v>Tallied</v>
          </cell>
        </row>
        <row r="48">
          <cell r="B48">
            <v>46144</v>
          </cell>
          <cell r="K48">
            <v>0</v>
          </cell>
          <cell r="M48">
            <v>0</v>
          </cell>
          <cell r="P48">
            <v>9613911.9999999944</v>
          </cell>
          <cell r="Q48" t="str">
            <v>Tallied</v>
          </cell>
        </row>
        <row r="49">
          <cell r="B49">
            <v>46144</v>
          </cell>
          <cell r="K49">
            <v>0</v>
          </cell>
          <cell r="M49">
            <v>0</v>
          </cell>
          <cell r="P49">
            <v>332284857.66000003</v>
          </cell>
          <cell r="Q49" t="str">
            <v>Tallied</v>
          </cell>
        </row>
        <row r="50">
          <cell r="B50">
            <v>46144</v>
          </cell>
          <cell r="K50">
            <v>0</v>
          </cell>
          <cell r="M50">
            <v>0</v>
          </cell>
          <cell r="P50">
            <v>32793537.919999983</v>
          </cell>
          <cell r="Q50" t="str">
            <v>Tallied</v>
          </cell>
        </row>
        <row r="51">
          <cell r="B51">
            <v>46144</v>
          </cell>
          <cell r="K51">
            <v>0</v>
          </cell>
          <cell r="M51">
            <v>0</v>
          </cell>
          <cell r="P51">
            <v>1828367.52</v>
          </cell>
          <cell r="Q51" t="str">
            <v>Tallied</v>
          </cell>
        </row>
        <row r="52">
          <cell r="B52">
            <v>46144</v>
          </cell>
          <cell r="K52">
            <v>0</v>
          </cell>
          <cell r="M52">
            <v>0</v>
          </cell>
          <cell r="P52">
            <v>98637.2</v>
          </cell>
          <cell r="Q52" t="str">
            <v>Tallied</v>
          </cell>
        </row>
        <row r="53">
          <cell r="B53">
            <v>46144</v>
          </cell>
          <cell r="K53">
            <v>0</v>
          </cell>
          <cell r="M53">
            <v>0</v>
          </cell>
          <cell r="P53">
            <v>39178401</v>
          </cell>
          <cell r="Q53" t="str">
            <v>Tallied</v>
          </cell>
        </row>
        <row r="54">
          <cell r="B54">
            <v>46146</v>
          </cell>
          <cell r="K54">
            <v>0</v>
          </cell>
          <cell r="M54">
            <v>0</v>
          </cell>
          <cell r="P54">
            <v>77572.62</v>
          </cell>
          <cell r="Q54" t="str">
            <v>Tallied</v>
          </cell>
        </row>
        <row r="55">
          <cell r="B55">
            <v>46146</v>
          </cell>
          <cell r="K55">
            <v>0</v>
          </cell>
          <cell r="M55">
            <v>0</v>
          </cell>
          <cell r="P55">
            <v>127384.88</v>
          </cell>
          <cell r="Q55" t="str">
            <v>Tallied</v>
          </cell>
        </row>
        <row r="56">
          <cell r="B56">
            <v>46146</v>
          </cell>
          <cell r="K56">
            <v>0</v>
          </cell>
          <cell r="M56">
            <v>0</v>
          </cell>
          <cell r="P56">
            <v>11718.599999999999</v>
          </cell>
          <cell r="Q56" t="str">
            <v>Tallied</v>
          </cell>
        </row>
        <row r="57">
          <cell r="B57">
            <v>46146</v>
          </cell>
          <cell r="K57">
            <v>0</v>
          </cell>
          <cell r="M57">
            <v>0</v>
          </cell>
          <cell r="P57">
            <v>15907.95</v>
          </cell>
          <cell r="Q57" t="str">
            <v>Tallied</v>
          </cell>
        </row>
        <row r="58">
          <cell r="B58">
            <v>46146</v>
          </cell>
          <cell r="K58">
            <v>0</v>
          </cell>
          <cell r="M58">
            <v>0</v>
          </cell>
          <cell r="P58">
            <v>1314.26</v>
          </cell>
          <cell r="Q58" t="str">
            <v>Tallied</v>
          </cell>
        </row>
        <row r="59">
          <cell r="B59">
            <v>46146</v>
          </cell>
          <cell r="K59">
            <v>0</v>
          </cell>
          <cell r="M59">
            <v>0</v>
          </cell>
          <cell r="P59">
            <v>2929.01</v>
          </cell>
          <cell r="Q59" t="str">
            <v>Tallied</v>
          </cell>
        </row>
        <row r="60">
          <cell r="B60">
            <v>46146</v>
          </cell>
          <cell r="K60">
            <v>0</v>
          </cell>
          <cell r="M60">
            <v>0</v>
          </cell>
          <cell r="P60">
            <v>20161.300000000003</v>
          </cell>
          <cell r="Q60" t="str">
            <v>Tallied</v>
          </cell>
        </row>
        <row r="61">
          <cell r="B61">
            <v>46146</v>
          </cell>
          <cell r="K61">
            <v>0</v>
          </cell>
          <cell r="M61">
            <v>0</v>
          </cell>
          <cell r="P61">
            <v>335096.79000000004</v>
          </cell>
          <cell r="Q61" t="str">
            <v>Tallied</v>
          </cell>
        </row>
        <row r="62">
          <cell r="B62">
            <v>46146</v>
          </cell>
          <cell r="K62">
            <v>0</v>
          </cell>
          <cell r="M62">
            <v>0</v>
          </cell>
          <cell r="P62">
            <v>6900.2</v>
          </cell>
          <cell r="Q62" t="str">
            <v>Tallied</v>
          </cell>
        </row>
        <row r="63">
          <cell r="B63">
            <v>46146</v>
          </cell>
          <cell r="K63">
            <v>0</v>
          </cell>
          <cell r="M63">
            <v>0</v>
          </cell>
          <cell r="P63">
            <v>76508114.939999953</v>
          </cell>
          <cell r="Q63" t="str">
            <v>Tallied</v>
          </cell>
        </row>
        <row r="64">
          <cell r="B64">
            <v>46146</v>
          </cell>
          <cell r="K64">
            <v>0</v>
          </cell>
          <cell r="M64">
            <v>0</v>
          </cell>
          <cell r="P64">
            <v>91020050.880000025</v>
          </cell>
          <cell r="Q64" t="str">
            <v>Tallied</v>
          </cell>
        </row>
        <row r="65">
          <cell r="B65">
            <v>46146</v>
          </cell>
          <cell r="K65">
            <v>0</v>
          </cell>
          <cell r="M65">
            <v>0</v>
          </cell>
          <cell r="P65">
            <v>1528001566.8000009</v>
          </cell>
          <cell r="Q65" t="str">
            <v>Tallied</v>
          </cell>
        </row>
        <row r="66">
          <cell r="B66">
            <v>46146</v>
          </cell>
          <cell r="K66">
            <v>0</v>
          </cell>
          <cell r="M66">
            <v>0</v>
          </cell>
          <cell r="P66">
            <v>1259819424.2399991</v>
          </cell>
          <cell r="Q66" t="str">
            <v>Tallied</v>
          </cell>
        </row>
        <row r="67">
          <cell r="B67">
            <v>46146</v>
          </cell>
          <cell r="K67">
            <v>0</v>
          </cell>
          <cell r="M67">
            <v>0</v>
          </cell>
          <cell r="P67">
            <v>6375.78</v>
          </cell>
          <cell r="Q67" t="str">
            <v>Tallied</v>
          </cell>
        </row>
        <row r="68">
          <cell r="B68">
            <v>46146</v>
          </cell>
          <cell r="K68">
            <v>0</v>
          </cell>
          <cell r="M68">
            <v>0</v>
          </cell>
          <cell r="P68">
            <v>24014.560000000001</v>
          </cell>
          <cell r="Q68" t="str">
            <v>Tallied</v>
          </cell>
        </row>
        <row r="69">
          <cell r="B69">
            <v>46146</v>
          </cell>
          <cell r="K69">
            <v>0</v>
          </cell>
          <cell r="M69">
            <v>0</v>
          </cell>
          <cell r="P69">
            <v>7168.46</v>
          </cell>
          <cell r="Q69" t="str">
            <v>Tallied</v>
          </cell>
        </row>
        <row r="70">
          <cell r="B70">
            <v>46146</v>
          </cell>
          <cell r="K70">
            <v>0</v>
          </cell>
          <cell r="M70">
            <v>0</v>
          </cell>
          <cell r="P70">
            <v>815786.76</v>
          </cell>
          <cell r="Q70" t="str">
            <v>Tallied</v>
          </cell>
        </row>
        <row r="71">
          <cell r="B71">
            <v>46146</v>
          </cell>
          <cell r="K71">
            <v>0</v>
          </cell>
          <cell r="M71">
            <v>0</v>
          </cell>
          <cell r="P71">
            <v>47830.02</v>
          </cell>
          <cell r="Q71" t="str">
            <v>Tallied</v>
          </cell>
        </row>
        <row r="72">
          <cell r="B72">
            <v>46146</v>
          </cell>
          <cell r="K72">
            <v>0</v>
          </cell>
          <cell r="M72">
            <v>0</v>
          </cell>
          <cell r="P72">
            <v>2</v>
          </cell>
          <cell r="Q72" t="str">
            <v>Tallied</v>
          </cell>
        </row>
        <row r="73">
          <cell r="B73">
            <v>46146</v>
          </cell>
          <cell r="K73">
            <v>0</v>
          </cell>
          <cell r="M73">
            <v>0</v>
          </cell>
          <cell r="P73">
            <v>109201078.56000002</v>
          </cell>
          <cell r="Q73" t="str">
            <v>Tallied</v>
          </cell>
        </row>
        <row r="74">
          <cell r="B74">
            <v>46146</v>
          </cell>
          <cell r="K74">
            <v>0</v>
          </cell>
          <cell r="M74">
            <v>0</v>
          </cell>
          <cell r="P74">
            <v>155826.56</v>
          </cell>
          <cell r="Q74" t="str">
            <v>Tallied</v>
          </cell>
        </row>
        <row r="75">
          <cell r="B75">
            <v>46146</v>
          </cell>
          <cell r="K75">
            <v>0</v>
          </cell>
          <cell r="M75">
            <v>0</v>
          </cell>
          <cell r="P75">
            <v>28441836.800000001</v>
          </cell>
          <cell r="Q75" t="str">
            <v>Tallied</v>
          </cell>
        </row>
        <row r="76">
          <cell r="B76">
            <v>46146</v>
          </cell>
          <cell r="K76">
            <v>0</v>
          </cell>
          <cell r="M76">
            <v>0</v>
          </cell>
          <cell r="P76">
            <v>7893.72</v>
          </cell>
          <cell r="Q76" t="str">
            <v>Tallied</v>
          </cell>
        </row>
        <row r="77">
          <cell r="B77">
            <v>46146</v>
          </cell>
          <cell r="K77">
            <v>0</v>
          </cell>
          <cell r="M77">
            <v>0</v>
          </cell>
          <cell r="P77">
            <v>1118497.21</v>
          </cell>
          <cell r="Q77" t="str">
            <v>Tallied</v>
          </cell>
        </row>
        <row r="78">
          <cell r="B78">
            <v>46146</v>
          </cell>
          <cell r="K78">
            <v>0</v>
          </cell>
          <cell r="M78">
            <v>0</v>
          </cell>
          <cell r="P78">
            <v>110191.90000000001</v>
          </cell>
          <cell r="Q78" t="str">
            <v>Tallied</v>
          </cell>
        </row>
        <row r="79">
          <cell r="B79">
            <v>46146</v>
          </cell>
          <cell r="K79">
            <v>0</v>
          </cell>
          <cell r="M79">
            <v>0</v>
          </cell>
          <cell r="P79">
            <v>3938291.76</v>
          </cell>
          <cell r="Q79" t="str">
            <v>Tallied</v>
          </cell>
        </row>
        <row r="80">
          <cell r="B80">
            <v>46146</v>
          </cell>
          <cell r="K80">
            <v>0</v>
          </cell>
          <cell r="M80">
            <v>0</v>
          </cell>
          <cell r="P80">
            <v>12477039.52</v>
          </cell>
          <cell r="Q80" t="str">
            <v>Tallied</v>
          </cell>
        </row>
        <row r="81">
          <cell r="B81">
            <v>46146</v>
          </cell>
          <cell r="K81">
            <v>0</v>
          </cell>
          <cell r="M81">
            <v>0</v>
          </cell>
          <cell r="P81">
            <v>61034.399999999994</v>
          </cell>
          <cell r="Q81" t="str">
            <v>Tallied</v>
          </cell>
        </row>
        <row r="82">
          <cell r="B82">
            <v>46146</v>
          </cell>
          <cell r="K82">
            <v>0</v>
          </cell>
          <cell r="M82">
            <v>0</v>
          </cell>
          <cell r="P82">
            <v>3430348.2</v>
          </cell>
          <cell r="Q82" t="str">
            <v>Tallied</v>
          </cell>
        </row>
        <row r="83">
          <cell r="B83">
            <v>46146</v>
          </cell>
          <cell r="K83">
            <v>0</v>
          </cell>
          <cell r="M83">
            <v>0</v>
          </cell>
          <cell r="P83">
            <v>498798.27999999997</v>
          </cell>
          <cell r="Q83" t="str">
            <v>Tallied</v>
          </cell>
        </row>
        <row r="84">
          <cell r="B84">
            <v>46146</v>
          </cell>
          <cell r="K84">
            <v>0</v>
          </cell>
          <cell r="M84">
            <v>0</v>
          </cell>
          <cell r="P84">
            <v>833461.04</v>
          </cell>
          <cell r="Q84" t="str">
            <v>Tallied</v>
          </cell>
        </row>
        <row r="85">
          <cell r="B85">
            <v>46146</v>
          </cell>
          <cell r="K85">
            <v>0</v>
          </cell>
          <cell r="M85">
            <v>0</v>
          </cell>
          <cell r="P85">
            <v>26939912.599999994</v>
          </cell>
          <cell r="Q85" t="str">
            <v>Tallied</v>
          </cell>
        </row>
        <row r="86">
          <cell r="B86">
            <v>46146</v>
          </cell>
          <cell r="K86">
            <v>0</v>
          </cell>
          <cell r="M86">
            <v>0</v>
          </cell>
          <cell r="P86">
            <v>36538.639999999999</v>
          </cell>
          <cell r="Q86" t="str">
            <v>Tallied</v>
          </cell>
        </row>
        <row r="87">
          <cell r="B87">
            <v>46146</v>
          </cell>
          <cell r="K87">
            <v>0</v>
          </cell>
          <cell r="M87">
            <v>0</v>
          </cell>
          <cell r="P87">
            <v>474391.14</v>
          </cell>
          <cell r="Q87" t="str">
            <v>Tallied</v>
          </cell>
        </row>
        <row r="88">
          <cell r="B88">
            <v>46146</v>
          </cell>
          <cell r="K88">
            <v>0</v>
          </cell>
          <cell r="M88">
            <v>0</v>
          </cell>
          <cell r="P88">
            <v>154633.5</v>
          </cell>
          <cell r="Q88" t="str">
            <v>Tallied</v>
          </cell>
        </row>
        <row r="89">
          <cell r="B89">
            <v>46146</v>
          </cell>
          <cell r="K89">
            <v>0</v>
          </cell>
          <cell r="M89">
            <v>0</v>
          </cell>
          <cell r="P89">
            <v>91080.72</v>
          </cell>
          <cell r="Q89" t="str">
            <v>Tallied</v>
          </cell>
        </row>
        <row r="90">
          <cell r="B90">
            <v>46146</v>
          </cell>
          <cell r="K90">
            <v>0</v>
          </cell>
          <cell r="M90">
            <v>0</v>
          </cell>
          <cell r="P90">
            <v>1606322.5999999999</v>
          </cell>
          <cell r="Q90" t="str">
            <v>Tallied</v>
          </cell>
        </row>
        <row r="91">
          <cell r="B91">
            <v>46146</v>
          </cell>
          <cell r="K91">
            <v>0</v>
          </cell>
          <cell r="M91">
            <v>0</v>
          </cell>
          <cell r="P91">
            <v>3705291.72</v>
          </cell>
          <cell r="Q91" t="str">
            <v>Tallied</v>
          </cell>
        </row>
        <row r="92">
          <cell r="B92">
            <v>46146</v>
          </cell>
          <cell r="K92">
            <v>0</v>
          </cell>
          <cell r="M92">
            <v>0</v>
          </cell>
          <cell r="P92">
            <v>4057537.7699999996</v>
          </cell>
          <cell r="Q92" t="str">
            <v>Tallied</v>
          </cell>
        </row>
        <row r="93">
          <cell r="B93">
            <v>46146</v>
          </cell>
          <cell r="K93">
            <v>0</v>
          </cell>
          <cell r="M93">
            <v>0</v>
          </cell>
          <cell r="P93">
            <v>129828.16</v>
          </cell>
          <cell r="Q93" t="str">
            <v>Tallied</v>
          </cell>
        </row>
        <row r="94">
          <cell r="B94">
            <v>46146</v>
          </cell>
          <cell r="K94">
            <v>0</v>
          </cell>
          <cell r="M94">
            <v>0</v>
          </cell>
          <cell r="P94">
            <v>7570217.8800000008</v>
          </cell>
          <cell r="Q94" t="str">
            <v>Tallied</v>
          </cell>
        </row>
        <row r="95">
          <cell r="B95">
            <v>46146</v>
          </cell>
          <cell r="K95">
            <v>0</v>
          </cell>
          <cell r="M95">
            <v>0</v>
          </cell>
          <cell r="P95">
            <v>15004806.000000004</v>
          </cell>
          <cell r="Q95" t="str">
            <v>Tallied</v>
          </cell>
        </row>
        <row r="96">
          <cell r="B96">
            <v>46146</v>
          </cell>
          <cell r="K96">
            <v>0</v>
          </cell>
          <cell r="M96">
            <v>0</v>
          </cell>
          <cell r="P96">
            <v>871504.32</v>
          </cell>
          <cell r="Q96" t="str">
            <v>Tallied</v>
          </cell>
        </row>
        <row r="97">
          <cell r="B97">
            <v>46146</v>
          </cell>
          <cell r="K97">
            <v>0</v>
          </cell>
          <cell r="M97">
            <v>0</v>
          </cell>
          <cell r="P97">
            <v>118824.2</v>
          </cell>
          <cell r="Q97" t="str">
            <v>Tallied</v>
          </cell>
        </row>
        <row r="98">
          <cell r="B98">
            <v>46146</v>
          </cell>
          <cell r="K98">
            <v>0</v>
          </cell>
          <cell r="M98">
            <v>0</v>
          </cell>
          <cell r="P98">
            <v>109058.88</v>
          </cell>
          <cell r="Q98" t="str">
            <v>Tallied</v>
          </cell>
        </row>
        <row r="99">
          <cell r="B99">
            <v>46146</v>
          </cell>
          <cell r="K99">
            <v>0</v>
          </cell>
          <cell r="M99">
            <v>0</v>
          </cell>
          <cell r="P99">
            <v>699661.8</v>
          </cell>
          <cell r="Q99" t="str">
            <v>Tallied</v>
          </cell>
        </row>
        <row r="100">
          <cell r="B100">
            <v>46146</v>
          </cell>
          <cell r="K100">
            <v>0</v>
          </cell>
          <cell r="M100">
            <v>0</v>
          </cell>
          <cell r="P100">
            <v>29334437.440000005</v>
          </cell>
          <cell r="Q100" t="str">
            <v>Tallied</v>
          </cell>
        </row>
        <row r="101">
          <cell r="B101">
            <v>46146</v>
          </cell>
          <cell r="K101">
            <v>0</v>
          </cell>
          <cell r="M101">
            <v>0</v>
          </cell>
          <cell r="P101">
            <v>858305.52000000014</v>
          </cell>
          <cell r="Q101" t="str">
            <v>Tallied</v>
          </cell>
        </row>
        <row r="102">
          <cell r="B102">
            <v>46146</v>
          </cell>
          <cell r="K102">
            <v>0</v>
          </cell>
          <cell r="M102">
            <v>0</v>
          </cell>
          <cell r="P102">
            <v>9268.52</v>
          </cell>
          <cell r="Q102" t="str">
            <v>Tallied</v>
          </cell>
        </row>
        <row r="103">
          <cell r="B103">
            <v>46146</v>
          </cell>
          <cell r="K103">
            <v>0</v>
          </cell>
          <cell r="M103">
            <v>0</v>
          </cell>
          <cell r="P103">
            <v>269751370.98000002</v>
          </cell>
          <cell r="Q103" t="str">
            <v>Tallied</v>
          </cell>
        </row>
        <row r="104">
          <cell r="B104">
            <v>46146</v>
          </cell>
          <cell r="K104">
            <v>0</v>
          </cell>
          <cell r="M104">
            <v>0</v>
          </cell>
          <cell r="P104">
            <v>1116692.7</v>
          </cell>
          <cell r="Q104" t="str">
            <v>Tallied</v>
          </cell>
        </row>
        <row r="105">
          <cell r="B105">
            <v>46147</v>
          </cell>
          <cell r="K105">
            <v>0</v>
          </cell>
          <cell r="M105">
            <v>0</v>
          </cell>
          <cell r="P105">
            <v>7991513.1000000006</v>
          </cell>
          <cell r="Q105" t="str">
            <v>Tallied</v>
          </cell>
        </row>
        <row r="106">
          <cell r="B106">
            <v>46147</v>
          </cell>
          <cell r="K106">
            <v>0</v>
          </cell>
          <cell r="M106">
            <v>0</v>
          </cell>
          <cell r="P106">
            <v>8816456.879999999</v>
          </cell>
          <cell r="Q106" t="str">
            <v>Tallied</v>
          </cell>
        </row>
        <row r="107">
          <cell r="B107">
            <v>46147</v>
          </cell>
          <cell r="K107">
            <v>0</v>
          </cell>
          <cell r="M107">
            <v>0</v>
          </cell>
          <cell r="P107">
            <v>366678.26999999996</v>
          </cell>
          <cell r="Q107" t="str">
            <v>Tallied</v>
          </cell>
        </row>
        <row r="108">
          <cell r="B108">
            <v>46147</v>
          </cell>
          <cell r="K108">
            <v>0</v>
          </cell>
          <cell r="M108">
            <v>0</v>
          </cell>
          <cell r="P108">
            <v>18546635.52</v>
          </cell>
          <cell r="Q108" t="str">
            <v>Tallied</v>
          </cell>
        </row>
        <row r="109">
          <cell r="B109">
            <v>46147</v>
          </cell>
          <cell r="K109">
            <v>0</v>
          </cell>
          <cell r="M109">
            <v>0</v>
          </cell>
          <cell r="P109">
            <v>9725959.3600000031</v>
          </cell>
          <cell r="Q109" t="str">
            <v>Tallied</v>
          </cell>
        </row>
        <row r="110">
          <cell r="B110">
            <v>46147</v>
          </cell>
          <cell r="K110">
            <v>0</v>
          </cell>
          <cell r="M110">
            <v>0</v>
          </cell>
          <cell r="P110">
            <v>17182891.109999999</v>
          </cell>
          <cell r="Q110" t="str">
            <v>Tallied</v>
          </cell>
        </row>
        <row r="111">
          <cell r="B111">
            <v>46147</v>
          </cell>
          <cell r="K111">
            <v>0</v>
          </cell>
          <cell r="M111">
            <v>0</v>
          </cell>
          <cell r="P111">
            <v>11271755.520000003</v>
          </cell>
          <cell r="Q111" t="str">
            <v>Tallied</v>
          </cell>
        </row>
        <row r="112">
          <cell r="B112">
            <v>46147</v>
          </cell>
          <cell r="K112">
            <v>0</v>
          </cell>
          <cell r="M112">
            <v>0</v>
          </cell>
          <cell r="P112">
            <v>22113062.399999999</v>
          </cell>
          <cell r="Q112" t="str">
            <v>Tallied</v>
          </cell>
        </row>
        <row r="113">
          <cell r="B113">
            <v>46147</v>
          </cell>
          <cell r="K113">
            <v>0</v>
          </cell>
          <cell r="M113">
            <v>0</v>
          </cell>
          <cell r="P113">
            <v>1010691</v>
          </cell>
          <cell r="Q113" t="str">
            <v>Tallied</v>
          </cell>
        </row>
        <row r="114">
          <cell r="B114">
            <v>46147</v>
          </cell>
          <cell r="K114">
            <v>0</v>
          </cell>
          <cell r="M114">
            <v>0</v>
          </cell>
          <cell r="P114">
            <v>1132563.25</v>
          </cell>
          <cell r="Q114" t="str">
            <v>Tallied</v>
          </cell>
        </row>
        <row r="115">
          <cell r="B115">
            <v>46147</v>
          </cell>
          <cell r="K115">
            <v>0</v>
          </cell>
          <cell r="M115">
            <v>0</v>
          </cell>
          <cell r="P115">
            <v>1486704</v>
          </cell>
          <cell r="Q115" t="str">
            <v>Tallied</v>
          </cell>
        </row>
        <row r="116">
          <cell r="B116">
            <v>46147</v>
          </cell>
          <cell r="K116">
            <v>0</v>
          </cell>
          <cell r="M116">
            <v>0</v>
          </cell>
          <cell r="P116">
            <v>3202792.3199999994</v>
          </cell>
          <cell r="Q116" t="str">
            <v>Tallied</v>
          </cell>
        </row>
        <row r="117">
          <cell r="B117">
            <v>46147</v>
          </cell>
          <cell r="K117">
            <v>0</v>
          </cell>
          <cell r="M117">
            <v>0</v>
          </cell>
          <cell r="P117">
            <v>1563956.64</v>
          </cell>
          <cell r="Q117" t="str">
            <v>Tallied</v>
          </cell>
        </row>
        <row r="118">
          <cell r="B118">
            <v>46147</v>
          </cell>
          <cell r="K118">
            <v>0</v>
          </cell>
          <cell r="M118">
            <v>0</v>
          </cell>
          <cell r="P118">
            <v>17567339.939999998</v>
          </cell>
          <cell r="Q118" t="str">
            <v>Tallied</v>
          </cell>
        </row>
        <row r="119">
          <cell r="B119">
            <v>46147</v>
          </cell>
          <cell r="K119">
            <v>0</v>
          </cell>
          <cell r="M119">
            <v>0</v>
          </cell>
          <cell r="P119">
            <v>83026.01999999999</v>
          </cell>
          <cell r="Q119" t="str">
            <v>Tallied</v>
          </cell>
        </row>
        <row r="120">
          <cell r="B120">
            <v>46147</v>
          </cell>
          <cell r="K120">
            <v>0</v>
          </cell>
          <cell r="M120">
            <v>0</v>
          </cell>
          <cell r="P120">
            <v>37430.050000000003</v>
          </cell>
          <cell r="Q120" t="str">
            <v>Tallied</v>
          </cell>
        </row>
        <row r="121">
          <cell r="B121">
            <v>46147</v>
          </cell>
          <cell r="K121">
            <v>0</v>
          </cell>
          <cell r="M121">
            <v>0</v>
          </cell>
          <cell r="P121">
            <v>259442.39999999997</v>
          </cell>
          <cell r="Q121" t="str">
            <v>Tallied</v>
          </cell>
        </row>
        <row r="122">
          <cell r="B122">
            <v>46147</v>
          </cell>
          <cell r="K122">
            <v>0</v>
          </cell>
          <cell r="M122">
            <v>0</v>
          </cell>
          <cell r="P122">
            <v>824671.98000000021</v>
          </cell>
          <cell r="Q122" t="str">
            <v>Tallied</v>
          </cell>
        </row>
        <row r="123">
          <cell r="B123">
            <v>46147</v>
          </cell>
          <cell r="K123">
            <v>0</v>
          </cell>
          <cell r="M123">
            <v>0</v>
          </cell>
          <cell r="P123">
            <v>12780942.719999999</v>
          </cell>
          <cell r="Q123" t="str">
            <v>Tallied</v>
          </cell>
        </row>
        <row r="124">
          <cell r="B124">
            <v>46147</v>
          </cell>
          <cell r="K124">
            <v>0</v>
          </cell>
          <cell r="M124">
            <v>0</v>
          </cell>
          <cell r="P124">
            <v>471853.44000000006</v>
          </cell>
          <cell r="Q124" t="str">
            <v>Tallied</v>
          </cell>
        </row>
        <row r="125">
          <cell r="B125">
            <v>46147</v>
          </cell>
          <cell r="K125">
            <v>0</v>
          </cell>
          <cell r="M125">
            <v>0</v>
          </cell>
          <cell r="P125">
            <v>6567778.7999999989</v>
          </cell>
          <cell r="Q125" t="str">
            <v>Tallied</v>
          </cell>
        </row>
        <row r="126">
          <cell r="B126">
            <v>46147</v>
          </cell>
          <cell r="K126">
            <v>0</v>
          </cell>
          <cell r="M126">
            <v>0</v>
          </cell>
          <cell r="P126">
            <v>6115845.120000002</v>
          </cell>
          <cell r="Q126" t="str">
            <v>Tallied</v>
          </cell>
        </row>
        <row r="127">
          <cell r="B127">
            <v>46147</v>
          </cell>
          <cell r="K127">
            <v>0</v>
          </cell>
          <cell r="M127">
            <v>0</v>
          </cell>
          <cell r="P127">
            <v>42478.94</v>
          </cell>
          <cell r="Q127" t="str">
            <v>Tallied</v>
          </cell>
        </row>
        <row r="128">
          <cell r="B128">
            <v>46147</v>
          </cell>
          <cell r="K128">
            <v>0</v>
          </cell>
          <cell r="M128">
            <v>0</v>
          </cell>
          <cell r="P128">
            <v>3229217.28</v>
          </cell>
          <cell r="Q128" t="str">
            <v>Tallied</v>
          </cell>
        </row>
        <row r="129">
          <cell r="B129">
            <v>46147</v>
          </cell>
          <cell r="K129">
            <v>0</v>
          </cell>
          <cell r="M129">
            <v>0</v>
          </cell>
          <cell r="P129">
            <v>5245.93</v>
          </cell>
          <cell r="Q129" t="str">
            <v>Tallied</v>
          </cell>
        </row>
        <row r="130">
          <cell r="B130">
            <v>46147</v>
          </cell>
          <cell r="K130">
            <v>0</v>
          </cell>
          <cell r="M130">
            <v>0</v>
          </cell>
          <cell r="P130">
            <v>53128.3</v>
          </cell>
          <cell r="Q130" t="str">
            <v>Tallied</v>
          </cell>
        </row>
        <row r="131">
          <cell r="B131">
            <v>46147</v>
          </cell>
          <cell r="K131">
            <v>0</v>
          </cell>
          <cell r="M131">
            <v>0</v>
          </cell>
          <cell r="P131">
            <v>244465820.32000014</v>
          </cell>
          <cell r="Q131" t="str">
            <v>Tallied</v>
          </cell>
        </row>
        <row r="132">
          <cell r="B132">
            <v>46147</v>
          </cell>
          <cell r="K132">
            <v>0</v>
          </cell>
          <cell r="M132">
            <v>0</v>
          </cell>
          <cell r="P132">
            <v>23996341.460000001</v>
          </cell>
          <cell r="Q132" t="str">
            <v>Tallied</v>
          </cell>
        </row>
        <row r="133">
          <cell r="B133">
            <v>46147</v>
          </cell>
          <cell r="K133">
            <v>0</v>
          </cell>
          <cell r="M133">
            <v>0</v>
          </cell>
          <cell r="P133">
            <v>145681.56</v>
          </cell>
          <cell r="Q133" t="str">
            <v>Tallied</v>
          </cell>
        </row>
        <row r="134">
          <cell r="B134">
            <v>46147</v>
          </cell>
          <cell r="K134">
            <v>0</v>
          </cell>
          <cell r="M134">
            <v>0</v>
          </cell>
          <cell r="P134">
            <v>158330719.36000007</v>
          </cell>
          <cell r="Q134" t="str">
            <v>Tallied</v>
          </cell>
        </row>
        <row r="135">
          <cell r="B135">
            <v>46147</v>
          </cell>
          <cell r="K135">
            <v>0</v>
          </cell>
          <cell r="M135">
            <v>0</v>
          </cell>
          <cell r="P135">
            <v>15587843.220000003</v>
          </cell>
          <cell r="Q135" t="str">
            <v>Tallied</v>
          </cell>
        </row>
        <row r="136">
          <cell r="B136">
            <v>46147</v>
          </cell>
          <cell r="K136">
            <v>0</v>
          </cell>
          <cell r="M136">
            <v>0</v>
          </cell>
          <cell r="P136">
            <v>12936903.849999998</v>
          </cell>
          <cell r="Q136" t="str">
            <v>Tallied</v>
          </cell>
        </row>
        <row r="137">
          <cell r="B137">
            <v>46147</v>
          </cell>
          <cell r="K137">
            <v>0</v>
          </cell>
          <cell r="M137">
            <v>0</v>
          </cell>
          <cell r="P137">
            <v>265641.5</v>
          </cell>
          <cell r="Q137" t="str">
            <v>Tallied</v>
          </cell>
        </row>
        <row r="138">
          <cell r="B138">
            <v>46147</v>
          </cell>
          <cell r="K138">
            <v>0</v>
          </cell>
          <cell r="M138">
            <v>0</v>
          </cell>
          <cell r="P138">
            <v>26032.76</v>
          </cell>
          <cell r="Q138" t="str">
            <v>Tallied</v>
          </cell>
        </row>
        <row r="139">
          <cell r="B139">
            <v>46147</v>
          </cell>
          <cell r="K139">
            <v>0</v>
          </cell>
          <cell r="M139">
            <v>0</v>
          </cell>
          <cell r="P139">
            <v>138465744.29999986</v>
          </cell>
          <cell r="Q139" t="str">
            <v>Tallied</v>
          </cell>
        </row>
        <row r="140">
          <cell r="B140">
            <v>46147</v>
          </cell>
          <cell r="K140">
            <v>0</v>
          </cell>
          <cell r="M140">
            <v>0</v>
          </cell>
          <cell r="P140">
            <v>203954.40000000002</v>
          </cell>
          <cell r="Q140" t="str">
            <v>Tallied</v>
          </cell>
        </row>
        <row r="141">
          <cell r="B141">
            <v>46147</v>
          </cell>
          <cell r="K141">
            <v>0</v>
          </cell>
          <cell r="M141">
            <v>0</v>
          </cell>
          <cell r="P141">
            <v>51607116.359999999</v>
          </cell>
          <cell r="Q141" t="str">
            <v>Tallied</v>
          </cell>
        </row>
        <row r="142">
          <cell r="B142">
            <v>46147</v>
          </cell>
          <cell r="K142">
            <v>0</v>
          </cell>
          <cell r="M142">
            <v>0</v>
          </cell>
          <cell r="P142">
            <v>25493.43</v>
          </cell>
          <cell r="Q142" t="str">
            <v>Tallied</v>
          </cell>
        </row>
        <row r="143">
          <cell r="B143">
            <v>46147</v>
          </cell>
          <cell r="K143">
            <v>0</v>
          </cell>
          <cell r="M143">
            <v>0</v>
          </cell>
          <cell r="P143">
            <v>53097082.199999973</v>
          </cell>
          <cell r="Q143" t="str">
            <v>Tallied</v>
          </cell>
        </row>
        <row r="144">
          <cell r="B144">
            <v>46147</v>
          </cell>
          <cell r="K144">
            <v>0</v>
          </cell>
          <cell r="M144">
            <v>0</v>
          </cell>
          <cell r="P144">
            <v>2928702</v>
          </cell>
          <cell r="Q144" t="str">
            <v>Tallied</v>
          </cell>
        </row>
        <row r="145">
          <cell r="B145">
            <v>46147</v>
          </cell>
          <cell r="K145">
            <v>0</v>
          </cell>
          <cell r="M145">
            <v>0</v>
          </cell>
          <cell r="P145">
            <v>14306029.379999999</v>
          </cell>
          <cell r="Q145" t="str">
            <v>Tallied</v>
          </cell>
        </row>
        <row r="146">
          <cell r="B146">
            <v>46147</v>
          </cell>
          <cell r="K146">
            <v>0</v>
          </cell>
          <cell r="M146">
            <v>0</v>
          </cell>
          <cell r="P146">
            <v>50329046.55999998</v>
          </cell>
          <cell r="Q146" t="str">
            <v>Tallied</v>
          </cell>
        </row>
        <row r="147">
          <cell r="B147">
            <v>46147</v>
          </cell>
          <cell r="K147">
            <v>0</v>
          </cell>
          <cell r="M147">
            <v>0</v>
          </cell>
          <cell r="P147">
            <v>6833.62</v>
          </cell>
          <cell r="Q147" t="str">
            <v>Tallied</v>
          </cell>
        </row>
        <row r="148">
          <cell r="B148">
            <v>46147</v>
          </cell>
          <cell r="K148">
            <v>0</v>
          </cell>
          <cell r="M148">
            <v>0</v>
          </cell>
          <cell r="P148">
            <v>203680.17</v>
          </cell>
          <cell r="Q148" t="str">
            <v>Tallied</v>
          </cell>
        </row>
        <row r="149">
          <cell r="B149">
            <v>46147</v>
          </cell>
          <cell r="K149">
            <v>0</v>
          </cell>
          <cell r="M149">
            <v>0</v>
          </cell>
          <cell r="P149">
            <v>821853.11999999988</v>
          </cell>
          <cell r="Q149" t="str">
            <v>Tallied</v>
          </cell>
        </row>
        <row r="150">
          <cell r="B150">
            <v>46147</v>
          </cell>
          <cell r="K150">
            <v>0</v>
          </cell>
          <cell r="M150">
            <v>0</v>
          </cell>
          <cell r="P150">
            <v>21959.72</v>
          </cell>
          <cell r="Q150" t="str">
            <v>Tallied</v>
          </cell>
        </row>
        <row r="151">
          <cell r="B151">
            <v>46147</v>
          </cell>
          <cell r="K151">
            <v>0</v>
          </cell>
          <cell r="M151">
            <v>0</v>
          </cell>
          <cell r="P151">
            <v>23779670.399999991</v>
          </cell>
          <cell r="Q151" t="str">
            <v>Tallied</v>
          </cell>
        </row>
        <row r="152">
          <cell r="B152">
            <v>46147</v>
          </cell>
          <cell r="K152">
            <v>0</v>
          </cell>
          <cell r="M152">
            <v>0</v>
          </cell>
          <cell r="P152">
            <v>250890.6</v>
          </cell>
          <cell r="Q152" t="str">
            <v>Tallied</v>
          </cell>
        </row>
        <row r="153">
          <cell r="B153">
            <v>46147</v>
          </cell>
          <cell r="K153">
            <v>0</v>
          </cell>
          <cell r="M153">
            <v>0</v>
          </cell>
          <cell r="P153">
            <v>23967951.840000004</v>
          </cell>
          <cell r="Q153" t="str">
            <v>Tallied</v>
          </cell>
        </row>
        <row r="154">
          <cell r="B154">
            <v>46147</v>
          </cell>
          <cell r="K154">
            <v>0</v>
          </cell>
          <cell r="M154">
            <v>0</v>
          </cell>
          <cell r="P154">
            <v>26804277.59999999</v>
          </cell>
          <cell r="Q154" t="str">
            <v>Tallied</v>
          </cell>
        </row>
        <row r="155">
          <cell r="B155">
            <v>46147</v>
          </cell>
          <cell r="K155">
            <v>0</v>
          </cell>
          <cell r="M155">
            <v>0</v>
          </cell>
          <cell r="P155">
            <v>1054066.56</v>
          </cell>
          <cell r="Q155" t="str">
            <v>Tallied</v>
          </cell>
        </row>
        <row r="156">
          <cell r="B156">
            <v>46147</v>
          </cell>
          <cell r="K156">
            <v>0</v>
          </cell>
          <cell r="M156">
            <v>0</v>
          </cell>
          <cell r="P156">
            <v>8092593.6000000006</v>
          </cell>
          <cell r="Q156" t="str">
            <v>Tallied</v>
          </cell>
        </row>
        <row r="157">
          <cell r="B157">
            <v>46147</v>
          </cell>
          <cell r="K157">
            <v>0</v>
          </cell>
          <cell r="M157">
            <v>0</v>
          </cell>
          <cell r="P157">
            <v>13905992.689999996</v>
          </cell>
          <cell r="Q157" t="str">
            <v>Tallied</v>
          </cell>
        </row>
        <row r="158">
          <cell r="B158">
            <v>46148</v>
          </cell>
          <cell r="K158">
            <v>0</v>
          </cell>
          <cell r="M158">
            <v>0</v>
          </cell>
          <cell r="P158">
            <v>2316375.36</v>
          </cell>
          <cell r="Q158" t="str">
            <v>Tallied</v>
          </cell>
        </row>
        <row r="159">
          <cell r="B159">
            <v>46148</v>
          </cell>
          <cell r="K159">
            <v>0</v>
          </cell>
          <cell r="M159">
            <v>0</v>
          </cell>
          <cell r="P159">
            <v>92573.67</v>
          </cell>
          <cell r="Q159" t="str">
            <v>Tallied</v>
          </cell>
        </row>
        <row r="160">
          <cell r="B160">
            <v>46148</v>
          </cell>
          <cell r="K160">
            <v>0</v>
          </cell>
          <cell r="M160">
            <v>0</v>
          </cell>
          <cell r="P160">
            <v>672452.29999999993</v>
          </cell>
          <cell r="Q160" t="str">
            <v>Tallied</v>
          </cell>
        </row>
        <row r="161">
          <cell r="B161">
            <v>46148</v>
          </cell>
          <cell r="K161">
            <v>0</v>
          </cell>
          <cell r="M161">
            <v>0</v>
          </cell>
          <cell r="P161">
            <v>1477998.6600000001</v>
          </cell>
          <cell r="Q161" t="str">
            <v>Tallied</v>
          </cell>
        </row>
        <row r="162">
          <cell r="B162">
            <v>46148</v>
          </cell>
          <cell r="K162">
            <v>0</v>
          </cell>
          <cell r="M162">
            <v>0</v>
          </cell>
          <cell r="P162">
            <v>372435.12</v>
          </cell>
          <cell r="Q162" t="str">
            <v>Tallied</v>
          </cell>
        </row>
        <row r="163">
          <cell r="B163">
            <v>46148</v>
          </cell>
          <cell r="K163">
            <v>0</v>
          </cell>
          <cell r="M163">
            <v>0</v>
          </cell>
          <cell r="P163">
            <v>98019.180000000008</v>
          </cell>
          <cell r="Q163" t="str">
            <v>Tallied</v>
          </cell>
        </row>
        <row r="164">
          <cell r="B164">
            <v>46148</v>
          </cell>
          <cell r="K164">
            <v>0</v>
          </cell>
          <cell r="M164">
            <v>0</v>
          </cell>
          <cell r="P164">
            <v>606456.39999999991</v>
          </cell>
          <cell r="Q164" t="str">
            <v>Tallied</v>
          </cell>
        </row>
        <row r="165">
          <cell r="B165">
            <v>46148</v>
          </cell>
          <cell r="K165">
            <v>0</v>
          </cell>
          <cell r="M165">
            <v>0</v>
          </cell>
          <cell r="P165">
            <v>2172758.4900000002</v>
          </cell>
          <cell r="Q165" t="str">
            <v>Tallied</v>
          </cell>
        </row>
        <row r="166">
          <cell r="B166">
            <v>46148</v>
          </cell>
          <cell r="K166">
            <v>0</v>
          </cell>
          <cell r="M166">
            <v>0</v>
          </cell>
          <cell r="P166">
            <v>485181.36</v>
          </cell>
          <cell r="Q166" t="str">
            <v>Tallied</v>
          </cell>
        </row>
        <row r="167">
          <cell r="B167">
            <v>46148</v>
          </cell>
          <cell r="K167">
            <v>0</v>
          </cell>
          <cell r="M167">
            <v>0</v>
          </cell>
          <cell r="P167">
            <v>153430.69999999998</v>
          </cell>
          <cell r="Q167" t="str">
            <v>Tallied</v>
          </cell>
        </row>
        <row r="168">
          <cell r="B168">
            <v>46148</v>
          </cell>
          <cell r="K168">
            <v>0</v>
          </cell>
          <cell r="M168">
            <v>0</v>
          </cell>
          <cell r="P168">
            <v>4904603.8200000012</v>
          </cell>
          <cell r="Q168" t="str">
            <v>Tallied</v>
          </cell>
        </row>
        <row r="169">
          <cell r="B169">
            <v>46148</v>
          </cell>
          <cell r="K169">
            <v>0</v>
          </cell>
          <cell r="M169">
            <v>0</v>
          </cell>
          <cell r="P169">
            <v>277708.48</v>
          </cell>
          <cell r="Q169" t="str">
            <v>Tallied</v>
          </cell>
        </row>
        <row r="170">
          <cell r="B170">
            <v>46148</v>
          </cell>
          <cell r="K170">
            <v>0</v>
          </cell>
          <cell r="M170">
            <v>0</v>
          </cell>
          <cell r="P170">
            <v>27541.75</v>
          </cell>
          <cell r="Q170" t="str">
            <v>Tallied</v>
          </cell>
        </row>
        <row r="171">
          <cell r="B171">
            <v>46148</v>
          </cell>
          <cell r="K171">
            <v>0</v>
          </cell>
          <cell r="M171">
            <v>0</v>
          </cell>
          <cell r="P171">
            <v>1058190.72</v>
          </cell>
          <cell r="Q171" t="str">
            <v>Tallied</v>
          </cell>
        </row>
        <row r="172">
          <cell r="B172">
            <v>46148</v>
          </cell>
          <cell r="K172">
            <v>0</v>
          </cell>
          <cell r="M172">
            <v>0</v>
          </cell>
          <cell r="P172">
            <v>274690.45</v>
          </cell>
          <cell r="Q172" t="str">
            <v>Tallied</v>
          </cell>
        </row>
        <row r="173">
          <cell r="B173">
            <v>46148</v>
          </cell>
          <cell r="K173">
            <v>0</v>
          </cell>
          <cell r="M173">
            <v>0</v>
          </cell>
          <cell r="P173">
            <v>1146588.96</v>
          </cell>
          <cell r="Q173" t="str">
            <v>Tallied</v>
          </cell>
        </row>
        <row r="174">
          <cell r="B174">
            <v>46148</v>
          </cell>
          <cell r="K174">
            <v>0</v>
          </cell>
          <cell r="M174">
            <v>0</v>
          </cell>
          <cell r="P174">
            <v>491151.38</v>
          </cell>
          <cell r="Q174" t="str">
            <v>Tallied</v>
          </cell>
        </row>
        <row r="175">
          <cell r="B175">
            <v>46148</v>
          </cell>
          <cell r="K175">
            <v>0</v>
          </cell>
          <cell r="M175">
            <v>0</v>
          </cell>
          <cell r="P175">
            <v>9677.5400000000009</v>
          </cell>
          <cell r="Q175" t="str">
            <v>Tallied</v>
          </cell>
        </row>
        <row r="176">
          <cell r="B176">
            <v>46148</v>
          </cell>
          <cell r="K176">
            <v>0</v>
          </cell>
          <cell r="M176">
            <v>0</v>
          </cell>
          <cell r="P176">
            <v>9070.84</v>
          </cell>
          <cell r="Q176" t="str">
            <v>Tallied</v>
          </cell>
        </row>
        <row r="177">
          <cell r="B177">
            <v>46148</v>
          </cell>
          <cell r="K177">
            <v>0</v>
          </cell>
          <cell r="M177">
            <v>0</v>
          </cell>
          <cell r="P177">
            <v>96242.02</v>
          </cell>
          <cell r="Q177" t="str">
            <v>Tallied</v>
          </cell>
        </row>
        <row r="178">
          <cell r="B178">
            <v>46148</v>
          </cell>
          <cell r="K178">
            <v>0</v>
          </cell>
          <cell r="M178">
            <v>0</v>
          </cell>
          <cell r="P178">
            <v>261858.88</v>
          </cell>
          <cell r="Q178" t="str">
            <v>Tallied</v>
          </cell>
        </row>
        <row r="179">
          <cell r="B179">
            <v>46148</v>
          </cell>
          <cell r="K179">
            <v>0</v>
          </cell>
          <cell r="M179">
            <v>0</v>
          </cell>
          <cell r="P179">
            <v>26994.52</v>
          </cell>
          <cell r="Q179" t="str">
            <v>Tallied</v>
          </cell>
        </row>
        <row r="180">
          <cell r="B180">
            <v>46148</v>
          </cell>
          <cell r="K180">
            <v>0</v>
          </cell>
          <cell r="M180">
            <v>0</v>
          </cell>
          <cell r="P180">
            <v>1544755.68</v>
          </cell>
          <cell r="Q180" t="str">
            <v>Tallied</v>
          </cell>
        </row>
        <row r="181">
          <cell r="B181">
            <v>46148</v>
          </cell>
          <cell r="K181">
            <v>0</v>
          </cell>
          <cell r="M181">
            <v>0</v>
          </cell>
          <cell r="P181">
            <v>3</v>
          </cell>
          <cell r="Q181" t="str">
            <v>Tallied</v>
          </cell>
        </row>
        <row r="182">
          <cell r="B182">
            <v>46148</v>
          </cell>
          <cell r="K182">
            <v>0</v>
          </cell>
          <cell r="M182">
            <v>0</v>
          </cell>
          <cell r="P182">
            <v>172956.98</v>
          </cell>
          <cell r="Q182" t="str">
            <v>Tallied</v>
          </cell>
        </row>
        <row r="183">
          <cell r="B183">
            <v>46148</v>
          </cell>
          <cell r="K183">
            <v>0</v>
          </cell>
          <cell r="M183">
            <v>0</v>
          </cell>
          <cell r="P183">
            <v>7472.8</v>
          </cell>
          <cell r="Q183" t="str">
            <v>Tallied</v>
          </cell>
        </row>
        <row r="184">
          <cell r="B184">
            <v>46148</v>
          </cell>
          <cell r="K184">
            <v>0</v>
          </cell>
          <cell r="M184">
            <v>0</v>
          </cell>
          <cell r="P184">
            <v>32523.03</v>
          </cell>
          <cell r="Q184" t="str">
            <v>Tallied</v>
          </cell>
        </row>
        <row r="185">
          <cell r="B185">
            <v>46148</v>
          </cell>
          <cell r="K185">
            <v>0</v>
          </cell>
          <cell r="M185">
            <v>0</v>
          </cell>
          <cell r="P185">
            <v>91108.800000000003</v>
          </cell>
          <cell r="Q185" t="str">
            <v>Tallied</v>
          </cell>
        </row>
        <row r="186">
          <cell r="B186">
            <v>46148</v>
          </cell>
          <cell r="K186">
            <v>0</v>
          </cell>
          <cell r="M186">
            <v>0</v>
          </cell>
          <cell r="P186">
            <v>10325.81</v>
          </cell>
          <cell r="Q186" t="str">
            <v>Tallied</v>
          </cell>
        </row>
        <row r="187">
          <cell r="B187">
            <v>46148</v>
          </cell>
          <cell r="K187">
            <v>0</v>
          </cell>
          <cell r="M187">
            <v>0</v>
          </cell>
          <cell r="P187">
            <v>247</v>
          </cell>
          <cell r="Q187" t="str">
            <v>Tallied</v>
          </cell>
        </row>
        <row r="188">
          <cell r="B188">
            <v>46148</v>
          </cell>
          <cell r="K188">
            <v>0</v>
          </cell>
          <cell r="M188">
            <v>0</v>
          </cell>
          <cell r="P188">
            <v>89806.57</v>
          </cell>
          <cell r="Q188" t="str">
            <v>Tallied</v>
          </cell>
        </row>
        <row r="189">
          <cell r="B189">
            <v>46148</v>
          </cell>
          <cell r="K189">
            <v>0</v>
          </cell>
          <cell r="M189">
            <v>0</v>
          </cell>
          <cell r="P189">
            <v>1276208.28</v>
          </cell>
          <cell r="Q189" t="str">
            <v>Tallied</v>
          </cell>
        </row>
        <row r="190">
          <cell r="B190">
            <v>46148</v>
          </cell>
          <cell r="K190">
            <v>0</v>
          </cell>
          <cell r="M190">
            <v>0</v>
          </cell>
          <cell r="P190">
            <v>252015.12</v>
          </cell>
          <cell r="Q190" t="str">
            <v>Tallied</v>
          </cell>
        </row>
        <row r="191">
          <cell r="B191">
            <v>46148</v>
          </cell>
          <cell r="K191">
            <v>0</v>
          </cell>
          <cell r="M191">
            <v>0</v>
          </cell>
          <cell r="P191">
            <v>1222473.6000000001</v>
          </cell>
          <cell r="Q191" t="str">
            <v>Tallied</v>
          </cell>
        </row>
        <row r="192">
          <cell r="B192">
            <v>46148</v>
          </cell>
          <cell r="K192">
            <v>0</v>
          </cell>
          <cell r="M192">
            <v>0</v>
          </cell>
          <cell r="P192">
            <v>3</v>
          </cell>
          <cell r="Q192" t="str">
            <v>Tallied</v>
          </cell>
        </row>
        <row r="193">
          <cell r="B193">
            <v>46148</v>
          </cell>
          <cell r="K193">
            <v>0</v>
          </cell>
          <cell r="M193">
            <v>0</v>
          </cell>
          <cell r="P193">
            <v>4921.24</v>
          </cell>
          <cell r="Q193" t="str">
            <v>Tallied</v>
          </cell>
        </row>
        <row r="194">
          <cell r="B194">
            <v>46148</v>
          </cell>
          <cell r="K194">
            <v>0</v>
          </cell>
          <cell r="M194">
            <v>0</v>
          </cell>
          <cell r="P194">
            <v>273215.35999999999</v>
          </cell>
          <cell r="Q194" t="str">
            <v>Tallied</v>
          </cell>
        </row>
        <row r="195">
          <cell r="B195">
            <v>46148</v>
          </cell>
          <cell r="K195">
            <v>0</v>
          </cell>
          <cell r="M195">
            <v>0</v>
          </cell>
          <cell r="P195">
            <v>211582.80000000002</v>
          </cell>
          <cell r="Q195" t="str">
            <v>Tallied</v>
          </cell>
        </row>
        <row r="196">
          <cell r="B196">
            <v>46148</v>
          </cell>
          <cell r="K196">
            <v>0</v>
          </cell>
          <cell r="M196">
            <v>0</v>
          </cell>
          <cell r="P196">
            <v>511543.45</v>
          </cell>
          <cell r="Q196" t="str">
            <v>Tallied</v>
          </cell>
        </row>
        <row r="197">
          <cell r="B197">
            <v>46148</v>
          </cell>
          <cell r="K197">
            <v>0</v>
          </cell>
          <cell r="M197">
            <v>0</v>
          </cell>
          <cell r="P197">
            <v>84447.82</v>
          </cell>
          <cell r="Q197" t="str">
            <v>Tallied</v>
          </cell>
        </row>
        <row r="198">
          <cell r="B198">
            <v>46148</v>
          </cell>
          <cell r="K198">
            <v>0</v>
          </cell>
          <cell r="M198">
            <v>0</v>
          </cell>
          <cell r="P198">
            <v>915061868.82000089</v>
          </cell>
          <cell r="Q198" t="str">
            <v>Tallied</v>
          </cell>
        </row>
        <row r="199">
          <cell r="B199">
            <v>46148</v>
          </cell>
          <cell r="K199">
            <v>0</v>
          </cell>
          <cell r="M199">
            <v>0</v>
          </cell>
          <cell r="P199">
            <v>8703.08</v>
          </cell>
          <cell r="Q199" t="str">
            <v>Tallied</v>
          </cell>
        </row>
        <row r="200">
          <cell r="B200">
            <v>46148</v>
          </cell>
          <cell r="K200">
            <v>0</v>
          </cell>
          <cell r="M200">
            <v>0</v>
          </cell>
          <cell r="P200">
            <v>40804789.879999995</v>
          </cell>
          <cell r="Q200" t="str">
            <v>Tallied</v>
          </cell>
        </row>
        <row r="201">
          <cell r="B201">
            <v>46148</v>
          </cell>
          <cell r="K201">
            <v>0</v>
          </cell>
          <cell r="M201">
            <v>0</v>
          </cell>
          <cell r="P201">
            <v>21400505</v>
          </cell>
          <cell r="Q201" t="str">
            <v>Tallied</v>
          </cell>
        </row>
        <row r="202">
          <cell r="B202">
            <v>46148</v>
          </cell>
          <cell r="K202">
            <v>0</v>
          </cell>
          <cell r="M202">
            <v>0</v>
          </cell>
          <cell r="P202">
            <v>93213.36</v>
          </cell>
          <cell r="Q202" t="str">
            <v>Tallied</v>
          </cell>
        </row>
        <row r="203">
          <cell r="B203">
            <v>46148</v>
          </cell>
          <cell r="K203">
            <v>0</v>
          </cell>
          <cell r="M203">
            <v>0</v>
          </cell>
          <cell r="P203">
            <v>676840665.6000005</v>
          </cell>
          <cell r="Q203" t="str">
            <v>Tallied</v>
          </cell>
        </row>
        <row r="204">
          <cell r="B204">
            <v>46148</v>
          </cell>
          <cell r="K204">
            <v>0</v>
          </cell>
          <cell r="M204">
            <v>0</v>
          </cell>
          <cell r="P204">
            <v>111439.75</v>
          </cell>
          <cell r="Q204" t="str">
            <v>Tallied</v>
          </cell>
        </row>
        <row r="205">
          <cell r="B205">
            <v>46148</v>
          </cell>
          <cell r="K205">
            <v>0</v>
          </cell>
          <cell r="M205">
            <v>0</v>
          </cell>
          <cell r="P205">
            <v>138045.30000000002</v>
          </cell>
          <cell r="Q205" t="str">
            <v>Tallied</v>
          </cell>
        </row>
        <row r="206">
          <cell r="B206">
            <v>46148</v>
          </cell>
          <cell r="K206">
            <v>0</v>
          </cell>
          <cell r="M206">
            <v>0</v>
          </cell>
          <cell r="P206">
            <v>3970.88</v>
          </cell>
          <cell r="Q206" t="str">
            <v>Tallied</v>
          </cell>
        </row>
        <row r="207">
          <cell r="B207">
            <v>46148</v>
          </cell>
          <cell r="K207">
            <v>0</v>
          </cell>
          <cell r="M207">
            <v>0</v>
          </cell>
          <cell r="P207">
            <v>9511.5</v>
          </cell>
          <cell r="Q207" t="str">
            <v>Tallied</v>
          </cell>
        </row>
        <row r="208">
          <cell r="B208">
            <v>46148</v>
          </cell>
          <cell r="K208">
            <v>0</v>
          </cell>
          <cell r="M208">
            <v>0</v>
          </cell>
          <cell r="P208">
            <v>108545.44</v>
          </cell>
          <cell r="Q208" t="str">
            <v>Tallied</v>
          </cell>
        </row>
        <row r="209">
          <cell r="B209">
            <v>46148</v>
          </cell>
          <cell r="K209">
            <v>0</v>
          </cell>
          <cell r="M209">
            <v>0</v>
          </cell>
          <cell r="P209">
            <v>26462.880000000001</v>
          </cell>
          <cell r="Q209" t="str">
            <v>Tallied</v>
          </cell>
        </row>
        <row r="210">
          <cell r="B210">
            <v>46148</v>
          </cell>
          <cell r="K210">
            <v>0</v>
          </cell>
          <cell r="M210">
            <v>0</v>
          </cell>
          <cell r="P210">
            <v>25541.100000000002</v>
          </cell>
          <cell r="Q210" t="str">
            <v>Tallied</v>
          </cell>
        </row>
        <row r="211">
          <cell r="B211">
            <v>46148</v>
          </cell>
          <cell r="K211">
            <v>0</v>
          </cell>
          <cell r="M211">
            <v>0</v>
          </cell>
          <cell r="P211">
            <v>15855053.279999997</v>
          </cell>
          <cell r="Q211" t="str">
            <v>Tallied</v>
          </cell>
        </row>
        <row r="212">
          <cell r="B212">
            <v>46148</v>
          </cell>
          <cell r="K212">
            <v>0</v>
          </cell>
          <cell r="M212">
            <v>0</v>
          </cell>
          <cell r="P212">
            <v>82907704.439999953</v>
          </cell>
          <cell r="Q212" t="str">
            <v>Tallied</v>
          </cell>
        </row>
        <row r="213">
          <cell r="B213">
            <v>46149</v>
          </cell>
          <cell r="K213">
            <v>0</v>
          </cell>
          <cell r="M213">
            <v>0</v>
          </cell>
          <cell r="P213">
            <v>4628.1900000000005</v>
          </cell>
          <cell r="Q213" t="str">
            <v>Tallied</v>
          </cell>
        </row>
        <row r="214">
          <cell r="B214">
            <v>46149</v>
          </cell>
          <cell r="K214">
            <v>0</v>
          </cell>
          <cell r="M214">
            <v>0</v>
          </cell>
          <cell r="P214">
            <v>49191.840000000004</v>
          </cell>
          <cell r="Q214" t="str">
            <v>Tallied</v>
          </cell>
        </row>
        <row r="215">
          <cell r="B215">
            <v>46149</v>
          </cell>
          <cell r="K215">
            <v>0</v>
          </cell>
          <cell r="M215">
            <v>0</v>
          </cell>
          <cell r="P215">
            <v>1630126.0800000001</v>
          </cell>
          <cell r="Q215" t="str">
            <v>Tallied</v>
          </cell>
        </row>
        <row r="216">
          <cell r="B216">
            <v>46149</v>
          </cell>
          <cell r="K216">
            <v>0</v>
          </cell>
          <cell r="M216">
            <v>0</v>
          </cell>
          <cell r="P216">
            <v>2241.12</v>
          </cell>
          <cell r="Q216" t="str">
            <v>Tallied</v>
          </cell>
        </row>
        <row r="217">
          <cell r="B217">
            <v>46149</v>
          </cell>
          <cell r="K217">
            <v>0</v>
          </cell>
          <cell r="M217">
            <v>0</v>
          </cell>
          <cell r="P217">
            <v>24025.32</v>
          </cell>
          <cell r="Q217" t="str">
            <v>Tallied</v>
          </cell>
        </row>
        <row r="218">
          <cell r="B218">
            <v>46149</v>
          </cell>
          <cell r="K218">
            <v>0</v>
          </cell>
          <cell r="M218">
            <v>0</v>
          </cell>
          <cell r="P218">
            <v>41217.120000000003</v>
          </cell>
          <cell r="Q218" t="str">
            <v>Tallied</v>
          </cell>
        </row>
        <row r="219">
          <cell r="B219">
            <v>46149</v>
          </cell>
          <cell r="K219">
            <v>0</v>
          </cell>
          <cell r="M219">
            <v>0</v>
          </cell>
          <cell r="P219">
            <v>4604.88</v>
          </cell>
          <cell r="Q219" t="str">
            <v>Tallied</v>
          </cell>
        </row>
        <row r="220">
          <cell r="B220">
            <v>46149</v>
          </cell>
          <cell r="K220">
            <v>0</v>
          </cell>
          <cell r="M220">
            <v>0</v>
          </cell>
          <cell r="P220">
            <v>9136.7999999999993</v>
          </cell>
          <cell r="Q220" t="str">
            <v>Tallied</v>
          </cell>
        </row>
        <row r="221">
          <cell r="B221">
            <v>46149</v>
          </cell>
          <cell r="K221">
            <v>0</v>
          </cell>
          <cell r="M221">
            <v>0</v>
          </cell>
          <cell r="P221">
            <v>953718.3</v>
          </cell>
          <cell r="Q221" t="str">
            <v>Tallied</v>
          </cell>
        </row>
        <row r="222">
          <cell r="B222">
            <v>46149</v>
          </cell>
          <cell r="K222">
            <v>0</v>
          </cell>
          <cell r="M222">
            <v>0</v>
          </cell>
          <cell r="P222">
            <v>2965.83</v>
          </cell>
          <cell r="Q222" t="str">
            <v>Tallied</v>
          </cell>
        </row>
        <row r="223">
          <cell r="B223">
            <v>46149</v>
          </cell>
          <cell r="K223">
            <v>0</v>
          </cell>
          <cell r="M223">
            <v>0</v>
          </cell>
          <cell r="P223">
            <v>166927059.51999995</v>
          </cell>
          <cell r="Q223" t="str">
            <v>Tallied</v>
          </cell>
        </row>
        <row r="224">
          <cell r="B224">
            <v>46149</v>
          </cell>
          <cell r="K224">
            <v>0</v>
          </cell>
          <cell r="M224">
            <v>0</v>
          </cell>
          <cell r="P224">
            <v>94425031.690000013</v>
          </cell>
          <cell r="Q224" t="str">
            <v>Tallied</v>
          </cell>
        </row>
        <row r="225">
          <cell r="B225">
            <v>46149</v>
          </cell>
          <cell r="K225">
            <v>0</v>
          </cell>
          <cell r="M225">
            <v>0</v>
          </cell>
          <cell r="P225">
            <v>9133186.3200000003</v>
          </cell>
          <cell r="Q225" t="str">
            <v>Tallied</v>
          </cell>
        </row>
        <row r="226">
          <cell r="B226">
            <v>46149</v>
          </cell>
          <cell r="K226">
            <v>0</v>
          </cell>
          <cell r="M226">
            <v>0</v>
          </cell>
          <cell r="P226">
            <v>15289.59</v>
          </cell>
          <cell r="Q226" t="str">
            <v>Tallied</v>
          </cell>
        </row>
        <row r="227">
          <cell r="B227">
            <v>46149</v>
          </cell>
          <cell r="K227">
            <v>0</v>
          </cell>
          <cell r="M227">
            <v>0</v>
          </cell>
          <cell r="P227">
            <v>100876.26</v>
          </cell>
          <cell r="Q227" t="str">
            <v>Tallied</v>
          </cell>
        </row>
        <row r="228">
          <cell r="B228">
            <v>46149</v>
          </cell>
          <cell r="K228">
            <v>0</v>
          </cell>
          <cell r="M228">
            <v>0</v>
          </cell>
          <cell r="P228">
            <v>155172.4</v>
          </cell>
          <cell r="Q228" t="str">
            <v>Tallied</v>
          </cell>
        </row>
        <row r="229">
          <cell r="B229">
            <v>46149</v>
          </cell>
          <cell r="K229">
            <v>0</v>
          </cell>
          <cell r="M229">
            <v>0</v>
          </cell>
          <cell r="P229">
            <v>43342.32</v>
          </cell>
          <cell r="Q229" t="str">
            <v>Tallied</v>
          </cell>
        </row>
        <row r="230">
          <cell r="B230">
            <v>46149</v>
          </cell>
          <cell r="K230">
            <v>0</v>
          </cell>
          <cell r="M230">
            <v>0</v>
          </cell>
          <cell r="P230">
            <v>5643.5</v>
          </cell>
          <cell r="Q230" t="str">
            <v>Tallied</v>
          </cell>
        </row>
        <row r="231">
          <cell r="B231">
            <v>46149</v>
          </cell>
          <cell r="K231">
            <v>0</v>
          </cell>
          <cell r="M231">
            <v>0</v>
          </cell>
          <cell r="P231">
            <v>62314.64</v>
          </cell>
          <cell r="Q231" t="str">
            <v>Tallied</v>
          </cell>
        </row>
        <row r="232">
          <cell r="B232">
            <v>46149</v>
          </cell>
          <cell r="K232">
            <v>0</v>
          </cell>
          <cell r="M232">
            <v>0</v>
          </cell>
          <cell r="P232">
            <v>184780.79999999999</v>
          </cell>
          <cell r="Q232" t="str">
            <v>Tallied</v>
          </cell>
        </row>
        <row r="233">
          <cell r="B233">
            <v>46149</v>
          </cell>
          <cell r="K233">
            <v>0</v>
          </cell>
          <cell r="M233">
            <v>0</v>
          </cell>
          <cell r="P233">
            <v>115381.54</v>
          </cell>
          <cell r="Q233" t="str">
            <v>Tallied</v>
          </cell>
        </row>
        <row r="234">
          <cell r="B234">
            <v>46149</v>
          </cell>
          <cell r="K234">
            <v>0</v>
          </cell>
          <cell r="M234">
            <v>0</v>
          </cell>
          <cell r="P234">
            <v>9577342.4000000004</v>
          </cell>
          <cell r="Q234" t="str">
            <v>Tallied</v>
          </cell>
        </row>
        <row r="235">
          <cell r="B235">
            <v>46149</v>
          </cell>
          <cell r="K235">
            <v>0</v>
          </cell>
          <cell r="M235">
            <v>0</v>
          </cell>
          <cell r="P235">
            <v>8292.57</v>
          </cell>
          <cell r="Q235" t="str">
            <v>Tallied</v>
          </cell>
        </row>
        <row r="236">
          <cell r="B236">
            <v>46149</v>
          </cell>
          <cell r="K236">
            <v>0</v>
          </cell>
          <cell r="M236">
            <v>0</v>
          </cell>
          <cell r="P236">
            <v>51556373.999999993</v>
          </cell>
          <cell r="Q236" t="str">
            <v>Tallied</v>
          </cell>
        </row>
        <row r="237">
          <cell r="B237">
            <v>46149</v>
          </cell>
          <cell r="K237">
            <v>0</v>
          </cell>
          <cell r="M237">
            <v>0</v>
          </cell>
          <cell r="P237">
            <v>8222.76</v>
          </cell>
          <cell r="Q237" t="str">
            <v>Tallied</v>
          </cell>
        </row>
        <row r="238">
          <cell r="B238">
            <v>46149</v>
          </cell>
          <cell r="K238">
            <v>0</v>
          </cell>
          <cell r="M238">
            <v>0</v>
          </cell>
          <cell r="P238">
            <v>39173742.180000007</v>
          </cell>
          <cell r="Q238" t="str">
            <v>Tallied</v>
          </cell>
        </row>
        <row r="239">
          <cell r="B239">
            <v>46149</v>
          </cell>
          <cell r="K239">
            <v>0</v>
          </cell>
          <cell r="M239">
            <v>0</v>
          </cell>
          <cell r="P239">
            <v>6730204.8000000007</v>
          </cell>
          <cell r="Q239" t="str">
            <v>Tallied</v>
          </cell>
        </row>
        <row r="240">
          <cell r="B240">
            <v>46149</v>
          </cell>
          <cell r="K240">
            <v>0</v>
          </cell>
          <cell r="M240">
            <v>0</v>
          </cell>
          <cell r="P240">
            <v>314252.60000000003</v>
          </cell>
          <cell r="Q240" t="str">
            <v>Tallied</v>
          </cell>
        </row>
        <row r="241">
          <cell r="B241">
            <v>46149</v>
          </cell>
          <cell r="K241">
            <v>0</v>
          </cell>
          <cell r="M241">
            <v>0</v>
          </cell>
          <cell r="P241">
            <v>119633.28</v>
          </cell>
          <cell r="Q241" t="str">
            <v>Tallied</v>
          </cell>
        </row>
        <row r="242">
          <cell r="B242">
            <v>46149</v>
          </cell>
          <cell r="K242">
            <v>0</v>
          </cell>
          <cell r="M242">
            <v>0</v>
          </cell>
          <cell r="P242">
            <v>22674746.879999992</v>
          </cell>
          <cell r="Q242" t="str">
            <v>Tallied</v>
          </cell>
        </row>
        <row r="243">
          <cell r="B243">
            <v>46149</v>
          </cell>
          <cell r="K243">
            <v>0</v>
          </cell>
          <cell r="M243">
            <v>0</v>
          </cell>
          <cell r="P243">
            <v>448875.9</v>
          </cell>
          <cell r="Q243" t="str">
            <v>Tallied</v>
          </cell>
        </row>
        <row r="244">
          <cell r="B244">
            <v>46149</v>
          </cell>
          <cell r="K244">
            <v>0</v>
          </cell>
          <cell r="M244">
            <v>0</v>
          </cell>
          <cell r="P244">
            <v>25500.06</v>
          </cell>
          <cell r="Q244" t="str">
            <v>Tallied</v>
          </cell>
        </row>
        <row r="245">
          <cell r="B245">
            <v>46149</v>
          </cell>
          <cell r="K245">
            <v>0</v>
          </cell>
          <cell r="M245">
            <v>0</v>
          </cell>
          <cell r="P245">
            <v>239568.12000000002</v>
          </cell>
          <cell r="Q245" t="str">
            <v>Tallied</v>
          </cell>
        </row>
        <row r="246">
          <cell r="B246">
            <v>46149</v>
          </cell>
          <cell r="K246">
            <v>0</v>
          </cell>
          <cell r="M246">
            <v>0</v>
          </cell>
          <cell r="P246">
            <v>15408.38</v>
          </cell>
          <cell r="Q246" t="str">
            <v>Tallied</v>
          </cell>
        </row>
        <row r="247">
          <cell r="B247">
            <v>46149</v>
          </cell>
          <cell r="K247">
            <v>0</v>
          </cell>
          <cell r="M247">
            <v>0</v>
          </cell>
          <cell r="P247">
            <v>760788</v>
          </cell>
          <cell r="Q247" t="str">
            <v>Tallied</v>
          </cell>
        </row>
        <row r="248">
          <cell r="B248">
            <v>46149</v>
          </cell>
          <cell r="K248">
            <v>0</v>
          </cell>
          <cell r="M248">
            <v>0</v>
          </cell>
          <cell r="P248">
            <v>10622.88</v>
          </cell>
          <cell r="Q248" t="str">
            <v>Tallied</v>
          </cell>
        </row>
        <row r="249">
          <cell r="B249">
            <v>46149</v>
          </cell>
          <cell r="K249">
            <v>0</v>
          </cell>
          <cell r="M249">
            <v>0</v>
          </cell>
          <cell r="P249">
            <v>717643.52</v>
          </cell>
          <cell r="Q249" t="str">
            <v>Tallied</v>
          </cell>
        </row>
        <row r="250">
          <cell r="B250">
            <v>46149</v>
          </cell>
          <cell r="K250">
            <v>0</v>
          </cell>
          <cell r="M250">
            <v>0</v>
          </cell>
          <cell r="P250">
            <v>441942.75</v>
          </cell>
          <cell r="Q250" t="str">
            <v>Tallied</v>
          </cell>
        </row>
        <row r="251">
          <cell r="B251">
            <v>46149</v>
          </cell>
          <cell r="K251">
            <v>0</v>
          </cell>
          <cell r="M251">
            <v>0</v>
          </cell>
          <cell r="P251">
            <v>362700</v>
          </cell>
          <cell r="Q251" t="str">
            <v>Tallied</v>
          </cell>
        </row>
        <row r="252">
          <cell r="B252">
            <v>46149</v>
          </cell>
          <cell r="K252">
            <v>0</v>
          </cell>
          <cell r="M252">
            <v>0</v>
          </cell>
          <cell r="P252">
            <v>178542</v>
          </cell>
          <cell r="Q252" t="str">
            <v>Tallied</v>
          </cell>
        </row>
        <row r="253">
          <cell r="B253">
            <v>46149</v>
          </cell>
          <cell r="K253">
            <v>0</v>
          </cell>
          <cell r="M253">
            <v>0</v>
          </cell>
          <cell r="P253">
            <v>387547.48</v>
          </cell>
          <cell r="Q253" t="str">
            <v>Tallied</v>
          </cell>
        </row>
        <row r="254">
          <cell r="B254">
            <v>46149</v>
          </cell>
          <cell r="K254">
            <v>0</v>
          </cell>
          <cell r="M254">
            <v>0</v>
          </cell>
          <cell r="P254">
            <v>81811.92</v>
          </cell>
          <cell r="Q254" t="str">
            <v>Tallied</v>
          </cell>
        </row>
        <row r="255">
          <cell r="B255">
            <v>46149</v>
          </cell>
          <cell r="K255">
            <v>0</v>
          </cell>
          <cell r="M255">
            <v>0</v>
          </cell>
          <cell r="P255">
            <v>75545.279999999999</v>
          </cell>
          <cell r="Q255" t="str">
            <v>Tallied</v>
          </cell>
        </row>
        <row r="256">
          <cell r="B256">
            <v>46149</v>
          </cell>
          <cell r="K256">
            <v>0</v>
          </cell>
          <cell r="M256">
            <v>0</v>
          </cell>
          <cell r="P256">
            <v>37236.01</v>
          </cell>
          <cell r="Q256" t="str">
            <v>Tallied</v>
          </cell>
        </row>
        <row r="257">
          <cell r="B257">
            <v>46149</v>
          </cell>
          <cell r="K257">
            <v>0</v>
          </cell>
          <cell r="M257">
            <v>0</v>
          </cell>
          <cell r="P257">
            <v>100050.28</v>
          </cell>
          <cell r="Q257" t="str">
            <v>Tallied</v>
          </cell>
        </row>
        <row r="258">
          <cell r="B258">
            <v>46149</v>
          </cell>
          <cell r="K258">
            <v>0</v>
          </cell>
          <cell r="M258">
            <v>0</v>
          </cell>
          <cell r="P258">
            <v>168100852.79999995</v>
          </cell>
          <cell r="Q258" t="str">
            <v>Tallied</v>
          </cell>
        </row>
        <row r="259">
          <cell r="B259">
            <v>46149</v>
          </cell>
          <cell r="K259">
            <v>0</v>
          </cell>
          <cell r="M259">
            <v>0</v>
          </cell>
          <cell r="P259">
            <v>65694.48</v>
          </cell>
          <cell r="Q259" t="str">
            <v>Tallied</v>
          </cell>
        </row>
        <row r="260">
          <cell r="B260">
            <v>46149</v>
          </cell>
          <cell r="K260">
            <v>0</v>
          </cell>
          <cell r="M260">
            <v>0</v>
          </cell>
          <cell r="P260">
            <v>215048.06</v>
          </cell>
          <cell r="Q260" t="str">
            <v>Tallied</v>
          </cell>
        </row>
        <row r="261">
          <cell r="B261">
            <v>46149</v>
          </cell>
          <cell r="K261">
            <v>0</v>
          </cell>
          <cell r="M261">
            <v>0</v>
          </cell>
          <cell r="P261">
            <v>39217.15</v>
          </cell>
          <cell r="Q261" t="str">
            <v>Tallied</v>
          </cell>
        </row>
        <row r="262">
          <cell r="B262">
            <v>46150</v>
          </cell>
          <cell r="K262">
            <v>0</v>
          </cell>
          <cell r="M262">
            <v>0</v>
          </cell>
          <cell r="P262">
            <v>220801.06</v>
          </cell>
          <cell r="Q262" t="str">
            <v>Tallied</v>
          </cell>
        </row>
        <row r="263">
          <cell r="B263">
            <v>46150</v>
          </cell>
          <cell r="K263">
            <v>0</v>
          </cell>
          <cell r="M263">
            <v>0</v>
          </cell>
          <cell r="P263">
            <v>4542.18</v>
          </cell>
          <cell r="Q263" t="str">
            <v>Tallied</v>
          </cell>
        </row>
        <row r="264">
          <cell r="B264">
            <v>46150</v>
          </cell>
          <cell r="K264">
            <v>0</v>
          </cell>
          <cell r="M264">
            <v>0</v>
          </cell>
          <cell r="P264">
            <v>31328.78</v>
          </cell>
          <cell r="Q264" t="str">
            <v>Tallied</v>
          </cell>
        </row>
        <row r="265">
          <cell r="B265">
            <v>46150</v>
          </cell>
          <cell r="K265">
            <v>0</v>
          </cell>
          <cell r="M265">
            <v>0</v>
          </cell>
          <cell r="P265">
            <v>284200</v>
          </cell>
          <cell r="Q265" t="str">
            <v>Tallied</v>
          </cell>
        </row>
        <row r="266">
          <cell r="B266">
            <v>46150</v>
          </cell>
          <cell r="K266">
            <v>0</v>
          </cell>
          <cell r="M266">
            <v>0</v>
          </cell>
          <cell r="P266">
            <v>183352.95999999999</v>
          </cell>
          <cell r="Q266" t="str">
            <v>Tallied</v>
          </cell>
        </row>
        <row r="267">
          <cell r="B267">
            <v>46150</v>
          </cell>
          <cell r="K267">
            <v>0</v>
          </cell>
          <cell r="M267">
            <v>0</v>
          </cell>
          <cell r="P267">
            <v>78880.62</v>
          </cell>
          <cell r="Q267" t="str">
            <v>Tallied</v>
          </cell>
        </row>
        <row r="268">
          <cell r="B268">
            <v>46150</v>
          </cell>
          <cell r="K268">
            <v>0</v>
          </cell>
          <cell r="M268">
            <v>0</v>
          </cell>
          <cell r="P268">
            <v>1184386.48</v>
          </cell>
          <cell r="Q268" t="str">
            <v>Tallied</v>
          </cell>
        </row>
        <row r="269">
          <cell r="B269">
            <v>46150</v>
          </cell>
          <cell r="K269">
            <v>0</v>
          </cell>
          <cell r="M269">
            <v>0</v>
          </cell>
          <cell r="P269">
            <v>780639.82</v>
          </cell>
          <cell r="Q269" t="str">
            <v>Tallied</v>
          </cell>
        </row>
        <row r="270">
          <cell r="B270">
            <v>46150</v>
          </cell>
          <cell r="K270">
            <v>0</v>
          </cell>
          <cell r="M270">
            <v>0</v>
          </cell>
          <cell r="P270">
            <v>11342.11</v>
          </cell>
          <cell r="Q270" t="str">
            <v>Tallied</v>
          </cell>
        </row>
        <row r="271">
          <cell r="B271">
            <v>46150</v>
          </cell>
          <cell r="K271">
            <v>0</v>
          </cell>
          <cell r="M271">
            <v>0</v>
          </cell>
          <cell r="P271">
            <v>3831.12</v>
          </cell>
          <cell r="Q271" t="str">
            <v>Tallied</v>
          </cell>
        </row>
        <row r="272">
          <cell r="B272">
            <v>46150</v>
          </cell>
          <cell r="K272">
            <v>0</v>
          </cell>
          <cell r="M272">
            <v>0</v>
          </cell>
          <cell r="P272">
            <v>33426672.639999989</v>
          </cell>
          <cell r="Q272" t="str">
            <v>Tallied</v>
          </cell>
        </row>
        <row r="273">
          <cell r="B273">
            <v>46150</v>
          </cell>
          <cell r="K273">
            <v>0</v>
          </cell>
          <cell r="M273">
            <v>0</v>
          </cell>
          <cell r="P273">
            <v>14483.76</v>
          </cell>
          <cell r="Q273" t="str">
            <v>Tallied</v>
          </cell>
        </row>
        <row r="274">
          <cell r="B274">
            <v>46150</v>
          </cell>
          <cell r="K274">
            <v>0</v>
          </cell>
          <cell r="M274">
            <v>0</v>
          </cell>
          <cell r="P274">
            <v>939931.60000000009</v>
          </cell>
          <cell r="Q274" t="str">
            <v>Tallied</v>
          </cell>
        </row>
        <row r="275">
          <cell r="B275">
            <v>46150</v>
          </cell>
          <cell r="K275">
            <v>0</v>
          </cell>
          <cell r="M275">
            <v>0</v>
          </cell>
          <cell r="P275">
            <v>4433209.62</v>
          </cell>
          <cell r="Q275" t="str">
            <v>Tallied</v>
          </cell>
        </row>
        <row r="276">
          <cell r="B276">
            <v>46150</v>
          </cell>
          <cell r="K276">
            <v>0</v>
          </cell>
          <cell r="M276">
            <v>0</v>
          </cell>
          <cell r="P276">
            <v>186878.29</v>
          </cell>
          <cell r="Q276" t="str">
            <v>Tallied</v>
          </cell>
        </row>
        <row r="277">
          <cell r="B277">
            <v>46150</v>
          </cell>
          <cell r="K277">
            <v>0</v>
          </cell>
          <cell r="M277">
            <v>0</v>
          </cell>
          <cell r="P277">
            <v>2675510.75</v>
          </cell>
          <cell r="Q277" t="str">
            <v>Tallied</v>
          </cell>
        </row>
        <row r="278">
          <cell r="B278">
            <v>46150</v>
          </cell>
          <cell r="K278">
            <v>0</v>
          </cell>
          <cell r="M278">
            <v>0</v>
          </cell>
          <cell r="P278">
            <v>9898866.9000000004</v>
          </cell>
          <cell r="Q278" t="str">
            <v>Tallied</v>
          </cell>
        </row>
        <row r="279">
          <cell r="B279">
            <v>46150</v>
          </cell>
          <cell r="K279">
            <v>0</v>
          </cell>
          <cell r="M279">
            <v>0</v>
          </cell>
          <cell r="P279">
            <v>44538.76</v>
          </cell>
          <cell r="Q279" t="str">
            <v>Tallied</v>
          </cell>
        </row>
        <row r="280">
          <cell r="B280">
            <v>46150</v>
          </cell>
          <cell r="K280">
            <v>0</v>
          </cell>
          <cell r="M280">
            <v>0</v>
          </cell>
          <cell r="P280">
            <v>247370.64</v>
          </cell>
          <cell r="Q280" t="str">
            <v>Tallied</v>
          </cell>
        </row>
        <row r="281">
          <cell r="B281">
            <v>46150</v>
          </cell>
          <cell r="K281">
            <v>0</v>
          </cell>
          <cell r="M281">
            <v>0</v>
          </cell>
          <cell r="P281">
            <v>14678.880000000001</v>
          </cell>
          <cell r="Q281" t="str">
            <v>Tallied</v>
          </cell>
        </row>
        <row r="282">
          <cell r="B282">
            <v>46150</v>
          </cell>
          <cell r="K282">
            <v>0</v>
          </cell>
          <cell r="M282">
            <v>0</v>
          </cell>
          <cell r="P282">
            <v>350335.88</v>
          </cell>
          <cell r="Q282" t="str">
            <v>Tallied</v>
          </cell>
        </row>
        <row r="283">
          <cell r="B283">
            <v>46150</v>
          </cell>
          <cell r="K283">
            <v>0</v>
          </cell>
          <cell r="M283">
            <v>0</v>
          </cell>
          <cell r="P283">
            <v>39242290.080000006</v>
          </cell>
          <cell r="Q283" t="str">
            <v>Tallied</v>
          </cell>
        </row>
        <row r="284">
          <cell r="B284">
            <v>46150</v>
          </cell>
          <cell r="K284">
            <v>0</v>
          </cell>
          <cell r="M284">
            <v>0</v>
          </cell>
          <cell r="P284">
            <v>32953.08</v>
          </cell>
          <cell r="Q284" t="str">
            <v>Tallied</v>
          </cell>
        </row>
        <row r="285">
          <cell r="B285">
            <v>46150</v>
          </cell>
          <cell r="K285">
            <v>0</v>
          </cell>
          <cell r="M285">
            <v>0</v>
          </cell>
          <cell r="P285">
            <v>3106908.48</v>
          </cell>
          <cell r="Q285" t="str">
            <v>Tallied</v>
          </cell>
        </row>
        <row r="286">
          <cell r="B286">
            <v>46150</v>
          </cell>
          <cell r="K286">
            <v>0</v>
          </cell>
          <cell r="M286">
            <v>0</v>
          </cell>
          <cell r="P286">
            <v>168687.57</v>
          </cell>
          <cell r="Q286" t="str">
            <v>Tallied</v>
          </cell>
        </row>
        <row r="287">
          <cell r="B287">
            <v>46150</v>
          </cell>
          <cell r="K287">
            <v>0</v>
          </cell>
          <cell r="M287">
            <v>0</v>
          </cell>
          <cell r="P287">
            <v>173149.76</v>
          </cell>
          <cell r="Q287" t="str">
            <v>Tallied</v>
          </cell>
        </row>
        <row r="288">
          <cell r="B288">
            <v>46150</v>
          </cell>
          <cell r="K288">
            <v>0</v>
          </cell>
          <cell r="M288">
            <v>0</v>
          </cell>
          <cell r="P288">
            <v>47598.8</v>
          </cell>
          <cell r="Q288" t="str">
            <v>Tallied</v>
          </cell>
        </row>
        <row r="289">
          <cell r="B289">
            <v>46150</v>
          </cell>
          <cell r="K289">
            <v>0</v>
          </cell>
          <cell r="M289">
            <v>0</v>
          </cell>
          <cell r="P289">
            <v>353069.08</v>
          </cell>
          <cell r="Q289" t="str">
            <v>Tallied</v>
          </cell>
        </row>
        <row r="290">
          <cell r="B290">
            <v>46150</v>
          </cell>
          <cell r="K290">
            <v>0</v>
          </cell>
          <cell r="M290">
            <v>0</v>
          </cell>
          <cell r="P290">
            <v>134006.35999999999</v>
          </cell>
          <cell r="Q290" t="str">
            <v>Tallied</v>
          </cell>
        </row>
        <row r="291">
          <cell r="B291">
            <v>46150</v>
          </cell>
          <cell r="K291">
            <v>0</v>
          </cell>
          <cell r="M291">
            <v>0</v>
          </cell>
          <cell r="P291">
            <v>18340.93</v>
          </cell>
          <cell r="Q291" t="str">
            <v>Tallied</v>
          </cell>
        </row>
        <row r="292">
          <cell r="B292">
            <v>46150</v>
          </cell>
          <cell r="K292">
            <v>0</v>
          </cell>
          <cell r="M292">
            <v>0</v>
          </cell>
          <cell r="P292">
            <v>1566.44</v>
          </cell>
          <cell r="Q292" t="str">
            <v>Tallied</v>
          </cell>
        </row>
        <row r="293">
          <cell r="B293">
            <v>46150</v>
          </cell>
          <cell r="K293">
            <v>0</v>
          </cell>
          <cell r="M293">
            <v>0</v>
          </cell>
          <cell r="P293">
            <v>571449.31999999995</v>
          </cell>
          <cell r="Q293" t="str">
            <v>Tallied</v>
          </cell>
        </row>
        <row r="294">
          <cell r="B294">
            <v>46150</v>
          </cell>
          <cell r="K294">
            <v>0</v>
          </cell>
          <cell r="M294">
            <v>0</v>
          </cell>
          <cell r="P294">
            <v>111910.5</v>
          </cell>
          <cell r="Q294" t="str">
            <v>Tallied</v>
          </cell>
        </row>
        <row r="295">
          <cell r="B295">
            <v>46150</v>
          </cell>
          <cell r="K295">
            <v>0</v>
          </cell>
          <cell r="M295">
            <v>0</v>
          </cell>
          <cell r="P295">
            <v>4689.6899999999996</v>
          </cell>
          <cell r="Q295" t="str">
            <v>Tallied</v>
          </cell>
        </row>
        <row r="296">
          <cell r="B296">
            <v>46150</v>
          </cell>
          <cell r="K296">
            <v>0</v>
          </cell>
          <cell r="M296">
            <v>0</v>
          </cell>
          <cell r="P296">
            <v>198365.3</v>
          </cell>
          <cell r="Q296" t="str">
            <v>Tallied</v>
          </cell>
        </row>
        <row r="297">
          <cell r="B297">
            <v>46150</v>
          </cell>
          <cell r="K297">
            <v>0</v>
          </cell>
          <cell r="M297">
            <v>0</v>
          </cell>
          <cell r="P297">
            <v>914432.2</v>
          </cell>
          <cell r="Q297" t="str">
            <v>Tallied</v>
          </cell>
        </row>
        <row r="298">
          <cell r="B298">
            <v>46150</v>
          </cell>
          <cell r="K298">
            <v>0</v>
          </cell>
          <cell r="M298">
            <v>0</v>
          </cell>
          <cell r="P298">
            <v>8424303</v>
          </cell>
          <cell r="Q298" t="str">
            <v>Tallied</v>
          </cell>
        </row>
        <row r="299">
          <cell r="B299">
            <v>46150</v>
          </cell>
          <cell r="K299">
            <v>0</v>
          </cell>
          <cell r="M299">
            <v>0</v>
          </cell>
          <cell r="P299">
            <v>2272233.2600000002</v>
          </cell>
          <cell r="Q299" t="str">
            <v>Tallied</v>
          </cell>
        </row>
        <row r="300">
          <cell r="B300">
            <v>46150</v>
          </cell>
          <cell r="K300">
            <v>0</v>
          </cell>
          <cell r="M300">
            <v>0</v>
          </cell>
          <cell r="P300">
            <v>3722751</v>
          </cell>
          <cell r="Q300" t="str">
            <v>Tallied</v>
          </cell>
        </row>
        <row r="301">
          <cell r="B301">
            <v>46150</v>
          </cell>
          <cell r="K301">
            <v>0</v>
          </cell>
          <cell r="M301">
            <v>0</v>
          </cell>
          <cell r="P301">
            <v>7549.44</v>
          </cell>
          <cell r="Q301" t="str">
            <v>Tallied</v>
          </cell>
        </row>
        <row r="302">
          <cell r="B302">
            <v>46150</v>
          </cell>
          <cell r="K302">
            <v>0</v>
          </cell>
          <cell r="M302">
            <v>0</v>
          </cell>
          <cell r="P302">
            <v>144125.36000000002</v>
          </cell>
          <cell r="Q302" t="str">
            <v>Tallied</v>
          </cell>
        </row>
        <row r="303">
          <cell r="B303">
            <v>46150</v>
          </cell>
          <cell r="K303">
            <v>0</v>
          </cell>
          <cell r="M303">
            <v>0</v>
          </cell>
          <cell r="P303">
            <v>889706.76</v>
          </cell>
          <cell r="Q303" t="str">
            <v>Tallied</v>
          </cell>
        </row>
        <row r="304">
          <cell r="B304">
            <v>46150</v>
          </cell>
          <cell r="K304">
            <v>0</v>
          </cell>
          <cell r="M304">
            <v>0</v>
          </cell>
          <cell r="P304">
            <v>205189.11</v>
          </cell>
          <cell r="Q304" t="str">
            <v>Tallied</v>
          </cell>
        </row>
        <row r="305">
          <cell r="B305">
            <v>46150</v>
          </cell>
          <cell r="K305">
            <v>0</v>
          </cell>
          <cell r="M305">
            <v>0</v>
          </cell>
          <cell r="P305">
            <v>26861.309999999998</v>
          </cell>
          <cell r="Q305" t="str">
            <v>Tallied</v>
          </cell>
        </row>
        <row r="306">
          <cell r="B306">
            <v>46150</v>
          </cell>
          <cell r="K306">
            <v>0</v>
          </cell>
          <cell r="M306">
            <v>0</v>
          </cell>
          <cell r="P306">
            <v>1317551.1299999999</v>
          </cell>
          <cell r="Q306" t="str">
            <v>Tallied</v>
          </cell>
        </row>
        <row r="307">
          <cell r="B307">
            <v>46150</v>
          </cell>
          <cell r="K307">
            <v>0</v>
          </cell>
          <cell r="M307">
            <v>0</v>
          </cell>
          <cell r="P307">
            <v>247763.94999999998</v>
          </cell>
          <cell r="Q307" t="str">
            <v>Tallied</v>
          </cell>
        </row>
        <row r="308">
          <cell r="B308">
            <v>46150</v>
          </cell>
          <cell r="K308">
            <v>0</v>
          </cell>
          <cell r="M308">
            <v>0</v>
          </cell>
          <cell r="P308">
            <v>2878.82</v>
          </cell>
          <cell r="Q308" t="str">
            <v>Tallied</v>
          </cell>
        </row>
        <row r="309">
          <cell r="B309">
            <v>46150</v>
          </cell>
          <cell r="K309">
            <v>0</v>
          </cell>
          <cell r="M309">
            <v>0</v>
          </cell>
          <cell r="P309">
            <v>2576662.4</v>
          </cell>
          <cell r="Q309" t="str">
            <v>Tallied</v>
          </cell>
        </row>
        <row r="310">
          <cell r="B310">
            <v>46150</v>
          </cell>
          <cell r="K310">
            <v>0</v>
          </cell>
          <cell r="M310">
            <v>0</v>
          </cell>
          <cell r="P310">
            <v>5546.8</v>
          </cell>
          <cell r="Q310" t="str">
            <v>Tallied</v>
          </cell>
        </row>
        <row r="311">
          <cell r="B311">
            <v>46150</v>
          </cell>
          <cell r="K311">
            <v>0</v>
          </cell>
          <cell r="M311">
            <v>0</v>
          </cell>
          <cell r="P311">
            <v>1524380.94</v>
          </cell>
          <cell r="Q311" t="str">
            <v>Tallied</v>
          </cell>
        </row>
        <row r="312">
          <cell r="B312">
            <v>46150</v>
          </cell>
          <cell r="K312">
            <v>0</v>
          </cell>
          <cell r="M312">
            <v>0</v>
          </cell>
          <cell r="P312">
            <v>184627.59999999998</v>
          </cell>
          <cell r="Q312" t="str">
            <v>Tallied</v>
          </cell>
        </row>
        <row r="313">
          <cell r="B313">
            <v>46150</v>
          </cell>
          <cell r="K313">
            <v>0</v>
          </cell>
          <cell r="M313">
            <v>0</v>
          </cell>
          <cell r="P313">
            <v>1545859</v>
          </cell>
          <cell r="Q313" t="str">
            <v>Tallied</v>
          </cell>
        </row>
        <row r="314">
          <cell r="B314">
            <v>46151</v>
          </cell>
          <cell r="K314">
            <v>0</v>
          </cell>
          <cell r="M314">
            <v>0</v>
          </cell>
          <cell r="P314">
            <v>132727.65</v>
          </cell>
          <cell r="Q314" t="str">
            <v>Tallied</v>
          </cell>
        </row>
        <row r="315">
          <cell r="B315">
            <v>46151</v>
          </cell>
          <cell r="K315">
            <v>0</v>
          </cell>
          <cell r="M315">
            <v>0</v>
          </cell>
          <cell r="P315">
            <v>156913.20000000001</v>
          </cell>
          <cell r="Q315" t="str">
            <v>Tallied</v>
          </cell>
        </row>
        <row r="316">
          <cell r="B316">
            <v>46151</v>
          </cell>
          <cell r="K316">
            <v>0</v>
          </cell>
          <cell r="M316">
            <v>0</v>
          </cell>
          <cell r="P316">
            <v>5883.45</v>
          </cell>
          <cell r="Q316" t="str">
            <v>Tallied</v>
          </cell>
        </row>
        <row r="317">
          <cell r="B317">
            <v>46151</v>
          </cell>
          <cell r="K317">
            <v>0</v>
          </cell>
          <cell r="M317">
            <v>0</v>
          </cell>
          <cell r="P317">
            <v>44308.38</v>
          </cell>
          <cell r="Q317" t="str">
            <v>Tallied</v>
          </cell>
        </row>
        <row r="318">
          <cell r="B318">
            <v>46151</v>
          </cell>
          <cell r="K318">
            <v>0</v>
          </cell>
          <cell r="M318">
            <v>0</v>
          </cell>
          <cell r="P318">
            <v>8729.4600000000009</v>
          </cell>
          <cell r="Q318" t="str">
            <v>Tallied</v>
          </cell>
        </row>
        <row r="319">
          <cell r="B319">
            <v>46151</v>
          </cell>
          <cell r="K319">
            <v>0</v>
          </cell>
          <cell r="M319">
            <v>0</v>
          </cell>
          <cell r="P319">
            <v>1368173.4000000001</v>
          </cell>
          <cell r="Q319" t="str">
            <v>Tallied</v>
          </cell>
        </row>
        <row r="320">
          <cell r="B320">
            <v>46151</v>
          </cell>
          <cell r="K320">
            <v>0</v>
          </cell>
          <cell r="M320">
            <v>0</v>
          </cell>
          <cell r="P320">
            <v>1428707.84</v>
          </cell>
          <cell r="Q320" t="str">
            <v>Tallied</v>
          </cell>
        </row>
        <row r="321">
          <cell r="B321">
            <v>46151</v>
          </cell>
          <cell r="K321">
            <v>0</v>
          </cell>
          <cell r="M321">
            <v>0</v>
          </cell>
          <cell r="P321">
            <v>12488.88</v>
          </cell>
          <cell r="Q321" t="str">
            <v>Tallied</v>
          </cell>
        </row>
        <row r="322">
          <cell r="B322">
            <v>46151</v>
          </cell>
          <cell r="K322">
            <v>0</v>
          </cell>
          <cell r="M322">
            <v>0</v>
          </cell>
          <cell r="P322">
            <v>35471327.760000005</v>
          </cell>
          <cell r="Q322" t="str">
            <v>Tallied</v>
          </cell>
        </row>
        <row r="323">
          <cell r="B323">
            <v>46151</v>
          </cell>
          <cell r="K323">
            <v>0</v>
          </cell>
          <cell r="M323">
            <v>0</v>
          </cell>
          <cell r="P323">
            <v>1867751.84</v>
          </cell>
          <cell r="Q323" t="str">
            <v>Tallied</v>
          </cell>
        </row>
        <row r="324">
          <cell r="B324">
            <v>46151</v>
          </cell>
          <cell r="K324">
            <v>0</v>
          </cell>
          <cell r="M324">
            <v>0</v>
          </cell>
          <cell r="P324">
            <v>14832452.880000003</v>
          </cell>
          <cell r="Q324" t="str">
            <v>Tallied</v>
          </cell>
        </row>
        <row r="325">
          <cell r="B325">
            <v>46151</v>
          </cell>
          <cell r="K325">
            <v>0</v>
          </cell>
          <cell r="M325">
            <v>0</v>
          </cell>
          <cell r="P325">
            <v>8663964.4000000004</v>
          </cell>
          <cell r="Q325" t="str">
            <v>Tallied</v>
          </cell>
        </row>
        <row r="326">
          <cell r="B326">
            <v>46151</v>
          </cell>
          <cell r="K326">
            <v>0</v>
          </cell>
          <cell r="M326">
            <v>0</v>
          </cell>
          <cell r="P326">
            <v>18762.52</v>
          </cell>
          <cell r="Q326" t="str">
            <v>Tallied</v>
          </cell>
        </row>
        <row r="327">
          <cell r="B327">
            <v>46151</v>
          </cell>
          <cell r="K327">
            <v>0</v>
          </cell>
          <cell r="M327">
            <v>0</v>
          </cell>
          <cell r="P327">
            <v>34939.85</v>
          </cell>
          <cell r="Q327" t="str">
            <v>Tallied</v>
          </cell>
        </row>
        <row r="328">
          <cell r="B328">
            <v>46151</v>
          </cell>
          <cell r="K328">
            <v>0</v>
          </cell>
          <cell r="M328">
            <v>0</v>
          </cell>
          <cell r="P328">
            <v>2608542.7200000002</v>
          </cell>
          <cell r="Q328" t="str">
            <v>Tallied</v>
          </cell>
        </row>
        <row r="329">
          <cell r="B329">
            <v>46151</v>
          </cell>
          <cell r="K329">
            <v>0</v>
          </cell>
          <cell r="M329">
            <v>0</v>
          </cell>
          <cell r="P329">
            <v>400014.72</v>
          </cell>
          <cell r="Q329" t="str">
            <v>Tallied</v>
          </cell>
        </row>
        <row r="330">
          <cell r="B330">
            <v>46151</v>
          </cell>
          <cell r="K330">
            <v>0</v>
          </cell>
          <cell r="M330">
            <v>0</v>
          </cell>
          <cell r="P330">
            <v>279676.80000000005</v>
          </cell>
          <cell r="Q330" t="str">
            <v>Tallied</v>
          </cell>
        </row>
        <row r="331">
          <cell r="B331">
            <v>46151</v>
          </cell>
          <cell r="K331">
            <v>0</v>
          </cell>
          <cell r="M331">
            <v>0</v>
          </cell>
          <cell r="P331">
            <v>15458.15</v>
          </cell>
          <cell r="Q331" t="str">
            <v>Tallied</v>
          </cell>
        </row>
        <row r="332">
          <cell r="B332">
            <v>46151</v>
          </cell>
          <cell r="K332">
            <v>0</v>
          </cell>
          <cell r="M332">
            <v>0</v>
          </cell>
          <cell r="P332">
            <v>4173466.45</v>
          </cell>
          <cell r="Q332" t="str">
            <v>Tallied</v>
          </cell>
        </row>
        <row r="333">
          <cell r="B333">
            <v>46151</v>
          </cell>
          <cell r="K333">
            <v>0</v>
          </cell>
          <cell r="M333">
            <v>0</v>
          </cell>
          <cell r="P333">
            <v>7180.4400000000005</v>
          </cell>
          <cell r="Q333" t="str">
            <v>Tallied</v>
          </cell>
        </row>
        <row r="334">
          <cell r="B334">
            <v>46151</v>
          </cell>
          <cell r="K334">
            <v>0</v>
          </cell>
          <cell r="M334">
            <v>0</v>
          </cell>
          <cell r="P334">
            <v>500995.60000000003</v>
          </cell>
          <cell r="Q334" t="str">
            <v>Tallied</v>
          </cell>
        </row>
        <row r="335">
          <cell r="B335">
            <v>46151</v>
          </cell>
          <cell r="K335">
            <v>0</v>
          </cell>
          <cell r="M335">
            <v>0</v>
          </cell>
          <cell r="P335">
            <v>1091815.2</v>
          </cell>
          <cell r="Q335" t="str">
            <v>Tallied</v>
          </cell>
        </row>
        <row r="336">
          <cell r="B336">
            <v>46151</v>
          </cell>
          <cell r="K336">
            <v>0</v>
          </cell>
          <cell r="M336">
            <v>0</v>
          </cell>
          <cell r="P336">
            <v>1914747.1199999999</v>
          </cell>
          <cell r="Q336" t="str">
            <v>Tallied</v>
          </cell>
        </row>
        <row r="337">
          <cell r="B337">
            <v>46151</v>
          </cell>
          <cell r="K337">
            <v>0</v>
          </cell>
          <cell r="M337">
            <v>0</v>
          </cell>
          <cell r="P337">
            <v>4559738.5600000024</v>
          </cell>
          <cell r="Q337" t="str">
            <v>Tallied</v>
          </cell>
        </row>
        <row r="338">
          <cell r="B338">
            <v>46151</v>
          </cell>
          <cell r="K338">
            <v>0</v>
          </cell>
          <cell r="M338">
            <v>0</v>
          </cell>
          <cell r="P338">
            <v>1154574.08</v>
          </cell>
          <cell r="Q338" t="str">
            <v>Tallied</v>
          </cell>
        </row>
        <row r="339">
          <cell r="B339">
            <v>46151</v>
          </cell>
          <cell r="K339">
            <v>0</v>
          </cell>
          <cell r="M339">
            <v>0</v>
          </cell>
          <cell r="P339">
            <v>19827241.060000006</v>
          </cell>
          <cell r="Q339" t="str">
            <v>Tallied</v>
          </cell>
        </row>
        <row r="340">
          <cell r="B340">
            <v>46151</v>
          </cell>
          <cell r="K340">
            <v>0</v>
          </cell>
          <cell r="M340">
            <v>0</v>
          </cell>
          <cell r="P340">
            <v>297904</v>
          </cell>
          <cell r="Q340" t="str">
            <v>Tallied</v>
          </cell>
        </row>
        <row r="341">
          <cell r="B341">
            <v>46151</v>
          </cell>
          <cell r="K341">
            <v>0</v>
          </cell>
          <cell r="M341">
            <v>0</v>
          </cell>
          <cell r="P341">
            <v>94632.959999999992</v>
          </cell>
          <cell r="Q341" t="str">
            <v>Tallied</v>
          </cell>
        </row>
        <row r="342">
          <cell r="B342">
            <v>46151</v>
          </cell>
          <cell r="K342">
            <v>0</v>
          </cell>
          <cell r="M342">
            <v>0</v>
          </cell>
          <cell r="P342">
            <v>103707.36000000002</v>
          </cell>
          <cell r="Q342" t="str">
            <v>Tallied</v>
          </cell>
        </row>
        <row r="343">
          <cell r="B343">
            <v>46151</v>
          </cell>
          <cell r="K343">
            <v>0</v>
          </cell>
          <cell r="M343">
            <v>0</v>
          </cell>
          <cell r="P343">
            <v>311362.91999999993</v>
          </cell>
          <cell r="Q343" t="str">
            <v>Tallied</v>
          </cell>
        </row>
        <row r="344">
          <cell r="B344">
            <v>46151</v>
          </cell>
          <cell r="K344">
            <v>0</v>
          </cell>
          <cell r="M344">
            <v>0</v>
          </cell>
          <cell r="P344">
            <v>418404.69</v>
          </cell>
          <cell r="Q344" t="str">
            <v>Tallied</v>
          </cell>
        </row>
        <row r="345">
          <cell r="B345">
            <v>46151</v>
          </cell>
          <cell r="K345">
            <v>0</v>
          </cell>
          <cell r="M345">
            <v>0</v>
          </cell>
          <cell r="P345">
            <v>2393282.88</v>
          </cell>
          <cell r="Q345" t="str">
            <v>Tallied</v>
          </cell>
        </row>
        <row r="346">
          <cell r="B346">
            <v>46151</v>
          </cell>
          <cell r="K346">
            <v>0</v>
          </cell>
          <cell r="M346">
            <v>0</v>
          </cell>
          <cell r="P346">
            <v>334414.19999999995</v>
          </cell>
          <cell r="Q346" t="str">
            <v>Tallied</v>
          </cell>
        </row>
        <row r="347">
          <cell r="B347">
            <v>46151</v>
          </cell>
          <cell r="K347">
            <v>0</v>
          </cell>
          <cell r="M347">
            <v>0</v>
          </cell>
          <cell r="P347">
            <v>769368.60000000009</v>
          </cell>
          <cell r="Q347" t="str">
            <v>Tallied</v>
          </cell>
        </row>
        <row r="348">
          <cell r="B348">
            <v>46151</v>
          </cell>
          <cell r="K348">
            <v>0</v>
          </cell>
          <cell r="M348">
            <v>0</v>
          </cell>
          <cell r="P348">
            <v>338340.19</v>
          </cell>
          <cell r="Q348" t="str">
            <v>Tallied</v>
          </cell>
        </row>
        <row r="349">
          <cell r="B349">
            <v>46151</v>
          </cell>
          <cell r="K349">
            <v>0</v>
          </cell>
          <cell r="M349">
            <v>0</v>
          </cell>
          <cell r="P349">
            <v>876470.7</v>
          </cell>
          <cell r="Q349" t="str">
            <v>Tallied</v>
          </cell>
        </row>
        <row r="350">
          <cell r="B350">
            <v>46151</v>
          </cell>
          <cell r="K350">
            <v>0</v>
          </cell>
          <cell r="M350">
            <v>0</v>
          </cell>
          <cell r="P350">
            <v>360.03</v>
          </cell>
          <cell r="Q350" t="str">
            <v>Tallied</v>
          </cell>
        </row>
        <row r="351">
          <cell r="B351">
            <v>46151</v>
          </cell>
          <cell r="K351">
            <v>0</v>
          </cell>
          <cell r="M351">
            <v>0</v>
          </cell>
          <cell r="P351">
            <v>131696209.26000006</v>
          </cell>
          <cell r="Q351" t="str">
            <v>Tallied</v>
          </cell>
        </row>
        <row r="352">
          <cell r="B352">
            <v>46151</v>
          </cell>
          <cell r="K352">
            <v>0</v>
          </cell>
          <cell r="M352">
            <v>0</v>
          </cell>
          <cell r="P352">
            <v>3146504.64</v>
          </cell>
          <cell r="Q352" t="str">
            <v>Tallied</v>
          </cell>
        </row>
        <row r="353">
          <cell r="B353">
            <v>46151</v>
          </cell>
          <cell r="K353">
            <v>0</v>
          </cell>
          <cell r="M353">
            <v>0</v>
          </cell>
          <cell r="P353">
            <v>505298.52</v>
          </cell>
          <cell r="Q353" t="str">
            <v>Tallied</v>
          </cell>
        </row>
        <row r="354">
          <cell r="B354">
            <v>46151</v>
          </cell>
          <cell r="K354">
            <v>0</v>
          </cell>
          <cell r="M354">
            <v>0</v>
          </cell>
          <cell r="P354">
            <v>22065.599999999999</v>
          </cell>
          <cell r="Q354" t="str">
            <v>Tallied</v>
          </cell>
        </row>
        <row r="355">
          <cell r="B355">
            <v>46151</v>
          </cell>
          <cell r="K355">
            <v>0</v>
          </cell>
          <cell r="M355">
            <v>0</v>
          </cell>
          <cell r="P355">
            <v>2134969.1999999997</v>
          </cell>
          <cell r="Q355" t="str">
            <v>Tallied</v>
          </cell>
        </row>
        <row r="356">
          <cell r="B356">
            <v>46151</v>
          </cell>
          <cell r="K356">
            <v>0</v>
          </cell>
          <cell r="M356">
            <v>0</v>
          </cell>
          <cell r="P356">
            <v>1163547</v>
          </cell>
          <cell r="Q356" t="str">
            <v>Tallied</v>
          </cell>
        </row>
        <row r="357">
          <cell r="B357">
            <v>46151</v>
          </cell>
          <cell r="K357">
            <v>0</v>
          </cell>
          <cell r="M357">
            <v>0</v>
          </cell>
          <cell r="P357">
            <v>18594859.200000007</v>
          </cell>
          <cell r="Q357" t="str">
            <v>Tallied</v>
          </cell>
        </row>
        <row r="358">
          <cell r="B358">
            <v>46151</v>
          </cell>
          <cell r="K358">
            <v>0</v>
          </cell>
          <cell r="M358">
            <v>0</v>
          </cell>
          <cell r="P358">
            <v>1771.44</v>
          </cell>
          <cell r="Q358" t="str">
            <v>Tallied</v>
          </cell>
        </row>
        <row r="359">
          <cell r="B359">
            <v>46151</v>
          </cell>
          <cell r="K359">
            <v>0</v>
          </cell>
          <cell r="M359">
            <v>0</v>
          </cell>
          <cell r="P359">
            <v>11453270.400000002</v>
          </cell>
          <cell r="Q359" t="str">
            <v>Tallied</v>
          </cell>
        </row>
        <row r="360">
          <cell r="B360">
            <v>46151</v>
          </cell>
          <cell r="K360">
            <v>0</v>
          </cell>
          <cell r="M360">
            <v>0</v>
          </cell>
          <cell r="P360">
            <v>2356653.5999999996</v>
          </cell>
          <cell r="Q360" t="str">
            <v>Tallied</v>
          </cell>
        </row>
        <row r="361">
          <cell r="B361">
            <v>46151</v>
          </cell>
          <cell r="K361">
            <v>0</v>
          </cell>
          <cell r="M361">
            <v>0</v>
          </cell>
          <cell r="P361">
            <v>67265.400000000009</v>
          </cell>
          <cell r="Q361" t="str">
            <v>Tallied</v>
          </cell>
        </row>
        <row r="362">
          <cell r="B362">
            <v>46151</v>
          </cell>
          <cell r="K362">
            <v>0</v>
          </cell>
          <cell r="M362">
            <v>0</v>
          </cell>
          <cell r="P362">
            <v>1075735.8</v>
          </cell>
          <cell r="Q362" t="str">
            <v>Tallied</v>
          </cell>
        </row>
        <row r="363">
          <cell r="B363">
            <v>46151</v>
          </cell>
          <cell r="K363">
            <v>0</v>
          </cell>
          <cell r="M363">
            <v>0</v>
          </cell>
          <cell r="P363">
            <v>2513178.7200000002</v>
          </cell>
          <cell r="Q363" t="str">
            <v>Tallied</v>
          </cell>
        </row>
        <row r="364">
          <cell r="B364">
            <v>46151</v>
          </cell>
          <cell r="K364">
            <v>0</v>
          </cell>
          <cell r="M364">
            <v>0</v>
          </cell>
          <cell r="P364">
            <v>589271.76</v>
          </cell>
          <cell r="Q364" t="str">
            <v>Tallied</v>
          </cell>
        </row>
        <row r="365">
          <cell r="B365">
            <v>46151</v>
          </cell>
          <cell r="K365">
            <v>0</v>
          </cell>
          <cell r="M365">
            <v>0</v>
          </cell>
          <cell r="P365">
            <v>59036.04</v>
          </cell>
          <cell r="Q365" t="str">
            <v>Tallied</v>
          </cell>
        </row>
        <row r="366">
          <cell r="B366">
            <v>46151</v>
          </cell>
          <cell r="K366">
            <v>0</v>
          </cell>
          <cell r="M366">
            <v>0</v>
          </cell>
          <cell r="P366">
            <v>184733.03999999998</v>
          </cell>
          <cell r="Q366" t="str">
            <v>Tallied</v>
          </cell>
        </row>
        <row r="367">
          <cell r="B367">
            <v>46153</v>
          </cell>
          <cell r="K367">
            <v>0</v>
          </cell>
          <cell r="M367">
            <v>0</v>
          </cell>
          <cell r="P367">
            <v>5343978.24</v>
          </cell>
          <cell r="Q367" t="str">
            <v>Tallied</v>
          </cell>
        </row>
        <row r="368">
          <cell r="B368">
            <v>46153</v>
          </cell>
          <cell r="K368">
            <v>0</v>
          </cell>
          <cell r="M368">
            <v>0</v>
          </cell>
          <cell r="P368">
            <v>206659.20000000001</v>
          </cell>
          <cell r="Q368" t="str">
            <v>Tallied</v>
          </cell>
        </row>
        <row r="369">
          <cell r="B369">
            <v>46153</v>
          </cell>
          <cell r="K369">
            <v>0</v>
          </cell>
          <cell r="M369">
            <v>0</v>
          </cell>
          <cell r="P369">
            <v>2706011.28</v>
          </cell>
          <cell r="Q369" t="str">
            <v>Tallied</v>
          </cell>
        </row>
        <row r="370">
          <cell r="B370">
            <v>46153</v>
          </cell>
          <cell r="K370">
            <v>0</v>
          </cell>
          <cell r="M370">
            <v>0</v>
          </cell>
          <cell r="P370">
            <v>77495.039999999994</v>
          </cell>
          <cell r="Q370" t="str">
            <v>Tallied</v>
          </cell>
        </row>
        <row r="371">
          <cell r="B371">
            <v>46153</v>
          </cell>
          <cell r="K371">
            <v>0</v>
          </cell>
          <cell r="M371">
            <v>0</v>
          </cell>
          <cell r="P371">
            <v>628095.6</v>
          </cell>
          <cell r="Q371" t="str">
            <v>Tallied</v>
          </cell>
        </row>
        <row r="372">
          <cell r="B372">
            <v>46153</v>
          </cell>
          <cell r="K372">
            <v>0</v>
          </cell>
          <cell r="M372">
            <v>0</v>
          </cell>
          <cell r="P372">
            <v>819065.52</v>
          </cell>
          <cell r="Q372" t="str">
            <v>Tallied</v>
          </cell>
        </row>
        <row r="373">
          <cell r="B373">
            <v>46153</v>
          </cell>
          <cell r="K373">
            <v>0</v>
          </cell>
          <cell r="M373">
            <v>0</v>
          </cell>
          <cell r="P373">
            <v>7093390.9200000009</v>
          </cell>
          <cell r="Q373" t="str">
            <v>Tallied</v>
          </cell>
        </row>
        <row r="374">
          <cell r="B374">
            <v>46153</v>
          </cell>
          <cell r="K374">
            <v>0</v>
          </cell>
          <cell r="M374">
            <v>0</v>
          </cell>
          <cell r="P374">
            <v>3183390.7200000002</v>
          </cell>
          <cell r="Q374" t="str">
            <v>Tallied</v>
          </cell>
        </row>
        <row r="375">
          <cell r="B375">
            <v>46153</v>
          </cell>
          <cell r="K375">
            <v>0</v>
          </cell>
          <cell r="M375">
            <v>0</v>
          </cell>
          <cell r="P375">
            <v>137891.51999999999</v>
          </cell>
          <cell r="Q375" t="str">
            <v>Tallied</v>
          </cell>
        </row>
        <row r="376">
          <cell r="B376">
            <v>46153</v>
          </cell>
          <cell r="K376">
            <v>0</v>
          </cell>
          <cell r="M376">
            <v>0</v>
          </cell>
          <cell r="P376">
            <v>1814172.36</v>
          </cell>
          <cell r="Q376" t="str">
            <v>Tallied</v>
          </cell>
        </row>
        <row r="377">
          <cell r="B377">
            <v>46153</v>
          </cell>
          <cell r="K377">
            <v>0</v>
          </cell>
          <cell r="M377">
            <v>0</v>
          </cell>
          <cell r="P377">
            <v>1099148.1599999999</v>
          </cell>
          <cell r="Q377" t="str">
            <v>Tallied</v>
          </cell>
        </row>
        <row r="378">
          <cell r="B378">
            <v>46153</v>
          </cell>
          <cell r="K378">
            <v>0</v>
          </cell>
          <cell r="M378">
            <v>0</v>
          </cell>
          <cell r="P378">
            <v>3986295.5999999996</v>
          </cell>
          <cell r="Q378" t="str">
            <v>Tallied</v>
          </cell>
        </row>
        <row r="379">
          <cell r="B379">
            <v>46153</v>
          </cell>
          <cell r="K379">
            <v>0</v>
          </cell>
          <cell r="M379">
            <v>0</v>
          </cell>
          <cell r="P379">
            <v>1897289.9999999998</v>
          </cell>
          <cell r="Q379" t="str">
            <v>Tallied</v>
          </cell>
        </row>
        <row r="380">
          <cell r="B380">
            <v>46153</v>
          </cell>
          <cell r="K380">
            <v>0</v>
          </cell>
          <cell r="M380">
            <v>0</v>
          </cell>
          <cell r="P380">
            <v>101481.12</v>
          </cell>
          <cell r="Q380" t="str">
            <v>Tallied</v>
          </cell>
        </row>
        <row r="381">
          <cell r="B381">
            <v>46153</v>
          </cell>
          <cell r="K381">
            <v>0</v>
          </cell>
          <cell r="M381">
            <v>0</v>
          </cell>
          <cell r="P381">
            <v>13704.12</v>
          </cell>
          <cell r="Q381" t="str">
            <v>Tallied</v>
          </cell>
        </row>
        <row r="382">
          <cell r="B382">
            <v>46153</v>
          </cell>
          <cell r="K382">
            <v>0</v>
          </cell>
          <cell r="M382">
            <v>0</v>
          </cell>
          <cell r="P382">
            <v>14020.2</v>
          </cell>
          <cell r="Q382" t="str">
            <v>Tallied</v>
          </cell>
        </row>
        <row r="383">
          <cell r="B383">
            <v>46153</v>
          </cell>
          <cell r="K383">
            <v>0</v>
          </cell>
          <cell r="M383">
            <v>0</v>
          </cell>
          <cell r="P383">
            <v>229437.60000000003</v>
          </cell>
          <cell r="Q383" t="str">
            <v>Tallied</v>
          </cell>
        </row>
        <row r="384">
          <cell r="B384">
            <v>46153</v>
          </cell>
          <cell r="K384">
            <v>0</v>
          </cell>
          <cell r="M384">
            <v>0</v>
          </cell>
          <cell r="P384">
            <v>313313.28000000003</v>
          </cell>
          <cell r="Q384" t="str">
            <v>Tallied</v>
          </cell>
        </row>
        <row r="385">
          <cell r="B385">
            <v>46153</v>
          </cell>
          <cell r="K385">
            <v>0</v>
          </cell>
          <cell r="M385">
            <v>0</v>
          </cell>
          <cell r="P385">
            <v>908718.72</v>
          </cell>
          <cell r="Q385" t="str">
            <v>Tallied</v>
          </cell>
        </row>
        <row r="386">
          <cell r="B386">
            <v>46153</v>
          </cell>
          <cell r="K386">
            <v>0</v>
          </cell>
          <cell r="M386">
            <v>0</v>
          </cell>
          <cell r="P386">
            <v>299274.72000000003</v>
          </cell>
          <cell r="Q386" t="str">
            <v>Tallied</v>
          </cell>
        </row>
        <row r="387">
          <cell r="B387">
            <v>46153</v>
          </cell>
          <cell r="K387">
            <v>0</v>
          </cell>
          <cell r="M387">
            <v>0</v>
          </cell>
          <cell r="P387">
            <v>3526791.8400000012</v>
          </cell>
          <cell r="Q387" t="str">
            <v>Tallied</v>
          </cell>
        </row>
        <row r="388">
          <cell r="B388">
            <v>46153</v>
          </cell>
          <cell r="K388">
            <v>0</v>
          </cell>
          <cell r="M388">
            <v>0</v>
          </cell>
          <cell r="P388">
            <v>1547180.6400000001</v>
          </cell>
          <cell r="Q388" t="str">
            <v>Tallied</v>
          </cell>
        </row>
        <row r="389">
          <cell r="B389">
            <v>46153</v>
          </cell>
          <cell r="K389">
            <v>0</v>
          </cell>
          <cell r="M389">
            <v>0</v>
          </cell>
          <cell r="P389">
            <v>37791.599999999991</v>
          </cell>
          <cell r="Q389" t="str">
            <v>Tallied</v>
          </cell>
        </row>
        <row r="390">
          <cell r="B390">
            <v>46153</v>
          </cell>
          <cell r="K390">
            <v>0</v>
          </cell>
          <cell r="M390">
            <v>0</v>
          </cell>
          <cell r="P390">
            <v>113813.36</v>
          </cell>
          <cell r="Q390" t="str">
            <v>Tallied</v>
          </cell>
        </row>
        <row r="391">
          <cell r="B391">
            <v>46153</v>
          </cell>
          <cell r="K391">
            <v>0</v>
          </cell>
          <cell r="M391">
            <v>0</v>
          </cell>
          <cell r="P391">
            <v>356100.4</v>
          </cell>
          <cell r="Q391" t="str">
            <v>Tallied</v>
          </cell>
        </row>
        <row r="392">
          <cell r="B392">
            <v>46153</v>
          </cell>
          <cell r="K392">
            <v>0</v>
          </cell>
          <cell r="M392">
            <v>0</v>
          </cell>
          <cell r="P392">
            <v>1857320</v>
          </cell>
          <cell r="Q392" t="str">
            <v>Tallied</v>
          </cell>
        </row>
        <row r="393">
          <cell r="B393">
            <v>46153</v>
          </cell>
          <cell r="K393">
            <v>0</v>
          </cell>
          <cell r="M393">
            <v>0</v>
          </cell>
          <cell r="P393">
            <v>485775.00000000006</v>
          </cell>
          <cell r="Q393" t="str">
            <v>Tallied</v>
          </cell>
        </row>
        <row r="394">
          <cell r="B394">
            <v>46153</v>
          </cell>
          <cell r="K394">
            <v>0</v>
          </cell>
          <cell r="M394">
            <v>0</v>
          </cell>
          <cell r="P394">
            <v>2976510.96</v>
          </cell>
          <cell r="Q394" t="str">
            <v>Tallied</v>
          </cell>
        </row>
        <row r="395">
          <cell r="B395">
            <v>46153</v>
          </cell>
          <cell r="K395">
            <v>0</v>
          </cell>
          <cell r="M395">
            <v>0</v>
          </cell>
          <cell r="P395">
            <v>2611.56</v>
          </cell>
          <cell r="Q395" t="str">
            <v>Tallied</v>
          </cell>
        </row>
        <row r="396">
          <cell r="B396">
            <v>46153</v>
          </cell>
          <cell r="K396">
            <v>0</v>
          </cell>
          <cell r="M396">
            <v>0</v>
          </cell>
          <cell r="P396">
            <v>4631.91</v>
          </cell>
          <cell r="Q396" t="str">
            <v>Tallied</v>
          </cell>
        </row>
        <row r="397">
          <cell r="B397">
            <v>46153</v>
          </cell>
          <cell r="K397">
            <v>0</v>
          </cell>
          <cell r="M397">
            <v>0</v>
          </cell>
          <cell r="P397">
            <v>3570928.0500000003</v>
          </cell>
          <cell r="Q397" t="str">
            <v>Tallied</v>
          </cell>
        </row>
        <row r="398">
          <cell r="B398">
            <v>46153</v>
          </cell>
          <cell r="K398">
            <v>0</v>
          </cell>
          <cell r="M398">
            <v>0</v>
          </cell>
          <cell r="P398">
            <v>517604.89999999997</v>
          </cell>
          <cell r="Q398" t="str">
            <v>Tallied</v>
          </cell>
        </row>
        <row r="399">
          <cell r="B399">
            <v>46153</v>
          </cell>
          <cell r="K399">
            <v>0</v>
          </cell>
          <cell r="M399">
            <v>0</v>
          </cell>
          <cell r="P399">
            <v>4720.68</v>
          </cell>
          <cell r="Q399" t="str">
            <v>Tallied</v>
          </cell>
        </row>
        <row r="400">
          <cell r="B400">
            <v>46153</v>
          </cell>
          <cell r="K400">
            <v>0</v>
          </cell>
          <cell r="M400">
            <v>0</v>
          </cell>
          <cell r="P400">
            <v>16418.14</v>
          </cell>
          <cell r="Q400" t="str">
            <v>Tallied</v>
          </cell>
        </row>
        <row r="401">
          <cell r="B401">
            <v>46153</v>
          </cell>
          <cell r="K401">
            <v>0</v>
          </cell>
          <cell r="M401">
            <v>0</v>
          </cell>
          <cell r="P401">
            <v>18571.8</v>
          </cell>
          <cell r="Q401" t="str">
            <v>Tallied</v>
          </cell>
        </row>
        <row r="402">
          <cell r="B402">
            <v>46153</v>
          </cell>
          <cell r="K402">
            <v>0</v>
          </cell>
          <cell r="M402">
            <v>0</v>
          </cell>
          <cell r="P402">
            <v>45365.7</v>
          </cell>
          <cell r="Q402" t="str">
            <v>Tallied</v>
          </cell>
        </row>
        <row r="403">
          <cell r="B403">
            <v>46153</v>
          </cell>
          <cell r="K403">
            <v>0</v>
          </cell>
          <cell r="M403">
            <v>0</v>
          </cell>
          <cell r="P403">
            <v>82602.75</v>
          </cell>
          <cell r="Q403" t="str">
            <v>Tallied</v>
          </cell>
        </row>
        <row r="404">
          <cell r="B404">
            <v>46153</v>
          </cell>
          <cell r="K404">
            <v>0</v>
          </cell>
          <cell r="M404">
            <v>0</v>
          </cell>
          <cell r="P404">
            <v>452163.96</v>
          </cell>
          <cell r="Q404" t="str">
            <v>Tallied</v>
          </cell>
        </row>
        <row r="405">
          <cell r="B405">
            <v>46153</v>
          </cell>
          <cell r="K405">
            <v>0</v>
          </cell>
          <cell r="M405">
            <v>0</v>
          </cell>
          <cell r="P405">
            <v>4</v>
          </cell>
          <cell r="Q405" t="str">
            <v>Tallied</v>
          </cell>
        </row>
        <row r="406">
          <cell r="B406">
            <v>46153</v>
          </cell>
          <cell r="K406">
            <v>0</v>
          </cell>
          <cell r="M406">
            <v>0</v>
          </cell>
          <cell r="P406">
            <v>1</v>
          </cell>
          <cell r="Q406" t="str">
            <v>Tallied</v>
          </cell>
        </row>
        <row r="407">
          <cell r="B407">
            <v>46153</v>
          </cell>
          <cell r="K407">
            <v>0</v>
          </cell>
          <cell r="M407">
            <v>0</v>
          </cell>
          <cell r="P407">
            <v>3471951.5999999992</v>
          </cell>
          <cell r="Q407" t="str">
            <v>Tallied</v>
          </cell>
        </row>
        <row r="408">
          <cell r="B408">
            <v>46153</v>
          </cell>
          <cell r="K408">
            <v>0</v>
          </cell>
          <cell r="M408">
            <v>0</v>
          </cell>
          <cell r="P408">
            <v>1093326.1000000001</v>
          </cell>
          <cell r="Q408" t="str">
            <v>Tallied</v>
          </cell>
        </row>
        <row r="409">
          <cell r="B409">
            <v>46153</v>
          </cell>
          <cell r="K409">
            <v>0</v>
          </cell>
          <cell r="M409">
            <v>0</v>
          </cell>
          <cell r="P409">
            <v>1</v>
          </cell>
          <cell r="Q409" t="str">
            <v>Tallied</v>
          </cell>
        </row>
        <row r="410">
          <cell r="B410">
            <v>46153</v>
          </cell>
          <cell r="K410">
            <v>0</v>
          </cell>
          <cell r="M410">
            <v>0</v>
          </cell>
          <cell r="P410">
            <v>985223.19</v>
          </cell>
          <cell r="Q410" t="str">
            <v>Tallied</v>
          </cell>
        </row>
        <row r="411">
          <cell r="B411">
            <v>46153</v>
          </cell>
          <cell r="K411">
            <v>0</v>
          </cell>
          <cell r="M411">
            <v>0</v>
          </cell>
          <cell r="P411">
            <v>226124.76</v>
          </cell>
          <cell r="Q411" t="str">
            <v>Tallied</v>
          </cell>
        </row>
        <row r="412">
          <cell r="B412">
            <v>46153</v>
          </cell>
          <cell r="K412">
            <v>0</v>
          </cell>
          <cell r="M412">
            <v>0</v>
          </cell>
          <cell r="P412">
            <v>9561.66</v>
          </cell>
          <cell r="Q412" t="str">
            <v>Tallied</v>
          </cell>
        </row>
        <row r="413">
          <cell r="B413">
            <v>46153</v>
          </cell>
          <cell r="K413">
            <v>0</v>
          </cell>
          <cell r="M413">
            <v>0</v>
          </cell>
          <cell r="P413">
            <v>9840.25</v>
          </cell>
          <cell r="Q413" t="str">
            <v>Tallied</v>
          </cell>
        </row>
        <row r="414">
          <cell r="B414">
            <v>46153</v>
          </cell>
          <cell r="K414">
            <v>0</v>
          </cell>
          <cell r="M414">
            <v>0</v>
          </cell>
          <cell r="P414">
            <v>132560.88</v>
          </cell>
          <cell r="Q414" t="str">
            <v>Tallied</v>
          </cell>
        </row>
        <row r="415">
          <cell r="B415">
            <v>46153</v>
          </cell>
          <cell r="K415">
            <v>0</v>
          </cell>
          <cell r="M415">
            <v>0</v>
          </cell>
          <cell r="P415">
            <v>105059.64</v>
          </cell>
          <cell r="Q415" t="str">
            <v>Tallied</v>
          </cell>
        </row>
        <row r="416">
          <cell r="B416">
            <v>46153</v>
          </cell>
          <cell r="K416" t="str">
            <v>`</v>
          </cell>
          <cell r="M416">
            <v>0</v>
          </cell>
          <cell r="P416">
            <v>9895366.0800000001</v>
          </cell>
          <cell r="Q416" t="str">
            <v>Tallied</v>
          </cell>
        </row>
        <row r="417">
          <cell r="B417">
            <v>46153</v>
          </cell>
          <cell r="K417">
            <v>0</v>
          </cell>
          <cell r="M417">
            <v>0</v>
          </cell>
          <cell r="P417">
            <v>64344.61</v>
          </cell>
          <cell r="Q417" t="str">
            <v>Tallied</v>
          </cell>
        </row>
        <row r="418">
          <cell r="B418">
            <v>46153</v>
          </cell>
          <cell r="K418">
            <v>0</v>
          </cell>
          <cell r="M418">
            <v>0</v>
          </cell>
          <cell r="P418">
            <v>494230.19999999995</v>
          </cell>
          <cell r="Q418" t="str">
            <v>Tallied</v>
          </cell>
        </row>
        <row r="419">
          <cell r="B419">
            <v>46154</v>
          </cell>
          <cell r="K419">
            <v>0</v>
          </cell>
          <cell r="M419">
            <v>0</v>
          </cell>
          <cell r="P419">
            <v>3226373.22</v>
          </cell>
          <cell r="Q419" t="str">
            <v>Tallied</v>
          </cell>
        </row>
        <row r="420">
          <cell r="B420">
            <v>46154</v>
          </cell>
          <cell r="K420">
            <v>0</v>
          </cell>
          <cell r="M420">
            <v>0</v>
          </cell>
          <cell r="P420">
            <v>75373.47</v>
          </cell>
          <cell r="Q420" t="str">
            <v>Tallied</v>
          </cell>
        </row>
        <row r="421">
          <cell r="B421">
            <v>46154</v>
          </cell>
          <cell r="K421">
            <v>0</v>
          </cell>
          <cell r="M421">
            <v>0</v>
          </cell>
          <cell r="P421">
            <v>3179284.64</v>
          </cell>
          <cell r="Q421" t="str">
            <v>Tallied</v>
          </cell>
        </row>
        <row r="422">
          <cell r="B422">
            <v>46154</v>
          </cell>
          <cell r="K422">
            <v>0</v>
          </cell>
          <cell r="M422">
            <v>0</v>
          </cell>
          <cell r="P422">
            <v>69673.680000000008</v>
          </cell>
          <cell r="Q422" t="str">
            <v>Tallied</v>
          </cell>
        </row>
        <row r="423">
          <cell r="B423">
            <v>46154</v>
          </cell>
          <cell r="K423">
            <v>0</v>
          </cell>
          <cell r="M423">
            <v>0</v>
          </cell>
          <cell r="P423">
            <v>4579.8100000000004</v>
          </cell>
          <cell r="Q423" t="str">
            <v>Tallied</v>
          </cell>
        </row>
        <row r="424">
          <cell r="B424">
            <v>46154</v>
          </cell>
          <cell r="K424">
            <v>0</v>
          </cell>
          <cell r="M424">
            <v>0</v>
          </cell>
          <cell r="P424">
            <v>300558.59999999998</v>
          </cell>
          <cell r="Q424" t="str">
            <v>Tallied</v>
          </cell>
        </row>
        <row r="425">
          <cell r="B425">
            <v>46154</v>
          </cell>
          <cell r="K425">
            <v>0</v>
          </cell>
          <cell r="M425">
            <v>0</v>
          </cell>
          <cell r="P425">
            <v>2693569.76</v>
          </cell>
          <cell r="Q425" t="str">
            <v>Tallied</v>
          </cell>
        </row>
        <row r="426">
          <cell r="B426">
            <v>46154</v>
          </cell>
          <cell r="K426">
            <v>0</v>
          </cell>
          <cell r="M426">
            <v>0</v>
          </cell>
          <cell r="P426">
            <v>2337832.7999999998</v>
          </cell>
          <cell r="Q426" t="str">
            <v>Tallied</v>
          </cell>
        </row>
        <row r="427">
          <cell r="B427">
            <v>46154</v>
          </cell>
          <cell r="K427">
            <v>0</v>
          </cell>
          <cell r="M427">
            <v>0</v>
          </cell>
          <cell r="P427">
            <v>81053.38</v>
          </cell>
          <cell r="Q427" t="str">
            <v>Tallied</v>
          </cell>
        </row>
        <row r="428">
          <cell r="B428">
            <v>46154</v>
          </cell>
          <cell r="K428">
            <v>0</v>
          </cell>
          <cell r="M428">
            <v>0</v>
          </cell>
          <cell r="P428">
            <v>1826864.2</v>
          </cell>
          <cell r="Q428" t="str">
            <v>Tallied</v>
          </cell>
        </row>
        <row r="429">
          <cell r="B429">
            <v>46154</v>
          </cell>
          <cell r="K429">
            <v>0</v>
          </cell>
          <cell r="M429">
            <v>0</v>
          </cell>
          <cell r="P429">
            <v>107108.92</v>
          </cell>
          <cell r="Q429" t="str">
            <v>Tallied</v>
          </cell>
        </row>
        <row r="430">
          <cell r="B430">
            <v>46154</v>
          </cell>
          <cell r="K430">
            <v>0</v>
          </cell>
          <cell r="M430">
            <v>0</v>
          </cell>
          <cell r="P430">
            <v>300750.8</v>
          </cell>
          <cell r="Q430" t="str">
            <v>Tallied</v>
          </cell>
        </row>
        <row r="431">
          <cell r="B431">
            <v>46154</v>
          </cell>
          <cell r="K431">
            <v>0</v>
          </cell>
          <cell r="M431">
            <v>0</v>
          </cell>
          <cell r="P431">
            <v>870290.9600000002</v>
          </cell>
          <cell r="Q431" t="str">
            <v>Tallied</v>
          </cell>
        </row>
        <row r="432">
          <cell r="B432">
            <v>46154</v>
          </cell>
          <cell r="K432">
            <v>0</v>
          </cell>
          <cell r="M432">
            <v>0</v>
          </cell>
          <cell r="P432">
            <v>5943529.1199999992</v>
          </cell>
          <cell r="Q432" t="str">
            <v>Tallied</v>
          </cell>
        </row>
        <row r="433">
          <cell r="B433">
            <v>46154</v>
          </cell>
          <cell r="K433">
            <v>0</v>
          </cell>
          <cell r="M433">
            <v>0</v>
          </cell>
          <cell r="P433">
            <v>1662661</v>
          </cell>
          <cell r="Q433" t="str">
            <v>Tallied</v>
          </cell>
        </row>
        <row r="434">
          <cell r="B434">
            <v>46154</v>
          </cell>
          <cell r="K434">
            <v>0</v>
          </cell>
          <cell r="M434">
            <v>0</v>
          </cell>
          <cell r="P434">
            <v>294739.62</v>
          </cell>
          <cell r="Q434" t="str">
            <v>Tallied</v>
          </cell>
        </row>
        <row r="435">
          <cell r="B435">
            <v>46154</v>
          </cell>
          <cell r="K435">
            <v>0</v>
          </cell>
          <cell r="M435">
            <v>0</v>
          </cell>
          <cell r="P435">
            <v>75471</v>
          </cell>
          <cell r="Q435" t="str">
            <v>Tallied</v>
          </cell>
        </row>
        <row r="436">
          <cell r="B436">
            <v>46154</v>
          </cell>
          <cell r="K436">
            <v>0</v>
          </cell>
          <cell r="M436">
            <v>0</v>
          </cell>
          <cell r="P436">
            <v>9272.56</v>
          </cell>
          <cell r="Q436" t="str">
            <v>Tallied</v>
          </cell>
        </row>
        <row r="437">
          <cell r="B437">
            <v>46154</v>
          </cell>
          <cell r="K437">
            <v>0</v>
          </cell>
          <cell r="M437">
            <v>0</v>
          </cell>
          <cell r="P437">
            <v>130072.23</v>
          </cell>
          <cell r="Q437" t="str">
            <v>Tallied</v>
          </cell>
        </row>
        <row r="438">
          <cell r="B438">
            <v>46154</v>
          </cell>
          <cell r="K438">
            <v>0</v>
          </cell>
          <cell r="M438">
            <v>0</v>
          </cell>
          <cell r="P438">
            <v>24840</v>
          </cell>
          <cell r="Q438" t="str">
            <v>Tallied</v>
          </cell>
        </row>
        <row r="439">
          <cell r="B439">
            <v>46154</v>
          </cell>
          <cell r="K439">
            <v>0</v>
          </cell>
          <cell r="M439">
            <v>0</v>
          </cell>
          <cell r="P439">
            <v>19656</v>
          </cell>
          <cell r="Q439" t="str">
            <v>Tallied</v>
          </cell>
        </row>
        <row r="440">
          <cell r="B440">
            <v>46154</v>
          </cell>
          <cell r="K440">
            <v>0</v>
          </cell>
          <cell r="M440">
            <v>0</v>
          </cell>
          <cell r="P440">
            <v>16</v>
          </cell>
          <cell r="Q440" t="str">
            <v>Tallied</v>
          </cell>
        </row>
        <row r="441">
          <cell r="B441">
            <v>46154</v>
          </cell>
          <cell r="K441">
            <v>0</v>
          </cell>
          <cell r="M441">
            <v>0</v>
          </cell>
          <cell r="P441">
            <v>36153.18</v>
          </cell>
          <cell r="Q441" t="str">
            <v>Tallied</v>
          </cell>
        </row>
        <row r="442">
          <cell r="B442">
            <v>46154</v>
          </cell>
          <cell r="K442">
            <v>0</v>
          </cell>
          <cell r="M442">
            <v>0</v>
          </cell>
          <cell r="P442">
            <v>18634.3</v>
          </cell>
          <cell r="Q442" t="str">
            <v>Tallied</v>
          </cell>
        </row>
        <row r="443">
          <cell r="B443">
            <v>46154</v>
          </cell>
          <cell r="K443">
            <v>0</v>
          </cell>
          <cell r="M443">
            <v>0</v>
          </cell>
          <cell r="P443">
            <v>3715554.48</v>
          </cell>
          <cell r="Q443" t="str">
            <v>Tallied</v>
          </cell>
        </row>
        <row r="444">
          <cell r="B444">
            <v>46154</v>
          </cell>
          <cell r="K444">
            <v>0</v>
          </cell>
          <cell r="M444">
            <v>0</v>
          </cell>
          <cell r="P444">
            <v>6107342.7599999998</v>
          </cell>
          <cell r="Q444" t="str">
            <v>Tallied</v>
          </cell>
        </row>
        <row r="445">
          <cell r="B445">
            <v>46154</v>
          </cell>
          <cell r="K445">
            <v>0</v>
          </cell>
          <cell r="M445">
            <v>0</v>
          </cell>
          <cell r="P445">
            <v>2293260.2999999998</v>
          </cell>
          <cell r="Q445" t="str">
            <v>Tallied</v>
          </cell>
        </row>
        <row r="446">
          <cell r="B446">
            <v>46154</v>
          </cell>
          <cell r="K446">
            <v>0</v>
          </cell>
          <cell r="M446">
            <v>0</v>
          </cell>
          <cell r="P446">
            <v>13561.06</v>
          </cell>
          <cell r="Q446" t="str">
            <v>Tallied</v>
          </cell>
        </row>
        <row r="447">
          <cell r="B447">
            <v>46154</v>
          </cell>
          <cell r="K447">
            <v>0</v>
          </cell>
          <cell r="M447">
            <v>0</v>
          </cell>
          <cell r="P447">
            <v>59042.479999999996</v>
          </cell>
          <cell r="Q447" t="str">
            <v>Tallied</v>
          </cell>
        </row>
        <row r="448">
          <cell r="B448">
            <v>46154</v>
          </cell>
          <cell r="K448">
            <v>0</v>
          </cell>
          <cell r="M448">
            <v>0</v>
          </cell>
          <cell r="P448">
            <v>196046.7</v>
          </cell>
          <cell r="Q448" t="str">
            <v>Tallied</v>
          </cell>
        </row>
        <row r="449">
          <cell r="B449">
            <v>46154</v>
          </cell>
          <cell r="K449">
            <v>0</v>
          </cell>
          <cell r="M449">
            <v>0</v>
          </cell>
          <cell r="P449">
            <v>31702.16</v>
          </cell>
          <cell r="Q449" t="str">
            <v>Tallied</v>
          </cell>
        </row>
        <row r="450">
          <cell r="B450">
            <v>46154</v>
          </cell>
          <cell r="K450">
            <v>0</v>
          </cell>
          <cell r="M450">
            <v>0</v>
          </cell>
          <cell r="P450">
            <v>1237564.8</v>
          </cell>
          <cell r="Q450" t="str">
            <v>Tallied</v>
          </cell>
        </row>
        <row r="451">
          <cell r="B451">
            <v>46154</v>
          </cell>
          <cell r="K451">
            <v>0</v>
          </cell>
          <cell r="M451">
            <v>0</v>
          </cell>
          <cell r="P451">
            <v>714010.08000000007</v>
          </cell>
          <cell r="Q451" t="str">
            <v>Tallied</v>
          </cell>
        </row>
        <row r="452">
          <cell r="B452">
            <v>46154</v>
          </cell>
          <cell r="K452">
            <v>0</v>
          </cell>
          <cell r="M452">
            <v>0</v>
          </cell>
          <cell r="P452">
            <v>330138.8</v>
          </cell>
          <cell r="Q452" t="str">
            <v>Tallied</v>
          </cell>
        </row>
        <row r="453">
          <cell r="B453">
            <v>46154</v>
          </cell>
          <cell r="K453">
            <v>0</v>
          </cell>
          <cell r="M453">
            <v>0</v>
          </cell>
          <cell r="P453">
            <v>234217.2</v>
          </cell>
          <cell r="Q453" t="str">
            <v>Tallied</v>
          </cell>
        </row>
        <row r="454">
          <cell r="B454">
            <v>46154</v>
          </cell>
          <cell r="K454">
            <v>0</v>
          </cell>
          <cell r="M454">
            <v>0</v>
          </cell>
          <cell r="P454">
            <v>8843.7800000000007</v>
          </cell>
          <cell r="Q454" t="str">
            <v>Tallied</v>
          </cell>
        </row>
        <row r="455">
          <cell r="B455">
            <v>46154</v>
          </cell>
          <cell r="K455">
            <v>0</v>
          </cell>
          <cell r="M455">
            <v>0</v>
          </cell>
          <cell r="P455">
            <v>29712.239999999998</v>
          </cell>
          <cell r="Q455" t="str">
            <v>Tallied</v>
          </cell>
        </row>
        <row r="456">
          <cell r="B456">
            <v>46154</v>
          </cell>
          <cell r="K456">
            <v>0</v>
          </cell>
          <cell r="M456">
            <v>0</v>
          </cell>
          <cell r="P456">
            <v>49940.299999999996</v>
          </cell>
          <cell r="Q456" t="str">
            <v>Tallied</v>
          </cell>
        </row>
        <row r="457">
          <cell r="B457">
            <v>46154</v>
          </cell>
          <cell r="K457">
            <v>0</v>
          </cell>
          <cell r="M457">
            <v>0</v>
          </cell>
          <cell r="P457">
            <v>1401715.2</v>
          </cell>
          <cell r="Q457" t="str">
            <v>Tallied</v>
          </cell>
        </row>
        <row r="458">
          <cell r="B458">
            <v>46154</v>
          </cell>
          <cell r="K458">
            <v>0</v>
          </cell>
          <cell r="M458">
            <v>0</v>
          </cell>
          <cell r="P458">
            <v>1</v>
          </cell>
          <cell r="Q458" t="str">
            <v>Tallied</v>
          </cell>
        </row>
        <row r="459">
          <cell r="B459">
            <v>46154</v>
          </cell>
          <cell r="K459">
            <v>0</v>
          </cell>
          <cell r="M459">
            <v>0</v>
          </cell>
          <cell r="P459">
            <v>127349.59999999999</v>
          </cell>
          <cell r="Q459" t="str">
            <v>Tallied</v>
          </cell>
        </row>
        <row r="460">
          <cell r="B460">
            <v>46154</v>
          </cell>
          <cell r="K460">
            <v>0</v>
          </cell>
          <cell r="M460">
            <v>0</v>
          </cell>
          <cell r="P460">
            <v>4466.45</v>
          </cell>
          <cell r="Q460" t="str">
            <v>Tallied</v>
          </cell>
        </row>
        <row r="461">
          <cell r="B461">
            <v>46154</v>
          </cell>
          <cell r="K461">
            <v>0</v>
          </cell>
          <cell r="M461">
            <v>0</v>
          </cell>
          <cell r="P461">
            <v>3042496.68</v>
          </cell>
          <cell r="Q461" t="str">
            <v>Tallied</v>
          </cell>
        </row>
        <row r="462">
          <cell r="B462">
            <v>46154</v>
          </cell>
          <cell r="K462">
            <v>0</v>
          </cell>
          <cell r="M462">
            <v>0</v>
          </cell>
          <cell r="P462">
            <v>72815.200000000012</v>
          </cell>
          <cell r="Q462" t="str">
            <v>Tallied</v>
          </cell>
        </row>
        <row r="463">
          <cell r="B463">
            <v>46154</v>
          </cell>
          <cell r="K463">
            <v>0</v>
          </cell>
          <cell r="M463">
            <v>0</v>
          </cell>
          <cell r="P463">
            <v>8888.2099999999991</v>
          </cell>
          <cell r="Q463" t="str">
            <v>Tallied</v>
          </cell>
        </row>
        <row r="464">
          <cell r="B464">
            <v>46154</v>
          </cell>
          <cell r="K464">
            <v>0</v>
          </cell>
          <cell r="M464">
            <v>0</v>
          </cell>
          <cell r="P464">
            <v>2360.7599999999998</v>
          </cell>
          <cell r="Q464" t="str">
            <v>Tallied</v>
          </cell>
        </row>
        <row r="465">
          <cell r="B465">
            <v>46154</v>
          </cell>
          <cell r="K465">
            <v>0</v>
          </cell>
          <cell r="M465">
            <v>0</v>
          </cell>
          <cell r="P465">
            <v>1788</v>
          </cell>
          <cell r="Q465" t="str">
            <v>Tallied</v>
          </cell>
        </row>
        <row r="466">
          <cell r="B466">
            <v>46154</v>
          </cell>
          <cell r="K466">
            <v>0</v>
          </cell>
          <cell r="M466">
            <v>0</v>
          </cell>
          <cell r="P466">
            <v>8346.44</v>
          </cell>
          <cell r="Q466" t="str">
            <v>Tallied</v>
          </cell>
        </row>
        <row r="467">
          <cell r="B467">
            <v>46154</v>
          </cell>
          <cell r="K467">
            <v>0</v>
          </cell>
          <cell r="M467">
            <v>0</v>
          </cell>
          <cell r="P467">
            <v>1794162.2400000002</v>
          </cell>
          <cell r="Q467" t="str">
            <v>Tallied</v>
          </cell>
        </row>
        <row r="468">
          <cell r="B468">
            <v>46154</v>
          </cell>
          <cell r="K468">
            <v>0</v>
          </cell>
          <cell r="M468">
            <v>0</v>
          </cell>
          <cell r="P468">
            <v>684224.10000000009</v>
          </cell>
          <cell r="Q468" t="str">
            <v>Tallied</v>
          </cell>
        </row>
        <row r="469">
          <cell r="B469">
            <v>46155</v>
          </cell>
          <cell r="K469">
            <v>0</v>
          </cell>
          <cell r="M469">
            <v>0</v>
          </cell>
          <cell r="P469">
            <v>1387127.28</v>
          </cell>
          <cell r="Q469" t="str">
            <v>Tallied</v>
          </cell>
        </row>
        <row r="470">
          <cell r="B470">
            <v>46155</v>
          </cell>
          <cell r="K470">
            <v>0</v>
          </cell>
          <cell r="M470">
            <v>0</v>
          </cell>
          <cell r="P470">
            <v>375565.08</v>
          </cell>
          <cell r="Q470" t="str">
            <v>Tallied</v>
          </cell>
        </row>
        <row r="471">
          <cell r="B471">
            <v>46155</v>
          </cell>
          <cell r="K471">
            <v>0</v>
          </cell>
          <cell r="M471">
            <v>0</v>
          </cell>
          <cell r="P471">
            <v>377791.04</v>
          </cell>
          <cell r="Q471" t="str">
            <v>Tallied</v>
          </cell>
        </row>
        <row r="472">
          <cell r="B472">
            <v>46155</v>
          </cell>
          <cell r="K472">
            <v>0</v>
          </cell>
          <cell r="M472">
            <v>0</v>
          </cell>
          <cell r="P472">
            <v>278465.27999999997</v>
          </cell>
          <cell r="Q472" t="str">
            <v>Tallied</v>
          </cell>
        </row>
        <row r="473">
          <cell r="B473">
            <v>46155</v>
          </cell>
          <cell r="K473">
            <v>0</v>
          </cell>
          <cell r="M473">
            <v>0</v>
          </cell>
          <cell r="P473">
            <v>1</v>
          </cell>
          <cell r="Q473" t="str">
            <v>Tallied</v>
          </cell>
        </row>
        <row r="474">
          <cell r="B474">
            <v>46155</v>
          </cell>
          <cell r="K474">
            <v>0</v>
          </cell>
          <cell r="M474">
            <v>0</v>
          </cell>
          <cell r="P474">
            <v>2976.16</v>
          </cell>
          <cell r="Q474" t="str">
            <v>Tallied</v>
          </cell>
        </row>
        <row r="475">
          <cell r="B475">
            <v>46155</v>
          </cell>
          <cell r="K475">
            <v>0</v>
          </cell>
          <cell r="M475">
            <v>0</v>
          </cell>
          <cell r="P475">
            <v>1571.42</v>
          </cell>
          <cell r="Q475" t="str">
            <v>Tallied</v>
          </cell>
        </row>
        <row r="476">
          <cell r="B476">
            <v>46155</v>
          </cell>
          <cell r="K476">
            <v>0</v>
          </cell>
          <cell r="M476">
            <v>0</v>
          </cell>
          <cell r="P476">
            <v>560290.05000000005</v>
          </cell>
          <cell r="Q476" t="str">
            <v>Tallied</v>
          </cell>
        </row>
        <row r="477">
          <cell r="B477">
            <v>46155</v>
          </cell>
          <cell r="K477">
            <v>0</v>
          </cell>
          <cell r="M477">
            <v>0</v>
          </cell>
          <cell r="P477">
            <v>65860.08</v>
          </cell>
          <cell r="Q477" t="str">
            <v>Tallied</v>
          </cell>
        </row>
        <row r="478">
          <cell r="B478">
            <v>46155</v>
          </cell>
          <cell r="K478">
            <v>0</v>
          </cell>
          <cell r="M478">
            <v>0</v>
          </cell>
          <cell r="P478">
            <v>7899.53</v>
          </cell>
          <cell r="Q478" t="str">
            <v>Tallied</v>
          </cell>
        </row>
        <row r="479">
          <cell r="B479">
            <v>46155</v>
          </cell>
          <cell r="K479">
            <v>0</v>
          </cell>
          <cell r="M479">
            <v>0</v>
          </cell>
          <cell r="P479">
            <v>485946.09</v>
          </cell>
          <cell r="Q479" t="str">
            <v>Tallied</v>
          </cell>
        </row>
        <row r="480">
          <cell r="B480">
            <v>46155</v>
          </cell>
          <cell r="K480">
            <v>0</v>
          </cell>
          <cell r="M480">
            <v>0</v>
          </cell>
          <cell r="P480">
            <v>30500</v>
          </cell>
          <cell r="Q480" t="str">
            <v>Tallied</v>
          </cell>
        </row>
        <row r="481">
          <cell r="B481">
            <v>46155</v>
          </cell>
          <cell r="K481">
            <v>0</v>
          </cell>
          <cell r="M481">
            <v>0</v>
          </cell>
          <cell r="P481">
            <v>111498.84</v>
          </cell>
          <cell r="Q481" t="str">
            <v>Tallied</v>
          </cell>
        </row>
        <row r="482">
          <cell r="B482">
            <v>46155</v>
          </cell>
          <cell r="K482">
            <v>0</v>
          </cell>
          <cell r="M482">
            <v>0</v>
          </cell>
          <cell r="P482">
            <v>31934.720000000001</v>
          </cell>
          <cell r="Q482" t="str">
            <v>Tallied</v>
          </cell>
        </row>
        <row r="483">
          <cell r="B483">
            <v>46155</v>
          </cell>
          <cell r="K483">
            <v>0</v>
          </cell>
          <cell r="M483">
            <v>0</v>
          </cell>
          <cell r="P483">
            <v>31770.44</v>
          </cell>
          <cell r="Q483" t="str">
            <v>Tallied</v>
          </cell>
        </row>
        <row r="484">
          <cell r="B484">
            <v>46155</v>
          </cell>
          <cell r="K484">
            <v>0</v>
          </cell>
          <cell r="M484">
            <v>0</v>
          </cell>
          <cell r="P484">
            <v>6</v>
          </cell>
          <cell r="Q484" t="str">
            <v>Tallied</v>
          </cell>
        </row>
        <row r="485">
          <cell r="B485">
            <v>46155</v>
          </cell>
          <cell r="K485">
            <v>0</v>
          </cell>
          <cell r="M485">
            <v>0</v>
          </cell>
          <cell r="P485">
            <v>2171597.4000000004</v>
          </cell>
          <cell r="Q485" t="str">
            <v>Tallied</v>
          </cell>
        </row>
        <row r="486">
          <cell r="B486">
            <v>46155</v>
          </cell>
          <cell r="K486">
            <v>0</v>
          </cell>
          <cell r="M486">
            <v>0</v>
          </cell>
          <cell r="P486">
            <v>139814.79999999999</v>
          </cell>
          <cell r="Q486" t="str">
            <v>Tallied</v>
          </cell>
        </row>
        <row r="487">
          <cell r="B487">
            <v>46155</v>
          </cell>
          <cell r="K487">
            <v>0</v>
          </cell>
          <cell r="M487">
            <v>0</v>
          </cell>
          <cell r="P487">
            <v>19658.490000000002</v>
          </cell>
          <cell r="Q487" t="str">
            <v>Tallied</v>
          </cell>
        </row>
        <row r="488">
          <cell r="B488">
            <v>46155</v>
          </cell>
          <cell r="K488">
            <v>0</v>
          </cell>
          <cell r="M488">
            <v>0</v>
          </cell>
          <cell r="P488">
            <v>10000183.200000001</v>
          </cell>
          <cell r="Q488" t="str">
            <v>Tallied</v>
          </cell>
        </row>
        <row r="489">
          <cell r="B489">
            <v>46155</v>
          </cell>
          <cell r="K489">
            <v>0</v>
          </cell>
          <cell r="M489">
            <v>0</v>
          </cell>
          <cell r="P489">
            <v>295851.92</v>
          </cell>
          <cell r="Q489" t="str">
            <v>Tallied</v>
          </cell>
        </row>
        <row r="490">
          <cell r="B490">
            <v>46155</v>
          </cell>
          <cell r="K490">
            <v>0</v>
          </cell>
          <cell r="M490">
            <v>0</v>
          </cell>
          <cell r="P490">
            <v>964497.38000000024</v>
          </cell>
          <cell r="Q490" t="str">
            <v>Tallied</v>
          </cell>
        </row>
        <row r="491">
          <cell r="B491">
            <v>46155</v>
          </cell>
          <cell r="K491">
            <v>0</v>
          </cell>
          <cell r="M491">
            <v>0</v>
          </cell>
          <cell r="P491">
            <v>681693.18</v>
          </cell>
          <cell r="Q491" t="str">
            <v>Tallied</v>
          </cell>
        </row>
        <row r="492">
          <cell r="B492">
            <v>46155</v>
          </cell>
          <cell r="K492">
            <v>0</v>
          </cell>
          <cell r="M492">
            <v>0</v>
          </cell>
          <cell r="P492">
            <v>4218.62</v>
          </cell>
          <cell r="Q492" t="str">
            <v>Tallied</v>
          </cell>
        </row>
        <row r="493">
          <cell r="B493">
            <v>46155</v>
          </cell>
          <cell r="K493">
            <v>0</v>
          </cell>
          <cell r="M493">
            <v>0</v>
          </cell>
          <cell r="P493">
            <v>10400877.969999999</v>
          </cell>
          <cell r="Q493" t="str">
            <v>Tallied</v>
          </cell>
        </row>
        <row r="494">
          <cell r="B494">
            <v>46155</v>
          </cell>
          <cell r="K494">
            <v>0</v>
          </cell>
          <cell r="M494">
            <v>0</v>
          </cell>
          <cell r="P494">
            <v>580516.20000000007</v>
          </cell>
          <cell r="Q494" t="str">
            <v>Tallied</v>
          </cell>
        </row>
        <row r="495">
          <cell r="B495">
            <v>46155</v>
          </cell>
          <cell r="K495">
            <v>0</v>
          </cell>
          <cell r="M495">
            <v>0</v>
          </cell>
          <cell r="P495">
            <v>51655.319999999992</v>
          </cell>
          <cell r="Q495" t="str">
            <v>Tallied</v>
          </cell>
        </row>
        <row r="496">
          <cell r="B496">
            <v>46155</v>
          </cell>
          <cell r="K496">
            <v>0</v>
          </cell>
          <cell r="M496">
            <v>0</v>
          </cell>
          <cell r="P496">
            <v>79692.36</v>
          </cell>
          <cell r="Q496" t="str">
            <v>Tallied</v>
          </cell>
        </row>
        <row r="497">
          <cell r="B497">
            <v>46155</v>
          </cell>
          <cell r="K497">
            <v>0</v>
          </cell>
          <cell r="M497">
            <v>0</v>
          </cell>
          <cell r="P497">
            <v>336627.63</v>
          </cell>
          <cell r="Q497" t="str">
            <v>Tallied</v>
          </cell>
        </row>
        <row r="498">
          <cell r="B498">
            <v>46155</v>
          </cell>
          <cell r="K498">
            <v>0</v>
          </cell>
          <cell r="M498">
            <v>0</v>
          </cell>
          <cell r="P498">
            <v>7298.18</v>
          </cell>
          <cell r="Q498" t="str">
            <v>Tallied</v>
          </cell>
        </row>
        <row r="499">
          <cell r="B499">
            <v>46155</v>
          </cell>
          <cell r="K499">
            <v>0</v>
          </cell>
          <cell r="M499">
            <v>0</v>
          </cell>
          <cell r="P499">
            <v>71938.94</v>
          </cell>
          <cell r="Q499" t="str">
            <v>Tallied</v>
          </cell>
        </row>
        <row r="500">
          <cell r="B500">
            <v>46155</v>
          </cell>
          <cell r="K500">
            <v>0</v>
          </cell>
          <cell r="M500">
            <v>0</v>
          </cell>
          <cell r="P500">
            <v>11776091.699999997</v>
          </cell>
          <cell r="Q500" t="str">
            <v>Tallied</v>
          </cell>
        </row>
        <row r="501">
          <cell r="B501">
            <v>46155</v>
          </cell>
          <cell r="K501">
            <v>0</v>
          </cell>
          <cell r="M501">
            <v>0</v>
          </cell>
          <cell r="P501">
            <v>153521.91999999998</v>
          </cell>
          <cell r="Q501" t="str">
            <v>Tallied</v>
          </cell>
        </row>
        <row r="502">
          <cell r="B502">
            <v>46155</v>
          </cell>
          <cell r="K502">
            <v>0</v>
          </cell>
          <cell r="M502">
            <v>0</v>
          </cell>
          <cell r="P502">
            <v>29974.6</v>
          </cell>
          <cell r="Q502" t="str">
            <v>Tallied</v>
          </cell>
        </row>
        <row r="503">
          <cell r="B503">
            <v>46155</v>
          </cell>
          <cell r="K503">
            <v>0</v>
          </cell>
          <cell r="M503">
            <v>0</v>
          </cell>
          <cell r="P503">
            <v>22937.199999999997</v>
          </cell>
          <cell r="Q503" t="str">
            <v>Tallied</v>
          </cell>
        </row>
        <row r="504">
          <cell r="B504">
            <v>46155</v>
          </cell>
          <cell r="K504">
            <v>0</v>
          </cell>
          <cell r="M504">
            <v>0</v>
          </cell>
          <cell r="P504">
            <v>480190.6</v>
          </cell>
          <cell r="Q504" t="str">
            <v>Tallied</v>
          </cell>
        </row>
        <row r="505">
          <cell r="B505">
            <v>46155</v>
          </cell>
          <cell r="K505">
            <v>0</v>
          </cell>
          <cell r="M505">
            <v>0</v>
          </cell>
          <cell r="P505">
            <v>309325.63</v>
          </cell>
          <cell r="Q505" t="str">
            <v>Tallied</v>
          </cell>
        </row>
        <row r="506">
          <cell r="B506">
            <v>46155</v>
          </cell>
          <cell r="K506">
            <v>0</v>
          </cell>
          <cell r="M506">
            <v>0</v>
          </cell>
          <cell r="P506">
            <v>203070.7</v>
          </cell>
          <cell r="Q506" t="str">
            <v>Tallied</v>
          </cell>
        </row>
        <row r="507">
          <cell r="B507">
            <v>46155</v>
          </cell>
          <cell r="K507">
            <v>0</v>
          </cell>
          <cell r="M507">
            <v>0</v>
          </cell>
          <cell r="P507">
            <v>3051660.2400000012</v>
          </cell>
          <cell r="Q507" t="str">
            <v>Tallied</v>
          </cell>
        </row>
        <row r="508">
          <cell r="B508">
            <v>46155</v>
          </cell>
          <cell r="K508">
            <v>0</v>
          </cell>
          <cell r="M508">
            <v>0</v>
          </cell>
          <cell r="P508">
            <v>1880850.4000000001</v>
          </cell>
          <cell r="Q508" t="str">
            <v>Tallied</v>
          </cell>
        </row>
        <row r="509">
          <cell r="B509">
            <v>46155</v>
          </cell>
          <cell r="K509">
            <v>0</v>
          </cell>
          <cell r="M509">
            <v>0</v>
          </cell>
          <cell r="P509">
            <v>142353.41999999998</v>
          </cell>
          <cell r="Q509" t="str">
            <v>Tallied</v>
          </cell>
        </row>
        <row r="510">
          <cell r="B510">
            <v>46155</v>
          </cell>
          <cell r="K510">
            <v>0</v>
          </cell>
          <cell r="M510">
            <v>0</v>
          </cell>
          <cell r="P510">
            <v>5396101.9199999999</v>
          </cell>
          <cell r="Q510" t="str">
            <v>Tallied</v>
          </cell>
        </row>
        <row r="511">
          <cell r="B511">
            <v>46155</v>
          </cell>
          <cell r="K511">
            <v>0</v>
          </cell>
          <cell r="M511">
            <v>0</v>
          </cell>
          <cell r="P511">
            <v>1762900.2</v>
          </cell>
          <cell r="Q511" t="str">
            <v>Tallied</v>
          </cell>
        </row>
        <row r="512">
          <cell r="B512">
            <v>46155</v>
          </cell>
          <cell r="K512">
            <v>0</v>
          </cell>
          <cell r="M512">
            <v>0</v>
          </cell>
          <cell r="P512">
            <v>27211309.950000003</v>
          </cell>
          <cell r="Q512" t="str">
            <v>Tallied</v>
          </cell>
        </row>
        <row r="513">
          <cell r="B513">
            <v>46155</v>
          </cell>
          <cell r="K513">
            <v>0</v>
          </cell>
          <cell r="M513">
            <v>0</v>
          </cell>
          <cell r="P513">
            <v>12731628.49</v>
          </cell>
          <cell r="Q513" t="str">
            <v>Tallied</v>
          </cell>
        </row>
        <row r="514">
          <cell r="B514">
            <v>46155</v>
          </cell>
          <cell r="K514">
            <v>0</v>
          </cell>
          <cell r="M514">
            <v>0</v>
          </cell>
          <cell r="P514">
            <v>290864.19999999995</v>
          </cell>
          <cell r="Q514" t="str">
            <v>Tallied</v>
          </cell>
        </row>
        <row r="515">
          <cell r="B515">
            <v>46155</v>
          </cell>
          <cell r="K515">
            <v>0</v>
          </cell>
          <cell r="M515">
            <v>0</v>
          </cell>
          <cell r="P515">
            <v>5215585.68</v>
          </cell>
          <cell r="Q515" t="str">
            <v>Tallied</v>
          </cell>
        </row>
        <row r="516">
          <cell r="B516">
            <v>46155</v>
          </cell>
          <cell r="K516">
            <v>0</v>
          </cell>
          <cell r="M516">
            <v>0</v>
          </cell>
          <cell r="P516">
            <v>327287.76</v>
          </cell>
          <cell r="Q516" t="str">
            <v>Tallied</v>
          </cell>
        </row>
        <row r="517">
          <cell r="B517">
            <v>46155</v>
          </cell>
          <cell r="K517">
            <v>0</v>
          </cell>
          <cell r="M517">
            <v>0</v>
          </cell>
          <cell r="P517">
            <v>514105.39999999997</v>
          </cell>
          <cell r="Q517" t="str">
            <v>Tallied</v>
          </cell>
        </row>
        <row r="518">
          <cell r="B518">
            <v>46156</v>
          </cell>
          <cell r="K518">
            <v>0</v>
          </cell>
          <cell r="M518">
            <v>0</v>
          </cell>
          <cell r="P518">
            <v>1550064</v>
          </cell>
          <cell r="Q518" t="str">
            <v>Tallied</v>
          </cell>
        </row>
        <row r="519">
          <cell r="B519">
            <v>46156</v>
          </cell>
          <cell r="K519">
            <v>0</v>
          </cell>
          <cell r="M519">
            <v>0</v>
          </cell>
          <cell r="P519">
            <v>3604.7999999999997</v>
          </cell>
          <cell r="Q519" t="str">
            <v>Tallied</v>
          </cell>
        </row>
        <row r="520">
          <cell r="B520">
            <v>46156</v>
          </cell>
          <cell r="K520">
            <v>0</v>
          </cell>
          <cell r="M520">
            <v>0</v>
          </cell>
          <cell r="P520">
            <v>3930284.1599999997</v>
          </cell>
          <cell r="Q520" t="str">
            <v>Tallied</v>
          </cell>
        </row>
        <row r="521">
          <cell r="B521">
            <v>46156</v>
          </cell>
          <cell r="K521">
            <v>0</v>
          </cell>
          <cell r="M521">
            <v>0</v>
          </cell>
          <cell r="P521">
            <v>406610.88</v>
          </cell>
          <cell r="Q521" t="str">
            <v>Tallied</v>
          </cell>
        </row>
        <row r="522">
          <cell r="B522">
            <v>46156</v>
          </cell>
          <cell r="K522">
            <v>0</v>
          </cell>
          <cell r="M522">
            <v>0</v>
          </cell>
          <cell r="P522">
            <v>7152185.5999999996</v>
          </cell>
          <cell r="Q522" t="str">
            <v>Tallied</v>
          </cell>
        </row>
        <row r="523">
          <cell r="B523">
            <v>46156</v>
          </cell>
          <cell r="K523">
            <v>0</v>
          </cell>
          <cell r="M523">
            <v>0</v>
          </cell>
          <cell r="P523">
            <v>5627432</v>
          </cell>
          <cell r="Q523" t="str">
            <v>Tallied</v>
          </cell>
        </row>
        <row r="524">
          <cell r="B524">
            <v>46156</v>
          </cell>
          <cell r="K524">
            <v>0</v>
          </cell>
          <cell r="M524">
            <v>0</v>
          </cell>
          <cell r="P524">
            <v>592250.4</v>
          </cell>
          <cell r="Q524" t="str">
            <v>Tallied</v>
          </cell>
        </row>
        <row r="525">
          <cell r="B525">
            <v>46156</v>
          </cell>
          <cell r="K525">
            <v>0</v>
          </cell>
          <cell r="M525">
            <v>0</v>
          </cell>
          <cell r="P525">
            <v>308385</v>
          </cell>
          <cell r="Q525" t="str">
            <v>Tallied</v>
          </cell>
        </row>
        <row r="526">
          <cell r="B526">
            <v>46156</v>
          </cell>
          <cell r="K526">
            <v>0</v>
          </cell>
          <cell r="M526">
            <v>0</v>
          </cell>
          <cell r="P526">
            <v>66082.5</v>
          </cell>
          <cell r="Q526" t="str">
            <v>Tallied</v>
          </cell>
        </row>
        <row r="527">
          <cell r="B527">
            <v>46156</v>
          </cell>
          <cell r="K527">
            <v>0</v>
          </cell>
          <cell r="M527">
            <v>0</v>
          </cell>
          <cell r="P527">
            <v>448314.56</v>
          </cell>
          <cell r="Q527" t="str">
            <v>Tallied</v>
          </cell>
        </row>
        <row r="528">
          <cell r="B528">
            <v>46156</v>
          </cell>
          <cell r="K528">
            <v>0</v>
          </cell>
          <cell r="M528">
            <v>0</v>
          </cell>
          <cell r="P528">
            <v>31639353.570000011</v>
          </cell>
          <cell r="Q528" t="str">
            <v>Tallied</v>
          </cell>
        </row>
        <row r="529">
          <cell r="B529">
            <v>46156</v>
          </cell>
          <cell r="K529">
            <v>0</v>
          </cell>
          <cell r="M529">
            <v>0</v>
          </cell>
          <cell r="P529">
            <v>1909879.56</v>
          </cell>
          <cell r="Q529" t="str">
            <v>Tallied</v>
          </cell>
        </row>
        <row r="530">
          <cell r="B530">
            <v>46156</v>
          </cell>
          <cell r="K530">
            <v>0</v>
          </cell>
          <cell r="M530">
            <v>0</v>
          </cell>
          <cell r="P530">
            <v>5546631.9999999991</v>
          </cell>
          <cell r="Q530" t="str">
            <v>Tallied</v>
          </cell>
        </row>
        <row r="531">
          <cell r="B531">
            <v>46156</v>
          </cell>
          <cell r="K531">
            <v>0</v>
          </cell>
          <cell r="M531">
            <v>0</v>
          </cell>
          <cell r="P531">
            <v>30852.600000000002</v>
          </cell>
          <cell r="Q531" t="str">
            <v>Tallied</v>
          </cell>
        </row>
        <row r="532">
          <cell r="B532">
            <v>46156</v>
          </cell>
          <cell r="K532">
            <v>0</v>
          </cell>
          <cell r="M532">
            <v>0</v>
          </cell>
          <cell r="P532">
            <v>2958975.6000000006</v>
          </cell>
          <cell r="Q532" t="str">
            <v>Tallied</v>
          </cell>
        </row>
        <row r="533">
          <cell r="B533">
            <v>46156</v>
          </cell>
          <cell r="K533">
            <v>0</v>
          </cell>
          <cell r="M533">
            <v>0</v>
          </cell>
          <cell r="P533">
            <v>41426.6</v>
          </cell>
          <cell r="Q533" t="str">
            <v>Tallied</v>
          </cell>
        </row>
        <row r="534">
          <cell r="B534">
            <v>46156</v>
          </cell>
          <cell r="K534">
            <v>0</v>
          </cell>
          <cell r="M534">
            <v>0</v>
          </cell>
          <cell r="P534">
            <v>168562.52999999997</v>
          </cell>
          <cell r="Q534" t="str">
            <v>Tallied</v>
          </cell>
        </row>
        <row r="535">
          <cell r="B535">
            <v>46156</v>
          </cell>
          <cell r="K535">
            <v>0</v>
          </cell>
          <cell r="M535">
            <v>0</v>
          </cell>
          <cell r="P535">
            <v>9804.5300000000007</v>
          </cell>
          <cell r="Q535" t="str">
            <v>Tallied</v>
          </cell>
        </row>
        <row r="536">
          <cell r="B536">
            <v>46156</v>
          </cell>
          <cell r="K536">
            <v>0</v>
          </cell>
          <cell r="M536">
            <v>0</v>
          </cell>
          <cell r="P536">
            <v>16309.56</v>
          </cell>
          <cell r="Q536" t="str">
            <v>Tallied</v>
          </cell>
        </row>
        <row r="537">
          <cell r="B537">
            <v>46156</v>
          </cell>
          <cell r="K537">
            <v>0</v>
          </cell>
          <cell r="M537">
            <v>0</v>
          </cell>
          <cell r="P537">
            <v>4062</v>
          </cell>
          <cell r="Q537" t="str">
            <v>Tallied</v>
          </cell>
        </row>
        <row r="538">
          <cell r="B538">
            <v>46156</v>
          </cell>
          <cell r="K538">
            <v>0</v>
          </cell>
          <cell r="M538">
            <v>0</v>
          </cell>
          <cell r="P538">
            <v>3470</v>
          </cell>
          <cell r="Q538" t="str">
            <v>Tallied</v>
          </cell>
        </row>
        <row r="539">
          <cell r="B539">
            <v>46156</v>
          </cell>
          <cell r="K539">
            <v>0</v>
          </cell>
          <cell r="M539">
            <v>0</v>
          </cell>
          <cell r="P539">
            <v>1448852.8599999996</v>
          </cell>
          <cell r="Q539" t="str">
            <v>Tallied</v>
          </cell>
        </row>
        <row r="540">
          <cell r="B540">
            <v>46156</v>
          </cell>
          <cell r="K540">
            <v>0</v>
          </cell>
          <cell r="M540">
            <v>0</v>
          </cell>
          <cell r="P540">
            <v>1105253.6400000001</v>
          </cell>
          <cell r="Q540" t="str">
            <v>Tallied</v>
          </cell>
        </row>
        <row r="541">
          <cell r="B541">
            <v>46156</v>
          </cell>
          <cell r="K541">
            <v>0</v>
          </cell>
          <cell r="M541">
            <v>0</v>
          </cell>
          <cell r="P541">
            <v>25372.26</v>
          </cell>
          <cell r="Q541" t="str">
            <v>Tallied</v>
          </cell>
        </row>
        <row r="542">
          <cell r="B542">
            <v>46156</v>
          </cell>
          <cell r="K542">
            <v>0</v>
          </cell>
          <cell r="M542">
            <v>0</v>
          </cell>
          <cell r="P542">
            <v>1127.3699999999999</v>
          </cell>
          <cell r="Q542" t="str">
            <v>Tallied</v>
          </cell>
        </row>
        <row r="543">
          <cell r="B543">
            <v>46156</v>
          </cell>
          <cell r="K543">
            <v>0</v>
          </cell>
          <cell r="M543">
            <v>0</v>
          </cell>
          <cell r="P543">
            <v>283088.64000000001</v>
          </cell>
          <cell r="Q543" t="str">
            <v>Tallied</v>
          </cell>
        </row>
        <row r="544">
          <cell r="B544">
            <v>46156</v>
          </cell>
          <cell r="K544">
            <v>0</v>
          </cell>
          <cell r="M544">
            <v>0</v>
          </cell>
          <cell r="P544">
            <v>533468.16000000003</v>
          </cell>
          <cell r="Q544" t="str">
            <v>Tallied</v>
          </cell>
        </row>
        <row r="545">
          <cell r="B545">
            <v>46156</v>
          </cell>
          <cell r="K545">
            <v>0</v>
          </cell>
          <cell r="M545">
            <v>0</v>
          </cell>
          <cell r="P545">
            <v>113312</v>
          </cell>
          <cell r="Q545" t="str">
            <v>Tallied</v>
          </cell>
        </row>
        <row r="546">
          <cell r="B546">
            <v>46156</v>
          </cell>
          <cell r="K546">
            <v>0</v>
          </cell>
          <cell r="M546">
            <v>0</v>
          </cell>
          <cell r="P546">
            <v>218517.6</v>
          </cell>
          <cell r="Q546" t="str">
            <v>Tallied</v>
          </cell>
        </row>
        <row r="547">
          <cell r="B547">
            <v>46156</v>
          </cell>
          <cell r="K547">
            <v>0</v>
          </cell>
          <cell r="M547">
            <v>0</v>
          </cell>
          <cell r="P547">
            <v>389921.04</v>
          </cell>
          <cell r="Q547" t="str">
            <v>Tallied</v>
          </cell>
        </row>
        <row r="548">
          <cell r="B548">
            <v>46156</v>
          </cell>
          <cell r="K548">
            <v>0</v>
          </cell>
          <cell r="M548">
            <v>0</v>
          </cell>
          <cell r="P548">
            <v>4396752.8</v>
          </cell>
          <cell r="Q548" t="str">
            <v>Tallied</v>
          </cell>
        </row>
        <row r="549">
          <cell r="B549">
            <v>46156</v>
          </cell>
          <cell r="K549">
            <v>0</v>
          </cell>
          <cell r="M549">
            <v>0</v>
          </cell>
          <cell r="P549">
            <v>1104276.48</v>
          </cell>
          <cell r="Q549" t="str">
            <v>Tallied</v>
          </cell>
        </row>
        <row r="550">
          <cell r="B550">
            <v>46156</v>
          </cell>
          <cell r="K550">
            <v>0</v>
          </cell>
          <cell r="M550">
            <v>0</v>
          </cell>
          <cell r="P550">
            <v>40350</v>
          </cell>
          <cell r="Q550" t="str">
            <v>Tallied</v>
          </cell>
        </row>
        <row r="551">
          <cell r="B551">
            <v>46156</v>
          </cell>
          <cell r="K551">
            <v>0</v>
          </cell>
          <cell r="M551">
            <v>0</v>
          </cell>
          <cell r="P551">
            <v>1057787.96</v>
          </cell>
          <cell r="Q551" t="str">
            <v>Tallied</v>
          </cell>
        </row>
        <row r="552">
          <cell r="B552">
            <v>46156</v>
          </cell>
          <cell r="K552">
            <v>0</v>
          </cell>
          <cell r="M552">
            <v>0</v>
          </cell>
          <cell r="P552">
            <v>113169.60000000001</v>
          </cell>
          <cell r="Q552" t="str">
            <v>Tallied</v>
          </cell>
        </row>
        <row r="553">
          <cell r="B553">
            <v>46156</v>
          </cell>
          <cell r="K553">
            <v>0</v>
          </cell>
          <cell r="M553">
            <v>0</v>
          </cell>
          <cell r="P553">
            <v>1085349.5999999999</v>
          </cell>
          <cell r="Q553" t="str">
            <v>Tallied</v>
          </cell>
        </row>
        <row r="554">
          <cell r="B554">
            <v>46156</v>
          </cell>
          <cell r="K554">
            <v>0</v>
          </cell>
          <cell r="M554">
            <v>0</v>
          </cell>
          <cell r="P554">
            <v>601562.16000000015</v>
          </cell>
          <cell r="Q554" t="str">
            <v>Tallied</v>
          </cell>
        </row>
        <row r="555">
          <cell r="B555">
            <v>46156</v>
          </cell>
          <cell r="K555">
            <v>0</v>
          </cell>
          <cell r="M555">
            <v>0</v>
          </cell>
          <cell r="P555">
            <v>5363.66</v>
          </cell>
          <cell r="Q555" t="str">
            <v>Tallied</v>
          </cell>
        </row>
        <row r="556">
          <cell r="B556">
            <v>46156</v>
          </cell>
          <cell r="K556">
            <v>0</v>
          </cell>
          <cell r="M556">
            <v>0</v>
          </cell>
          <cell r="P556">
            <v>33995.360000000001</v>
          </cell>
          <cell r="Q556" t="str">
            <v>Tallied</v>
          </cell>
        </row>
        <row r="557">
          <cell r="B557">
            <v>46156</v>
          </cell>
          <cell r="K557">
            <v>0</v>
          </cell>
          <cell r="M557">
            <v>0</v>
          </cell>
          <cell r="P557">
            <v>7336.21</v>
          </cell>
          <cell r="Q557" t="str">
            <v>Tallied</v>
          </cell>
        </row>
        <row r="558">
          <cell r="B558">
            <v>46156</v>
          </cell>
          <cell r="K558">
            <v>0</v>
          </cell>
          <cell r="M558">
            <v>0</v>
          </cell>
          <cell r="P558">
            <v>15708.73</v>
          </cell>
          <cell r="Q558" t="str">
            <v>Tallied</v>
          </cell>
        </row>
        <row r="559">
          <cell r="B559">
            <v>46156</v>
          </cell>
          <cell r="K559">
            <v>0</v>
          </cell>
          <cell r="M559">
            <v>0</v>
          </cell>
          <cell r="P559">
            <v>1703926.6800000002</v>
          </cell>
          <cell r="Q559" t="str">
            <v>Tallied</v>
          </cell>
        </row>
        <row r="560">
          <cell r="B560">
            <v>46156</v>
          </cell>
          <cell r="K560">
            <v>0</v>
          </cell>
          <cell r="M560">
            <v>0</v>
          </cell>
          <cell r="P560">
            <v>320262.8</v>
          </cell>
          <cell r="Q560" t="str">
            <v>Tallied</v>
          </cell>
        </row>
        <row r="561">
          <cell r="B561">
            <v>46156</v>
          </cell>
          <cell r="K561">
            <v>0</v>
          </cell>
          <cell r="M561">
            <v>0</v>
          </cell>
          <cell r="P561">
            <v>190.17</v>
          </cell>
          <cell r="Q561" t="str">
            <v>Tallied</v>
          </cell>
        </row>
        <row r="562">
          <cell r="B562">
            <v>46156</v>
          </cell>
          <cell r="K562">
            <v>0</v>
          </cell>
          <cell r="M562">
            <v>0</v>
          </cell>
          <cell r="P562">
            <v>194683.5</v>
          </cell>
          <cell r="Q562" t="str">
            <v>Tallied</v>
          </cell>
        </row>
        <row r="563">
          <cell r="B563">
            <v>46156</v>
          </cell>
          <cell r="K563">
            <v>0</v>
          </cell>
          <cell r="M563">
            <v>0</v>
          </cell>
          <cell r="P563">
            <v>40433.54</v>
          </cell>
          <cell r="Q563" t="str">
            <v>Tallied</v>
          </cell>
        </row>
        <row r="564">
          <cell r="B564">
            <v>46156</v>
          </cell>
          <cell r="K564">
            <v>0</v>
          </cell>
          <cell r="M564">
            <v>0</v>
          </cell>
          <cell r="P564">
            <v>95905.97</v>
          </cell>
          <cell r="Q564" t="str">
            <v>Tallied</v>
          </cell>
        </row>
        <row r="565">
          <cell r="B565">
            <v>46156</v>
          </cell>
          <cell r="K565">
            <v>0</v>
          </cell>
          <cell r="M565">
            <v>0</v>
          </cell>
          <cell r="P565">
            <v>134322.25</v>
          </cell>
          <cell r="Q565" t="str">
            <v>Tallied</v>
          </cell>
        </row>
        <row r="566">
          <cell r="B566">
            <v>46156</v>
          </cell>
          <cell r="K566">
            <v>0</v>
          </cell>
          <cell r="M566">
            <v>0</v>
          </cell>
          <cell r="P566">
            <v>988553.16</v>
          </cell>
          <cell r="Q566" t="str">
            <v>Tallied</v>
          </cell>
        </row>
        <row r="567">
          <cell r="B567">
            <v>46156</v>
          </cell>
          <cell r="K567">
            <v>0</v>
          </cell>
          <cell r="M567">
            <v>0</v>
          </cell>
          <cell r="P567">
            <v>105735</v>
          </cell>
          <cell r="Q567" t="str">
            <v>Tallied</v>
          </cell>
        </row>
        <row r="568">
          <cell r="B568">
            <v>46157</v>
          </cell>
          <cell r="K568">
            <v>0</v>
          </cell>
          <cell r="M568">
            <v>0</v>
          </cell>
          <cell r="P568">
            <v>131682.45000000001</v>
          </cell>
          <cell r="Q568" t="str">
            <v>Tallied</v>
          </cell>
        </row>
        <row r="569">
          <cell r="B569">
            <v>46157</v>
          </cell>
          <cell r="K569">
            <v>0</v>
          </cell>
          <cell r="M569">
            <v>0</v>
          </cell>
          <cell r="P569">
            <v>7686527.2200000007</v>
          </cell>
          <cell r="Q569" t="str">
            <v>Tallied</v>
          </cell>
        </row>
        <row r="570">
          <cell r="B570">
            <v>46157</v>
          </cell>
          <cell r="K570">
            <v>0</v>
          </cell>
          <cell r="M570">
            <v>0</v>
          </cell>
          <cell r="P570">
            <v>126606.46</v>
          </cell>
          <cell r="Q570" t="str">
            <v>Tallied</v>
          </cell>
        </row>
        <row r="571">
          <cell r="B571">
            <v>46157</v>
          </cell>
          <cell r="K571">
            <v>0</v>
          </cell>
          <cell r="M571">
            <v>0</v>
          </cell>
          <cell r="P571">
            <v>185740.24</v>
          </cell>
          <cell r="Q571" t="str">
            <v>Tallied</v>
          </cell>
        </row>
        <row r="572">
          <cell r="B572">
            <v>46157</v>
          </cell>
          <cell r="K572">
            <v>0</v>
          </cell>
          <cell r="M572">
            <v>0</v>
          </cell>
          <cell r="P572">
            <v>386807.4</v>
          </cell>
          <cell r="Q572" t="str">
            <v>Tallied</v>
          </cell>
        </row>
        <row r="573">
          <cell r="B573">
            <v>46157</v>
          </cell>
          <cell r="K573">
            <v>0</v>
          </cell>
          <cell r="M573">
            <v>0</v>
          </cell>
          <cell r="P573">
            <v>2226589.75</v>
          </cell>
          <cell r="Q573" t="str">
            <v>Tallied</v>
          </cell>
        </row>
        <row r="574">
          <cell r="B574">
            <v>46157</v>
          </cell>
          <cell r="K574">
            <v>0</v>
          </cell>
          <cell r="M574">
            <v>0</v>
          </cell>
          <cell r="P574">
            <v>7651.83</v>
          </cell>
          <cell r="Q574" t="str">
            <v>Tallied</v>
          </cell>
        </row>
        <row r="575">
          <cell r="B575">
            <v>46157</v>
          </cell>
          <cell r="K575">
            <v>0</v>
          </cell>
          <cell r="M575">
            <v>0</v>
          </cell>
          <cell r="P575">
            <v>738702.04</v>
          </cell>
          <cell r="Q575" t="str">
            <v>Tallied</v>
          </cell>
        </row>
        <row r="576">
          <cell r="B576">
            <v>46157</v>
          </cell>
          <cell r="K576">
            <v>0</v>
          </cell>
          <cell r="M576">
            <v>0</v>
          </cell>
          <cell r="P576">
            <v>57756.3</v>
          </cell>
          <cell r="Q576" t="str">
            <v>Tallied</v>
          </cell>
        </row>
        <row r="577">
          <cell r="B577">
            <v>46157</v>
          </cell>
          <cell r="K577">
            <v>0</v>
          </cell>
          <cell r="M577">
            <v>0</v>
          </cell>
          <cell r="P577">
            <v>876874.04999999993</v>
          </cell>
          <cell r="Q577" t="str">
            <v>Tallied</v>
          </cell>
        </row>
        <row r="578">
          <cell r="B578">
            <v>46157</v>
          </cell>
          <cell r="K578">
            <v>0</v>
          </cell>
          <cell r="M578">
            <v>0</v>
          </cell>
          <cell r="P578">
            <v>111529.40000000001</v>
          </cell>
          <cell r="Q578" t="str">
            <v>Tallied</v>
          </cell>
        </row>
        <row r="579">
          <cell r="B579">
            <v>46157</v>
          </cell>
          <cell r="K579">
            <v>0</v>
          </cell>
          <cell r="M579">
            <v>0</v>
          </cell>
          <cell r="P579">
            <v>154518.42000000001</v>
          </cell>
          <cell r="Q579" t="str">
            <v>Tallied</v>
          </cell>
        </row>
        <row r="580">
          <cell r="B580">
            <v>46157</v>
          </cell>
          <cell r="K580">
            <v>0</v>
          </cell>
          <cell r="M580">
            <v>0</v>
          </cell>
          <cell r="P580">
            <v>1406346.48</v>
          </cell>
          <cell r="Q580" t="str">
            <v>Tallied</v>
          </cell>
        </row>
        <row r="581">
          <cell r="B581">
            <v>46157</v>
          </cell>
          <cell r="K581">
            <v>0</v>
          </cell>
          <cell r="M581">
            <v>0</v>
          </cell>
          <cell r="P581">
            <v>45543.119999999995</v>
          </cell>
          <cell r="Q581" t="str">
            <v>Tallied</v>
          </cell>
        </row>
        <row r="582">
          <cell r="B582">
            <v>46157</v>
          </cell>
          <cell r="K582">
            <v>0</v>
          </cell>
          <cell r="M582">
            <v>0</v>
          </cell>
          <cell r="P582">
            <v>165166.59999999998</v>
          </cell>
          <cell r="Q582" t="str">
            <v>Tallied</v>
          </cell>
        </row>
        <row r="583">
          <cell r="B583">
            <v>46157</v>
          </cell>
          <cell r="K583">
            <v>0</v>
          </cell>
          <cell r="M583">
            <v>0</v>
          </cell>
          <cell r="P583">
            <v>9330.2999999999993</v>
          </cell>
          <cell r="Q583" t="str">
            <v>Tallied</v>
          </cell>
        </row>
        <row r="584">
          <cell r="B584">
            <v>46157</v>
          </cell>
          <cell r="K584">
            <v>0</v>
          </cell>
          <cell r="M584">
            <v>0</v>
          </cell>
          <cell r="P584">
            <v>613008.66</v>
          </cell>
          <cell r="Q584" t="str">
            <v>Tallied</v>
          </cell>
        </row>
        <row r="585">
          <cell r="B585">
            <v>46157</v>
          </cell>
          <cell r="K585">
            <v>0</v>
          </cell>
          <cell r="M585">
            <v>0</v>
          </cell>
          <cell r="P585">
            <v>633520.79999999993</v>
          </cell>
          <cell r="Q585" t="str">
            <v>Tallied</v>
          </cell>
        </row>
        <row r="586">
          <cell r="B586">
            <v>46157</v>
          </cell>
          <cell r="K586">
            <v>0</v>
          </cell>
          <cell r="M586">
            <v>0</v>
          </cell>
          <cell r="P586">
            <v>19598106.600000005</v>
          </cell>
          <cell r="Q586" t="str">
            <v>Tallied</v>
          </cell>
        </row>
        <row r="587">
          <cell r="B587">
            <v>46157</v>
          </cell>
          <cell r="K587">
            <v>0</v>
          </cell>
          <cell r="M587">
            <v>0</v>
          </cell>
          <cell r="P587">
            <v>207326.3</v>
          </cell>
          <cell r="Q587" t="str">
            <v>Tallied</v>
          </cell>
        </row>
        <row r="588">
          <cell r="B588">
            <v>46157</v>
          </cell>
          <cell r="K588">
            <v>0</v>
          </cell>
          <cell r="M588">
            <v>0</v>
          </cell>
          <cell r="P588">
            <v>54054.32</v>
          </cell>
          <cell r="Q588" t="str">
            <v>Tallied</v>
          </cell>
        </row>
        <row r="589">
          <cell r="B589">
            <v>46157</v>
          </cell>
          <cell r="K589">
            <v>0</v>
          </cell>
          <cell r="M589">
            <v>0</v>
          </cell>
          <cell r="P589">
            <v>15515.26</v>
          </cell>
          <cell r="Q589" t="str">
            <v>Tallied</v>
          </cell>
        </row>
        <row r="590">
          <cell r="B590">
            <v>46157</v>
          </cell>
          <cell r="K590">
            <v>0</v>
          </cell>
          <cell r="M590">
            <v>0</v>
          </cell>
          <cell r="P590">
            <v>104910814.08000003</v>
          </cell>
          <cell r="Q590" t="str">
            <v>Tallied</v>
          </cell>
        </row>
        <row r="591">
          <cell r="B591">
            <v>46157</v>
          </cell>
          <cell r="K591">
            <v>0</v>
          </cell>
          <cell r="M591">
            <v>0</v>
          </cell>
          <cell r="P591">
            <v>16708.68</v>
          </cell>
          <cell r="Q591" t="str">
            <v>Tallied</v>
          </cell>
        </row>
        <row r="592">
          <cell r="B592">
            <v>46157</v>
          </cell>
          <cell r="K592">
            <v>0</v>
          </cell>
          <cell r="M592">
            <v>0</v>
          </cell>
          <cell r="P592">
            <v>145934.31999999998</v>
          </cell>
          <cell r="Q592" t="str">
            <v>Tallied</v>
          </cell>
        </row>
        <row r="593">
          <cell r="B593">
            <v>46157</v>
          </cell>
          <cell r="K593">
            <v>0</v>
          </cell>
          <cell r="M593">
            <v>0</v>
          </cell>
          <cell r="P593">
            <v>499136.64</v>
          </cell>
          <cell r="Q593" t="str">
            <v>Tallied</v>
          </cell>
        </row>
        <row r="594">
          <cell r="B594">
            <v>46157</v>
          </cell>
          <cell r="K594">
            <v>0</v>
          </cell>
          <cell r="M594">
            <v>0</v>
          </cell>
          <cell r="P594">
            <v>148417.32</v>
          </cell>
          <cell r="Q594" t="str">
            <v>Tallied</v>
          </cell>
        </row>
        <row r="595">
          <cell r="B595">
            <v>46157</v>
          </cell>
          <cell r="K595">
            <v>0</v>
          </cell>
          <cell r="M595">
            <v>0</v>
          </cell>
          <cell r="P595">
            <v>16577.939999999999</v>
          </cell>
          <cell r="Q595" t="str">
            <v>Tallied</v>
          </cell>
        </row>
        <row r="596">
          <cell r="B596">
            <v>46157</v>
          </cell>
          <cell r="K596">
            <v>0</v>
          </cell>
          <cell r="M596">
            <v>0</v>
          </cell>
          <cell r="P596">
            <v>68404.740000000005</v>
          </cell>
          <cell r="Q596" t="str">
            <v>Tallied</v>
          </cell>
        </row>
        <row r="597">
          <cell r="B597">
            <v>46157</v>
          </cell>
          <cell r="K597">
            <v>0</v>
          </cell>
          <cell r="M597">
            <v>0</v>
          </cell>
          <cell r="P597">
            <v>98907</v>
          </cell>
          <cell r="Q597" t="str">
            <v>Tallied</v>
          </cell>
        </row>
        <row r="598">
          <cell r="B598">
            <v>46157</v>
          </cell>
          <cell r="K598">
            <v>0</v>
          </cell>
          <cell r="M598">
            <v>0</v>
          </cell>
          <cell r="P598">
            <v>3287992.2</v>
          </cell>
          <cell r="Q598" t="str">
            <v>Tallied</v>
          </cell>
        </row>
        <row r="599">
          <cell r="B599">
            <v>46157</v>
          </cell>
          <cell r="K599">
            <v>0</v>
          </cell>
          <cell r="M599">
            <v>0</v>
          </cell>
          <cell r="P599">
            <v>432049.28</v>
          </cell>
          <cell r="Q599" t="str">
            <v>Tallied</v>
          </cell>
        </row>
        <row r="600">
          <cell r="B600">
            <v>46157</v>
          </cell>
          <cell r="K600">
            <v>0</v>
          </cell>
          <cell r="M600">
            <v>0</v>
          </cell>
          <cell r="P600">
            <v>1000701.6000000001</v>
          </cell>
          <cell r="Q600" t="str">
            <v>Tallied</v>
          </cell>
        </row>
        <row r="601">
          <cell r="B601">
            <v>46157</v>
          </cell>
          <cell r="K601">
            <v>0</v>
          </cell>
          <cell r="M601">
            <v>0</v>
          </cell>
          <cell r="P601">
            <v>1154606.3999999999</v>
          </cell>
          <cell r="Q601" t="str">
            <v>Tallied</v>
          </cell>
        </row>
        <row r="602">
          <cell r="B602">
            <v>46157</v>
          </cell>
          <cell r="K602">
            <v>0</v>
          </cell>
          <cell r="M602">
            <v>0</v>
          </cell>
          <cell r="P602">
            <v>498492.42000000004</v>
          </cell>
          <cell r="Q602" t="str">
            <v>Tallied</v>
          </cell>
        </row>
        <row r="603">
          <cell r="B603">
            <v>46157</v>
          </cell>
          <cell r="K603">
            <v>0</v>
          </cell>
          <cell r="M603">
            <v>0</v>
          </cell>
          <cell r="P603">
            <v>452489.72</v>
          </cell>
          <cell r="Q603" t="str">
            <v>Tallied</v>
          </cell>
        </row>
        <row r="604">
          <cell r="B604">
            <v>46157</v>
          </cell>
          <cell r="K604">
            <v>0</v>
          </cell>
          <cell r="M604">
            <v>0</v>
          </cell>
          <cell r="P604">
            <v>469614.18</v>
          </cell>
          <cell r="Q604" t="str">
            <v>Tallied</v>
          </cell>
        </row>
        <row r="605">
          <cell r="B605">
            <v>46157</v>
          </cell>
          <cell r="K605">
            <v>0</v>
          </cell>
          <cell r="M605">
            <v>0</v>
          </cell>
          <cell r="P605">
            <v>5128.91</v>
          </cell>
          <cell r="Q605" t="str">
            <v>Tallied</v>
          </cell>
        </row>
        <row r="606">
          <cell r="B606">
            <v>46157</v>
          </cell>
          <cell r="K606">
            <v>0</v>
          </cell>
          <cell r="M606">
            <v>0</v>
          </cell>
          <cell r="P606">
            <v>2646352.62</v>
          </cell>
          <cell r="Q606" t="str">
            <v>Tallied</v>
          </cell>
        </row>
        <row r="607">
          <cell r="B607">
            <v>46157</v>
          </cell>
          <cell r="K607">
            <v>0</v>
          </cell>
          <cell r="M607">
            <v>0</v>
          </cell>
          <cell r="P607">
            <v>4057901.0000000005</v>
          </cell>
          <cell r="Q607" t="str">
            <v>Tallied</v>
          </cell>
        </row>
        <row r="608">
          <cell r="B608">
            <v>46157</v>
          </cell>
          <cell r="K608">
            <v>0</v>
          </cell>
          <cell r="M608">
            <v>0</v>
          </cell>
          <cell r="P608">
            <v>7065146.4000000004</v>
          </cell>
          <cell r="Q608" t="str">
            <v>Tallied</v>
          </cell>
        </row>
        <row r="609">
          <cell r="B609">
            <v>46157</v>
          </cell>
          <cell r="K609">
            <v>0</v>
          </cell>
          <cell r="M609">
            <v>0</v>
          </cell>
          <cell r="P609">
            <v>39909.759999999995</v>
          </cell>
          <cell r="Q609" t="str">
            <v>Tallied</v>
          </cell>
        </row>
        <row r="610">
          <cell r="B610">
            <v>46157</v>
          </cell>
          <cell r="K610">
            <v>0</v>
          </cell>
          <cell r="M610">
            <v>0</v>
          </cell>
          <cell r="P610">
            <v>77049.36</v>
          </cell>
          <cell r="Q610" t="str">
            <v>Tallied</v>
          </cell>
        </row>
        <row r="611">
          <cell r="B611">
            <v>46157</v>
          </cell>
          <cell r="K611">
            <v>0</v>
          </cell>
          <cell r="M611">
            <v>0</v>
          </cell>
          <cell r="P611">
            <v>22460.52</v>
          </cell>
          <cell r="Q611" t="str">
            <v>Tallied</v>
          </cell>
        </row>
        <row r="612">
          <cell r="B612">
            <v>46157</v>
          </cell>
          <cell r="K612">
            <v>0</v>
          </cell>
          <cell r="M612">
            <v>0</v>
          </cell>
          <cell r="P612">
            <v>211408.32</v>
          </cell>
          <cell r="Q612" t="str">
            <v>Tallied</v>
          </cell>
        </row>
        <row r="613">
          <cell r="B613">
            <v>46157</v>
          </cell>
          <cell r="K613">
            <v>0</v>
          </cell>
          <cell r="M613">
            <v>0</v>
          </cell>
          <cell r="P613">
            <v>10561.35</v>
          </cell>
          <cell r="Q613" t="str">
            <v>Tallied</v>
          </cell>
        </row>
        <row r="614">
          <cell r="B614">
            <v>46157</v>
          </cell>
          <cell r="K614">
            <v>0</v>
          </cell>
          <cell r="M614">
            <v>0</v>
          </cell>
          <cell r="P614">
            <v>52972424.400000028</v>
          </cell>
          <cell r="Q614" t="str">
            <v>Tallied</v>
          </cell>
        </row>
        <row r="615">
          <cell r="B615">
            <v>46157</v>
          </cell>
          <cell r="K615">
            <v>0</v>
          </cell>
          <cell r="M615">
            <v>0</v>
          </cell>
          <cell r="P615">
            <v>1</v>
          </cell>
          <cell r="Q615" t="str">
            <v>Tallied</v>
          </cell>
        </row>
        <row r="616">
          <cell r="B616">
            <v>46157</v>
          </cell>
          <cell r="K616">
            <v>0</v>
          </cell>
          <cell r="M616">
            <v>0</v>
          </cell>
          <cell r="P616">
            <v>136447.19999999998</v>
          </cell>
          <cell r="Q616" t="str">
            <v>Tallied</v>
          </cell>
        </row>
        <row r="617">
          <cell r="B617">
            <v>46157</v>
          </cell>
          <cell r="K617">
            <v>0</v>
          </cell>
          <cell r="M617">
            <v>0</v>
          </cell>
          <cell r="P617">
            <v>392284658.69999999</v>
          </cell>
          <cell r="Q617" t="str">
            <v>Tallied</v>
          </cell>
        </row>
        <row r="618">
          <cell r="B618">
            <v>46158</v>
          </cell>
          <cell r="K618">
            <v>0</v>
          </cell>
          <cell r="M618">
            <v>0</v>
          </cell>
          <cell r="P618">
            <v>25493078.40000001</v>
          </cell>
          <cell r="Q618" t="str">
            <v>Tallied</v>
          </cell>
        </row>
        <row r="619">
          <cell r="B619">
            <v>46158</v>
          </cell>
          <cell r="K619">
            <v>0</v>
          </cell>
          <cell r="M619">
            <v>0</v>
          </cell>
          <cell r="P619">
            <v>1327198.45</v>
          </cell>
          <cell r="Q619" t="str">
            <v>Tallied</v>
          </cell>
        </row>
        <row r="620">
          <cell r="B620">
            <v>46158</v>
          </cell>
          <cell r="K620">
            <v>0</v>
          </cell>
          <cell r="M620">
            <v>0</v>
          </cell>
          <cell r="P620">
            <v>20146.16</v>
          </cell>
          <cell r="Q620" t="str">
            <v>Tallied</v>
          </cell>
        </row>
        <row r="621">
          <cell r="B621">
            <v>46158</v>
          </cell>
          <cell r="K621">
            <v>0</v>
          </cell>
          <cell r="M621">
            <v>0</v>
          </cell>
          <cell r="P621">
            <v>1099074.48</v>
          </cell>
          <cell r="Q621" t="str">
            <v>Tallied</v>
          </cell>
        </row>
        <row r="622">
          <cell r="B622">
            <v>46158</v>
          </cell>
          <cell r="K622">
            <v>0</v>
          </cell>
          <cell r="M622">
            <v>0</v>
          </cell>
          <cell r="P622">
            <v>27167.919999999998</v>
          </cell>
          <cell r="Q622" t="str">
            <v>Tallied</v>
          </cell>
        </row>
        <row r="623">
          <cell r="B623">
            <v>46158</v>
          </cell>
          <cell r="K623">
            <v>0</v>
          </cell>
          <cell r="M623">
            <v>0</v>
          </cell>
          <cell r="P623">
            <v>112111.6</v>
          </cell>
          <cell r="Q623" t="str">
            <v>Tallied</v>
          </cell>
        </row>
        <row r="624">
          <cell r="B624">
            <v>46158</v>
          </cell>
          <cell r="K624">
            <v>0</v>
          </cell>
          <cell r="M624">
            <v>0</v>
          </cell>
          <cell r="P624">
            <v>332135.36</v>
          </cell>
          <cell r="Q624" t="str">
            <v>Tallied</v>
          </cell>
        </row>
        <row r="625">
          <cell r="B625">
            <v>46158</v>
          </cell>
          <cell r="K625">
            <v>0</v>
          </cell>
          <cell r="M625">
            <v>0</v>
          </cell>
          <cell r="P625">
            <v>42309.36</v>
          </cell>
          <cell r="Q625" t="str">
            <v>Tallied</v>
          </cell>
        </row>
        <row r="626">
          <cell r="B626">
            <v>46158</v>
          </cell>
          <cell r="K626">
            <v>0</v>
          </cell>
          <cell r="M626">
            <v>0</v>
          </cell>
          <cell r="P626">
            <v>38244.480000000003</v>
          </cell>
          <cell r="Q626" t="str">
            <v>Tallied</v>
          </cell>
        </row>
        <row r="627">
          <cell r="B627">
            <v>46158</v>
          </cell>
          <cell r="K627">
            <v>0</v>
          </cell>
          <cell r="M627">
            <v>0</v>
          </cell>
          <cell r="P627">
            <v>179549.28</v>
          </cell>
          <cell r="Q627" t="str">
            <v>Tallied</v>
          </cell>
        </row>
        <row r="628">
          <cell r="B628">
            <v>46158</v>
          </cell>
          <cell r="K628">
            <v>0</v>
          </cell>
          <cell r="M628">
            <v>0</v>
          </cell>
          <cell r="P628">
            <v>22274.11</v>
          </cell>
          <cell r="Q628" t="str">
            <v>Tallied</v>
          </cell>
        </row>
        <row r="629">
          <cell r="B629">
            <v>46158</v>
          </cell>
          <cell r="K629">
            <v>0</v>
          </cell>
          <cell r="M629">
            <v>0</v>
          </cell>
          <cell r="P629">
            <v>17778457.84</v>
          </cell>
          <cell r="Q629" t="str">
            <v>Tallied</v>
          </cell>
        </row>
        <row r="630">
          <cell r="B630">
            <v>46158</v>
          </cell>
          <cell r="K630">
            <v>0</v>
          </cell>
          <cell r="M630">
            <v>0</v>
          </cell>
          <cell r="P630">
            <v>7789.98</v>
          </cell>
          <cell r="Q630" t="str">
            <v>Tallied</v>
          </cell>
        </row>
        <row r="631">
          <cell r="B631">
            <v>46158</v>
          </cell>
          <cell r="K631">
            <v>0</v>
          </cell>
          <cell r="M631">
            <v>0</v>
          </cell>
          <cell r="P631">
            <v>84221.8</v>
          </cell>
          <cell r="Q631" t="str">
            <v>Tallied</v>
          </cell>
        </row>
        <row r="632">
          <cell r="B632">
            <v>46158</v>
          </cell>
          <cell r="K632">
            <v>0</v>
          </cell>
          <cell r="M632">
            <v>0</v>
          </cell>
          <cell r="P632">
            <v>256538.65</v>
          </cell>
          <cell r="Q632" t="str">
            <v>Tallied</v>
          </cell>
        </row>
        <row r="633">
          <cell r="B633">
            <v>46158</v>
          </cell>
          <cell r="K633">
            <v>0</v>
          </cell>
          <cell r="M633">
            <v>0</v>
          </cell>
          <cell r="P633">
            <v>116757.56</v>
          </cell>
          <cell r="Q633" t="str">
            <v>Tallied</v>
          </cell>
        </row>
        <row r="634">
          <cell r="B634">
            <v>46158</v>
          </cell>
          <cell r="K634">
            <v>0</v>
          </cell>
          <cell r="M634">
            <v>0</v>
          </cell>
          <cell r="P634">
            <v>68832.86</v>
          </cell>
          <cell r="Q634" t="str">
            <v>Tallied</v>
          </cell>
        </row>
        <row r="635">
          <cell r="B635">
            <v>46158</v>
          </cell>
          <cell r="K635">
            <v>0</v>
          </cell>
          <cell r="M635">
            <v>0</v>
          </cell>
          <cell r="P635">
            <v>134447.4</v>
          </cell>
          <cell r="Q635" t="str">
            <v>Tallied</v>
          </cell>
        </row>
        <row r="636">
          <cell r="B636">
            <v>46158</v>
          </cell>
          <cell r="K636">
            <v>0</v>
          </cell>
          <cell r="M636">
            <v>0</v>
          </cell>
          <cell r="P636">
            <v>951972.4800000001</v>
          </cell>
          <cell r="Q636" t="str">
            <v>Tallied</v>
          </cell>
        </row>
        <row r="637">
          <cell r="B637">
            <v>46158</v>
          </cell>
          <cell r="K637">
            <v>0</v>
          </cell>
          <cell r="M637">
            <v>0</v>
          </cell>
          <cell r="P637">
            <v>296861.64</v>
          </cell>
          <cell r="Q637" t="str">
            <v>Tallied</v>
          </cell>
        </row>
        <row r="638">
          <cell r="B638">
            <v>46158</v>
          </cell>
          <cell r="K638">
            <v>0</v>
          </cell>
          <cell r="M638">
            <v>0</v>
          </cell>
          <cell r="P638">
            <v>353120.52</v>
          </cell>
          <cell r="Q638" t="str">
            <v>Tallied</v>
          </cell>
        </row>
        <row r="639">
          <cell r="B639">
            <v>46158</v>
          </cell>
          <cell r="K639">
            <v>0</v>
          </cell>
          <cell r="M639">
            <v>0</v>
          </cell>
          <cell r="P639">
            <v>50502.17</v>
          </cell>
          <cell r="Q639" t="str">
            <v>Tallied</v>
          </cell>
        </row>
        <row r="640">
          <cell r="B640">
            <v>46158</v>
          </cell>
          <cell r="K640">
            <v>0</v>
          </cell>
          <cell r="M640">
            <v>0</v>
          </cell>
          <cell r="P640">
            <v>10286363.849999998</v>
          </cell>
          <cell r="Q640" t="str">
            <v>Tallied</v>
          </cell>
        </row>
        <row r="641">
          <cell r="B641">
            <v>46158</v>
          </cell>
          <cell r="K641">
            <v>0</v>
          </cell>
          <cell r="M641">
            <v>0</v>
          </cell>
          <cell r="P641">
            <v>125991.8</v>
          </cell>
          <cell r="Q641" t="str">
            <v>Tallied</v>
          </cell>
        </row>
        <row r="642">
          <cell r="B642">
            <v>46158</v>
          </cell>
          <cell r="K642">
            <v>0</v>
          </cell>
          <cell r="M642">
            <v>0</v>
          </cell>
          <cell r="P642">
            <v>30091.97</v>
          </cell>
          <cell r="Q642" t="str">
            <v>Tallied</v>
          </cell>
        </row>
        <row r="643">
          <cell r="B643">
            <v>46158</v>
          </cell>
          <cell r="K643">
            <v>0</v>
          </cell>
          <cell r="M643">
            <v>0</v>
          </cell>
          <cell r="P643">
            <v>144803.64000000001</v>
          </cell>
          <cell r="Q643" t="str">
            <v>Tallied</v>
          </cell>
        </row>
        <row r="644">
          <cell r="B644">
            <v>46158</v>
          </cell>
          <cell r="K644">
            <v>0</v>
          </cell>
          <cell r="M644">
            <v>0</v>
          </cell>
          <cell r="P644">
            <v>91664.7</v>
          </cell>
          <cell r="Q644" t="str">
            <v>Tallied</v>
          </cell>
        </row>
        <row r="645">
          <cell r="B645">
            <v>46158</v>
          </cell>
          <cell r="K645">
            <v>0</v>
          </cell>
          <cell r="M645">
            <v>0</v>
          </cell>
          <cell r="P645">
            <v>179532.49</v>
          </cell>
          <cell r="Q645" t="str">
            <v>Tallied</v>
          </cell>
        </row>
        <row r="646">
          <cell r="B646">
            <v>46158</v>
          </cell>
          <cell r="K646">
            <v>0</v>
          </cell>
          <cell r="M646">
            <v>0</v>
          </cell>
          <cell r="P646">
            <v>66320.52</v>
          </cell>
          <cell r="Q646" t="str">
            <v>Tallied</v>
          </cell>
        </row>
        <row r="647">
          <cell r="B647">
            <v>46158</v>
          </cell>
          <cell r="K647">
            <v>0</v>
          </cell>
          <cell r="M647">
            <v>0</v>
          </cell>
          <cell r="P647">
            <v>208649.37</v>
          </cell>
          <cell r="Q647" t="str">
            <v>Tallied</v>
          </cell>
        </row>
        <row r="648">
          <cell r="B648">
            <v>46158</v>
          </cell>
          <cell r="K648">
            <v>0</v>
          </cell>
          <cell r="M648">
            <v>0</v>
          </cell>
          <cell r="P648">
            <v>153190.92000000001</v>
          </cell>
          <cell r="Q648" t="str">
            <v>Tallied</v>
          </cell>
        </row>
        <row r="649">
          <cell r="B649">
            <v>46158</v>
          </cell>
          <cell r="K649">
            <v>0</v>
          </cell>
          <cell r="M649">
            <v>0</v>
          </cell>
          <cell r="P649">
            <v>50931.68</v>
          </cell>
          <cell r="Q649" t="str">
            <v>Tallied</v>
          </cell>
        </row>
        <row r="650">
          <cell r="B650">
            <v>46158</v>
          </cell>
          <cell r="K650">
            <v>0</v>
          </cell>
          <cell r="M650">
            <v>0</v>
          </cell>
          <cell r="P650">
            <v>20791.439999999999</v>
          </cell>
          <cell r="Q650" t="str">
            <v>Tallied</v>
          </cell>
        </row>
        <row r="651">
          <cell r="B651">
            <v>46158</v>
          </cell>
          <cell r="K651">
            <v>0</v>
          </cell>
          <cell r="M651">
            <v>0</v>
          </cell>
          <cell r="P651">
            <v>233.11</v>
          </cell>
          <cell r="Q651" t="str">
            <v>Tallied</v>
          </cell>
        </row>
        <row r="652">
          <cell r="B652">
            <v>46158</v>
          </cell>
          <cell r="K652">
            <v>0</v>
          </cell>
          <cell r="M652">
            <v>0</v>
          </cell>
          <cell r="P652">
            <v>96229.35</v>
          </cell>
          <cell r="Q652" t="str">
            <v>Tallied</v>
          </cell>
        </row>
        <row r="653">
          <cell r="B653">
            <v>46158</v>
          </cell>
          <cell r="K653">
            <v>0</v>
          </cell>
          <cell r="M653">
            <v>0</v>
          </cell>
          <cell r="P653">
            <v>1</v>
          </cell>
          <cell r="Q653" t="str">
            <v>Tallied</v>
          </cell>
        </row>
        <row r="654">
          <cell r="B654">
            <v>46158</v>
          </cell>
          <cell r="K654">
            <v>0</v>
          </cell>
          <cell r="M654">
            <v>0</v>
          </cell>
          <cell r="P654">
            <v>11077.9</v>
          </cell>
          <cell r="Q654" t="str">
            <v>Tallied</v>
          </cell>
        </row>
        <row r="655">
          <cell r="B655">
            <v>46158</v>
          </cell>
          <cell r="K655">
            <v>0</v>
          </cell>
          <cell r="M655">
            <v>0</v>
          </cell>
          <cell r="P655">
            <v>5839.35</v>
          </cell>
          <cell r="Q655" t="str">
            <v>Tallied</v>
          </cell>
        </row>
        <row r="656">
          <cell r="B656">
            <v>46158</v>
          </cell>
          <cell r="K656">
            <v>0</v>
          </cell>
          <cell r="M656">
            <v>0</v>
          </cell>
          <cell r="P656">
            <v>300825.46000000002</v>
          </cell>
          <cell r="Q656" t="str">
            <v>Tallied</v>
          </cell>
        </row>
        <row r="657">
          <cell r="B657">
            <v>46158</v>
          </cell>
          <cell r="K657">
            <v>0</v>
          </cell>
          <cell r="M657">
            <v>0</v>
          </cell>
          <cell r="P657">
            <v>7203.4</v>
          </cell>
          <cell r="Q657" t="str">
            <v>Tallied</v>
          </cell>
        </row>
        <row r="658">
          <cell r="B658">
            <v>46158</v>
          </cell>
          <cell r="K658">
            <v>0</v>
          </cell>
          <cell r="M658">
            <v>0</v>
          </cell>
          <cell r="P658">
            <v>730098.16</v>
          </cell>
          <cell r="Q658" t="str">
            <v>Tallied</v>
          </cell>
        </row>
        <row r="659">
          <cell r="B659">
            <v>46158</v>
          </cell>
          <cell r="K659">
            <v>0</v>
          </cell>
          <cell r="M659">
            <v>0</v>
          </cell>
          <cell r="P659">
            <v>71233.98</v>
          </cell>
          <cell r="Q659" t="str">
            <v>Tallied</v>
          </cell>
        </row>
        <row r="660">
          <cell r="B660">
            <v>46158</v>
          </cell>
          <cell r="K660">
            <v>0</v>
          </cell>
          <cell r="M660">
            <v>0</v>
          </cell>
          <cell r="P660">
            <v>4525.93</v>
          </cell>
          <cell r="Q660" t="str">
            <v>Tallied</v>
          </cell>
        </row>
        <row r="661">
          <cell r="B661">
            <v>46158</v>
          </cell>
          <cell r="K661">
            <v>0</v>
          </cell>
          <cell r="M661">
            <v>0</v>
          </cell>
          <cell r="P661">
            <v>2053.6999999999998</v>
          </cell>
          <cell r="Q661" t="str">
            <v>Tallied</v>
          </cell>
        </row>
        <row r="662">
          <cell r="B662">
            <v>46158</v>
          </cell>
          <cell r="K662">
            <v>0</v>
          </cell>
          <cell r="M662">
            <v>0</v>
          </cell>
          <cell r="P662">
            <v>198975.35999999999</v>
          </cell>
          <cell r="Q662" t="str">
            <v>Tallied</v>
          </cell>
        </row>
        <row r="663">
          <cell r="B663">
            <v>46158</v>
          </cell>
          <cell r="K663">
            <v>0</v>
          </cell>
          <cell r="M663">
            <v>0</v>
          </cell>
          <cell r="P663">
            <v>14418</v>
          </cell>
          <cell r="Q663" t="str">
            <v>Tallied</v>
          </cell>
        </row>
        <row r="664">
          <cell r="B664">
            <v>46158</v>
          </cell>
          <cell r="K664">
            <v>0</v>
          </cell>
          <cell r="M664">
            <v>0</v>
          </cell>
          <cell r="P664">
            <v>378506.60000000003</v>
          </cell>
          <cell r="Q664" t="str">
            <v>Tallied</v>
          </cell>
        </row>
        <row r="665">
          <cell r="B665">
            <v>46158</v>
          </cell>
          <cell r="K665">
            <v>0</v>
          </cell>
          <cell r="M665">
            <v>0</v>
          </cell>
          <cell r="P665">
            <v>2519646.7999999998</v>
          </cell>
          <cell r="Q665" t="str">
            <v>Tallied</v>
          </cell>
        </row>
        <row r="666">
          <cell r="B666">
            <v>46158</v>
          </cell>
          <cell r="K666">
            <v>0</v>
          </cell>
          <cell r="M666">
            <v>0</v>
          </cell>
          <cell r="P666">
            <v>10637.52</v>
          </cell>
          <cell r="Q666" t="str">
            <v>Tallied</v>
          </cell>
        </row>
        <row r="667">
          <cell r="B667">
            <v>46158</v>
          </cell>
          <cell r="K667">
            <v>0</v>
          </cell>
          <cell r="M667">
            <v>0</v>
          </cell>
          <cell r="P667">
            <v>50899.44</v>
          </cell>
          <cell r="Q667" t="str">
            <v>Tallied</v>
          </cell>
        </row>
        <row r="668">
          <cell r="B668">
            <v>46158</v>
          </cell>
          <cell r="K668">
            <v>0</v>
          </cell>
          <cell r="M668">
            <v>0</v>
          </cell>
          <cell r="P668">
            <v>1020032.4</v>
          </cell>
          <cell r="Q668" t="str">
            <v>Tallied</v>
          </cell>
        </row>
        <row r="669">
          <cell r="B669">
            <v>46158</v>
          </cell>
          <cell r="K669">
            <v>0</v>
          </cell>
          <cell r="M669">
            <v>0</v>
          </cell>
          <cell r="P669">
            <v>181450.72</v>
          </cell>
          <cell r="Q669" t="str">
            <v>Tallied</v>
          </cell>
        </row>
        <row r="670">
          <cell r="B670">
            <v>46160</v>
          </cell>
          <cell r="K670">
            <v>0</v>
          </cell>
          <cell r="M670">
            <v>0</v>
          </cell>
          <cell r="P670">
            <v>37504.04</v>
          </cell>
          <cell r="Q670" t="str">
            <v>Tallied</v>
          </cell>
        </row>
        <row r="671">
          <cell r="B671">
            <v>46160</v>
          </cell>
          <cell r="K671">
            <v>0</v>
          </cell>
          <cell r="M671">
            <v>0</v>
          </cell>
          <cell r="P671">
            <v>1493163.68</v>
          </cell>
          <cell r="Q671" t="str">
            <v>Tallied</v>
          </cell>
        </row>
        <row r="672">
          <cell r="B672">
            <v>46160</v>
          </cell>
          <cell r="K672">
            <v>0</v>
          </cell>
          <cell r="M672">
            <v>0</v>
          </cell>
          <cell r="P672">
            <v>348718.77999999997</v>
          </cell>
          <cell r="Q672" t="str">
            <v>Tallied</v>
          </cell>
        </row>
        <row r="673">
          <cell r="B673">
            <v>46160</v>
          </cell>
          <cell r="K673">
            <v>0</v>
          </cell>
          <cell r="M673">
            <v>0</v>
          </cell>
          <cell r="P673">
            <v>381281.97000000003</v>
          </cell>
          <cell r="Q673" t="str">
            <v>Tallied</v>
          </cell>
        </row>
        <row r="674">
          <cell r="B674">
            <v>46160</v>
          </cell>
          <cell r="K674">
            <v>0</v>
          </cell>
          <cell r="M674">
            <v>0</v>
          </cell>
          <cell r="P674">
            <v>24932.74</v>
          </cell>
          <cell r="Q674" t="str">
            <v>Tallied</v>
          </cell>
        </row>
        <row r="675">
          <cell r="B675">
            <v>46160</v>
          </cell>
          <cell r="K675">
            <v>0</v>
          </cell>
          <cell r="M675">
            <v>0</v>
          </cell>
          <cell r="P675">
            <v>68228.06</v>
          </cell>
          <cell r="Q675" t="str">
            <v>Tallied</v>
          </cell>
        </row>
        <row r="676">
          <cell r="B676">
            <v>46160</v>
          </cell>
          <cell r="K676">
            <v>0</v>
          </cell>
          <cell r="M676">
            <v>0</v>
          </cell>
          <cell r="P676">
            <v>8718184.7999999989</v>
          </cell>
          <cell r="Q676" t="str">
            <v>Tallied</v>
          </cell>
        </row>
        <row r="677">
          <cell r="B677">
            <v>46160</v>
          </cell>
          <cell r="K677">
            <v>0</v>
          </cell>
          <cell r="M677">
            <v>0</v>
          </cell>
          <cell r="P677">
            <v>28261.149999999998</v>
          </cell>
          <cell r="Q677" t="str">
            <v>Tallied</v>
          </cell>
        </row>
        <row r="678">
          <cell r="B678">
            <v>46160</v>
          </cell>
          <cell r="K678">
            <v>0</v>
          </cell>
          <cell r="M678">
            <v>0</v>
          </cell>
          <cell r="P678">
            <v>603715.68000000005</v>
          </cell>
          <cell r="Q678" t="str">
            <v>Tallied</v>
          </cell>
        </row>
        <row r="679">
          <cell r="B679">
            <v>46160</v>
          </cell>
          <cell r="K679">
            <v>0</v>
          </cell>
          <cell r="M679">
            <v>0</v>
          </cell>
          <cell r="P679">
            <v>11519.92</v>
          </cell>
          <cell r="Q679" t="str">
            <v>Tallied</v>
          </cell>
        </row>
        <row r="680">
          <cell r="B680">
            <v>46160</v>
          </cell>
          <cell r="K680">
            <v>0</v>
          </cell>
          <cell r="M680">
            <v>0</v>
          </cell>
          <cell r="P680">
            <v>14349.88</v>
          </cell>
          <cell r="Q680" t="str">
            <v>Tallied</v>
          </cell>
        </row>
        <row r="681">
          <cell r="B681">
            <v>46160</v>
          </cell>
          <cell r="K681">
            <v>0</v>
          </cell>
          <cell r="M681">
            <v>0</v>
          </cell>
          <cell r="P681">
            <v>773980.92</v>
          </cell>
          <cell r="Q681" t="str">
            <v>Tallied</v>
          </cell>
        </row>
        <row r="682">
          <cell r="B682">
            <v>46160</v>
          </cell>
          <cell r="K682">
            <v>0</v>
          </cell>
          <cell r="M682">
            <v>0</v>
          </cell>
          <cell r="P682">
            <v>855676.8</v>
          </cell>
          <cell r="Q682" t="str">
            <v>Tallied</v>
          </cell>
        </row>
        <row r="683">
          <cell r="B683">
            <v>46160</v>
          </cell>
          <cell r="K683">
            <v>0</v>
          </cell>
          <cell r="M683">
            <v>0</v>
          </cell>
          <cell r="P683">
            <v>82449</v>
          </cell>
          <cell r="Q683" t="str">
            <v>Tallied</v>
          </cell>
        </row>
        <row r="684">
          <cell r="B684">
            <v>46160</v>
          </cell>
          <cell r="K684">
            <v>0</v>
          </cell>
          <cell r="M684">
            <v>0</v>
          </cell>
          <cell r="P684">
            <v>759.36</v>
          </cell>
          <cell r="Q684" t="str">
            <v>Tallied</v>
          </cell>
        </row>
        <row r="685">
          <cell r="B685">
            <v>46160</v>
          </cell>
          <cell r="K685">
            <v>0</v>
          </cell>
          <cell r="M685">
            <v>0</v>
          </cell>
          <cell r="P685">
            <v>3175.2000000000003</v>
          </cell>
          <cell r="Q685" t="str">
            <v>Tallied</v>
          </cell>
        </row>
        <row r="686">
          <cell r="B686">
            <v>46160</v>
          </cell>
          <cell r="K686">
            <v>0</v>
          </cell>
          <cell r="M686">
            <v>0</v>
          </cell>
          <cell r="P686">
            <v>170593.54</v>
          </cell>
          <cell r="Q686" t="str">
            <v>Tallied</v>
          </cell>
        </row>
        <row r="687">
          <cell r="B687">
            <v>46160</v>
          </cell>
          <cell r="K687">
            <v>0</v>
          </cell>
          <cell r="M687">
            <v>0</v>
          </cell>
          <cell r="P687">
            <v>10033.08</v>
          </cell>
          <cell r="Q687" t="str">
            <v>Tallied</v>
          </cell>
        </row>
        <row r="688">
          <cell r="B688">
            <v>46160</v>
          </cell>
          <cell r="K688">
            <v>0</v>
          </cell>
          <cell r="M688">
            <v>0</v>
          </cell>
          <cell r="P688">
            <v>45042.85</v>
          </cell>
          <cell r="Q688" t="str">
            <v>Tallied</v>
          </cell>
        </row>
        <row r="689">
          <cell r="B689">
            <v>46160</v>
          </cell>
          <cell r="K689">
            <v>0</v>
          </cell>
          <cell r="M689">
            <v>0</v>
          </cell>
          <cell r="P689">
            <v>13300.96</v>
          </cell>
          <cell r="Q689" t="str">
            <v>Tallied</v>
          </cell>
        </row>
        <row r="690">
          <cell r="B690">
            <v>46160</v>
          </cell>
          <cell r="K690">
            <v>0</v>
          </cell>
          <cell r="M690">
            <v>0</v>
          </cell>
          <cell r="P690">
            <v>8374.98</v>
          </cell>
          <cell r="Q690" t="str">
            <v>Tallied</v>
          </cell>
        </row>
        <row r="691">
          <cell r="B691">
            <v>46160</v>
          </cell>
          <cell r="K691">
            <v>0</v>
          </cell>
          <cell r="M691">
            <v>0</v>
          </cell>
          <cell r="P691">
            <v>149241.46</v>
          </cell>
          <cell r="Q691" t="str">
            <v>Tallied</v>
          </cell>
        </row>
        <row r="692">
          <cell r="B692">
            <v>46160</v>
          </cell>
          <cell r="K692">
            <v>0</v>
          </cell>
          <cell r="M692">
            <v>0</v>
          </cell>
          <cell r="P692">
            <v>154554</v>
          </cell>
          <cell r="Q692" t="str">
            <v>Tallied</v>
          </cell>
        </row>
        <row r="693">
          <cell r="B693">
            <v>46160</v>
          </cell>
          <cell r="K693">
            <v>0</v>
          </cell>
          <cell r="M693">
            <v>0</v>
          </cell>
          <cell r="P693">
            <v>24852.44</v>
          </cell>
          <cell r="Q693" t="str">
            <v>Tallied</v>
          </cell>
        </row>
        <row r="694">
          <cell r="B694">
            <v>46160</v>
          </cell>
          <cell r="K694">
            <v>0</v>
          </cell>
          <cell r="M694">
            <v>0</v>
          </cell>
          <cell r="P694">
            <v>402575.60000000003</v>
          </cell>
          <cell r="Q694" t="str">
            <v>Tallied</v>
          </cell>
        </row>
        <row r="695">
          <cell r="B695">
            <v>46160</v>
          </cell>
          <cell r="K695">
            <v>0</v>
          </cell>
          <cell r="M695">
            <v>0</v>
          </cell>
          <cell r="P695">
            <v>1</v>
          </cell>
          <cell r="Q695" t="str">
            <v>Tallied</v>
          </cell>
        </row>
        <row r="696">
          <cell r="B696">
            <v>46160</v>
          </cell>
          <cell r="K696">
            <v>0</v>
          </cell>
          <cell r="M696">
            <v>0</v>
          </cell>
          <cell r="P696">
            <v>218419.34</v>
          </cell>
          <cell r="Q696" t="str">
            <v>Tallied</v>
          </cell>
        </row>
        <row r="697">
          <cell r="B697">
            <v>46160</v>
          </cell>
          <cell r="K697">
            <v>0</v>
          </cell>
          <cell r="M697">
            <v>0</v>
          </cell>
          <cell r="P697">
            <v>78244.98000000001</v>
          </cell>
          <cell r="Q697" t="str">
            <v>Tallied</v>
          </cell>
        </row>
        <row r="698">
          <cell r="B698">
            <v>46160</v>
          </cell>
          <cell r="K698">
            <v>0</v>
          </cell>
          <cell r="M698">
            <v>0</v>
          </cell>
          <cell r="P698">
            <v>66970589.699999958</v>
          </cell>
          <cell r="Q698" t="str">
            <v>Tallied</v>
          </cell>
        </row>
        <row r="699">
          <cell r="B699">
            <v>46160</v>
          </cell>
          <cell r="K699">
            <v>0</v>
          </cell>
          <cell r="M699">
            <v>0</v>
          </cell>
          <cell r="P699">
            <v>20668.63</v>
          </cell>
          <cell r="Q699" t="str">
            <v>Tallied</v>
          </cell>
        </row>
        <row r="700">
          <cell r="B700">
            <v>46160</v>
          </cell>
          <cell r="K700">
            <v>0</v>
          </cell>
          <cell r="M700">
            <v>0</v>
          </cell>
          <cell r="P700">
            <v>60134.579999999994</v>
          </cell>
          <cell r="Q700" t="str">
            <v>Tallied</v>
          </cell>
        </row>
        <row r="701">
          <cell r="B701">
            <v>46160</v>
          </cell>
          <cell r="K701">
            <v>0</v>
          </cell>
          <cell r="M701">
            <v>0</v>
          </cell>
          <cell r="P701">
            <v>189391.45</v>
          </cell>
          <cell r="Q701" t="str">
            <v>Tallied</v>
          </cell>
        </row>
        <row r="702">
          <cell r="B702">
            <v>46160</v>
          </cell>
          <cell r="K702">
            <v>0</v>
          </cell>
          <cell r="M702">
            <v>0</v>
          </cell>
          <cell r="P702">
            <v>57541.979999999996</v>
          </cell>
          <cell r="Q702" t="str">
            <v>Tallied</v>
          </cell>
        </row>
        <row r="703">
          <cell r="B703">
            <v>46160</v>
          </cell>
          <cell r="K703">
            <v>0</v>
          </cell>
          <cell r="M703">
            <v>0</v>
          </cell>
          <cell r="P703">
            <v>1937.88</v>
          </cell>
          <cell r="Q703" t="str">
            <v>Tallied</v>
          </cell>
        </row>
        <row r="704">
          <cell r="B704">
            <v>46160</v>
          </cell>
          <cell r="K704">
            <v>0</v>
          </cell>
          <cell r="M704">
            <v>0</v>
          </cell>
          <cell r="P704">
            <v>1333177.2000000002</v>
          </cell>
          <cell r="Q704" t="str">
            <v>Tallied</v>
          </cell>
        </row>
        <row r="705">
          <cell r="B705">
            <v>46160</v>
          </cell>
          <cell r="K705">
            <v>0</v>
          </cell>
          <cell r="M705">
            <v>0</v>
          </cell>
          <cell r="P705">
            <v>39591.299999999996</v>
          </cell>
          <cell r="Q705" t="str">
            <v>Tallied</v>
          </cell>
        </row>
        <row r="706">
          <cell r="B706">
            <v>46160</v>
          </cell>
          <cell r="K706">
            <v>0</v>
          </cell>
          <cell r="M706">
            <v>0</v>
          </cell>
          <cell r="P706">
            <v>816723.6</v>
          </cell>
          <cell r="Q706" t="str">
            <v>Tallied</v>
          </cell>
        </row>
        <row r="707">
          <cell r="B707">
            <v>46160</v>
          </cell>
          <cell r="K707">
            <v>0</v>
          </cell>
          <cell r="M707">
            <v>0</v>
          </cell>
          <cell r="P707">
            <v>16634.8</v>
          </cell>
          <cell r="Q707" t="str">
            <v>Tallied</v>
          </cell>
        </row>
        <row r="708">
          <cell r="B708">
            <v>46160</v>
          </cell>
          <cell r="K708">
            <v>0</v>
          </cell>
          <cell r="M708">
            <v>0</v>
          </cell>
          <cell r="P708">
            <v>5154.5</v>
          </cell>
          <cell r="Q708" t="str">
            <v>Tallied</v>
          </cell>
        </row>
        <row r="709">
          <cell r="B709">
            <v>46160</v>
          </cell>
          <cell r="K709">
            <v>0</v>
          </cell>
          <cell r="M709">
            <v>0</v>
          </cell>
          <cell r="P709">
            <v>30520.799999999999</v>
          </cell>
          <cell r="Q709" t="str">
            <v>Tallied</v>
          </cell>
        </row>
        <row r="710">
          <cell r="B710">
            <v>46160</v>
          </cell>
          <cell r="K710">
            <v>0</v>
          </cell>
          <cell r="M710">
            <v>0</v>
          </cell>
          <cell r="P710">
            <v>2843.52</v>
          </cell>
          <cell r="Q710" t="str">
            <v>Tallied</v>
          </cell>
        </row>
        <row r="711">
          <cell r="B711">
            <v>46160</v>
          </cell>
          <cell r="K711">
            <v>0</v>
          </cell>
          <cell r="M711">
            <v>0</v>
          </cell>
          <cell r="P711">
            <v>13401.78</v>
          </cell>
          <cell r="Q711" t="str">
            <v>Tallied</v>
          </cell>
        </row>
        <row r="712">
          <cell r="B712">
            <v>46160</v>
          </cell>
          <cell r="K712">
            <v>0</v>
          </cell>
          <cell r="M712">
            <v>0</v>
          </cell>
          <cell r="P712">
            <v>950420.52</v>
          </cell>
          <cell r="Q712" t="str">
            <v>Tallied</v>
          </cell>
        </row>
        <row r="713">
          <cell r="B713">
            <v>46160</v>
          </cell>
          <cell r="K713">
            <v>0</v>
          </cell>
          <cell r="M713">
            <v>0</v>
          </cell>
          <cell r="P713">
            <v>127568.34</v>
          </cell>
          <cell r="Q713" t="str">
            <v>Tallied</v>
          </cell>
        </row>
        <row r="714">
          <cell r="B714">
            <v>46160</v>
          </cell>
          <cell r="K714">
            <v>0</v>
          </cell>
          <cell r="M714">
            <v>0</v>
          </cell>
          <cell r="P714">
            <v>82781.209999999992</v>
          </cell>
          <cell r="Q714" t="str">
            <v>Tallied</v>
          </cell>
        </row>
        <row r="715">
          <cell r="B715">
            <v>46160</v>
          </cell>
          <cell r="K715">
            <v>0</v>
          </cell>
          <cell r="M715">
            <v>0</v>
          </cell>
          <cell r="P715">
            <v>3872566.8</v>
          </cell>
          <cell r="Q715" t="str">
            <v>Tallied</v>
          </cell>
        </row>
        <row r="716">
          <cell r="B716">
            <v>46160</v>
          </cell>
          <cell r="K716">
            <v>0</v>
          </cell>
          <cell r="M716">
            <v>0</v>
          </cell>
          <cell r="P716">
            <v>185829.28</v>
          </cell>
          <cell r="Q716" t="str">
            <v>Tallied</v>
          </cell>
        </row>
        <row r="717">
          <cell r="B717">
            <v>46160</v>
          </cell>
          <cell r="K717">
            <v>0</v>
          </cell>
          <cell r="M717">
            <v>0</v>
          </cell>
          <cell r="P717">
            <v>16111.7</v>
          </cell>
          <cell r="Q717" t="str">
            <v>Tallied</v>
          </cell>
        </row>
        <row r="718">
          <cell r="B718">
            <v>46160</v>
          </cell>
          <cell r="K718">
            <v>0</v>
          </cell>
          <cell r="M718">
            <v>0</v>
          </cell>
          <cell r="P718">
            <v>9561.3799999999992</v>
          </cell>
          <cell r="Q718" t="str">
            <v>Tallied</v>
          </cell>
        </row>
        <row r="719">
          <cell r="B719">
            <v>46160</v>
          </cell>
          <cell r="K719">
            <v>0</v>
          </cell>
          <cell r="M719">
            <v>0</v>
          </cell>
          <cell r="P719">
            <v>26070.639999999999</v>
          </cell>
          <cell r="Q719" t="str">
            <v>Tallied</v>
          </cell>
        </row>
        <row r="720">
          <cell r="B720">
            <v>46161</v>
          </cell>
          <cell r="K720">
            <v>0</v>
          </cell>
          <cell r="M720">
            <v>0</v>
          </cell>
          <cell r="P720">
            <v>8543.52</v>
          </cell>
          <cell r="Q720" t="str">
            <v>Tallied</v>
          </cell>
        </row>
        <row r="721">
          <cell r="B721">
            <v>46161</v>
          </cell>
          <cell r="K721">
            <v>0</v>
          </cell>
          <cell r="M721">
            <v>0</v>
          </cell>
          <cell r="P721">
            <v>10448.959999999999</v>
          </cell>
          <cell r="Q721" t="str">
            <v>Tallied</v>
          </cell>
        </row>
        <row r="722">
          <cell r="B722">
            <v>46161</v>
          </cell>
          <cell r="K722">
            <v>0</v>
          </cell>
          <cell r="M722">
            <v>0</v>
          </cell>
          <cell r="P722">
            <v>17495685.760000002</v>
          </cell>
          <cell r="Q722" t="str">
            <v>Tallied</v>
          </cell>
        </row>
        <row r="723">
          <cell r="B723">
            <v>46161</v>
          </cell>
          <cell r="K723">
            <v>0</v>
          </cell>
          <cell r="M723">
            <v>0</v>
          </cell>
          <cell r="P723">
            <v>34</v>
          </cell>
          <cell r="Q723" t="str">
            <v>Tallied</v>
          </cell>
        </row>
        <row r="724">
          <cell r="B724">
            <v>46161</v>
          </cell>
          <cell r="K724">
            <v>0</v>
          </cell>
          <cell r="M724">
            <v>0</v>
          </cell>
          <cell r="P724">
            <v>19433.66</v>
          </cell>
          <cell r="Q724" t="str">
            <v>Tallied</v>
          </cell>
        </row>
        <row r="725">
          <cell r="B725">
            <v>46161</v>
          </cell>
          <cell r="K725">
            <v>0</v>
          </cell>
          <cell r="M725">
            <v>0</v>
          </cell>
          <cell r="P725">
            <v>15493.88</v>
          </cell>
          <cell r="Q725" t="str">
            <v>Tallied</v>
          </cell>
        </row>
        <row r="726">
          <cell r="B726">
            <v>46161</v>
          </cell>
          <cell r="K726">
            <v>0</v>
          </cell>
          <cell r="M726">
            <v>0</v>
          </cell>
          <cell r="P726">
            <v>53748.81</v>
          </cell>
          <cell r="Q726" t="str">
            <v>Tallied</v>
          </cell>
        </row>
        <row r="727">
          <cell r="B727">
            <v>46161</v>
          </cell>
          <cell r="K727">
            <v>0</v>
          </cell>
          <cell r="M727">
            <v>0</v>
          </cell>
          <cell r="P727">
            <v>161419.85999999999</v>
          </cell>
          <cell r="Q727" t="str">
            <v>Tallied</v>
          </cell>
        </row>
        <row r="728">
          <cell r="B728">
            <v>46161</v>
          </cell>
          <cell r="K728">
            <v>0</v>
          </cell>
          <cell r="M728">
            <v>0</v>
          </cell>
          <cell r="P728">
            <v>16286.01</v>
          </cell>
          <cell r="Q728" t="str">
            <v>Tallied</v>
          </cell>
        </row>
        <row r="729">
          <cell r="B729">
            <v>46161</v>
          </cell>
          <cell r="K729">
            <v>0</v>
          </cell>
          <cell r="M729">
            <v>0</v>
          </cell>
          <cell r="P729">
            <v>951.54</v>
          </cell>
          <cell r="Q729" t="str">
            <v>Tallied</v>
          </cell>
        </row>
        <row r="730">
          <cell r="B730">
            <v>46161</v>
          </cell>
          <cell r="K730">
            <v>0</v>
          </cell>
          <cell r="M730">
            <v>0</v>
          </cell>
          <cell r="P730">
            <v>1394.6000000000001</v>
          </cell>
          <cell r="Q730" t="str">
            <v>Tallied</v>
          </cell>
        </row>
        <row r="731">
          <cell r="B731">
            <v>46161</v>
          </cell>
          <cell r="K731">
            <v>0</v>
          </cell>
          <cell r="M731">
            <v>0</v>
          </cell>
          <cell r="P731">
            <v>5711387.5999999996</v>
          </cell>
          <cell r="Q731" t="str">
            <v>Tallied</v>
          </cell>
        </row>
        <row r="732">
          <cell r="B732">
            <v>46161</v>
          </cell>
          <cell r="K732">
            <v>0</v>
          </cell>
          <cell r="M732">
            <v>0</v>
          </cell>
          <cell r="P732">
            <v>25988.240000000002</v>
          </cell>
          <cell r="Q732" t="str">
            <v>Tallied</v>
          </cell>
        </row>
        <row r="733">
          <cell r="B733">
            <v>46161</v>
          </cell>
          <cell r="K733">
            <v>0</v>
          </cell>
          <cell r="M733">
            <v>0</v>
          </cell>
          <cell r="P733">
            <v>39445.32</v>
          </cell>
          <cell r="Q733" t="str">
            <v>Tallied</v>
          </cell>
        </row>
        <row r="734">
          <cell r="B734">
            <v>46161</v>
          </cell>
          <cell r="K734">
            <v>0</v>
          </cell>
          <cell r="M734">
            <v>0</v>
          </cell>
          <cell r="P734">
            <v>2320020.4</v>
          </cell>
          <cell r="Q734" t="str">
            <v>Tallied</v>
          </cell>
        </row>
        <row r="735">
          <cell r="B735">
            <v>46161</v>
          </cell>
          <cell r="K735">
            <v>0</v>
          </cell>
          <cell r="M735">
            <v>0</v>
          </cell>
          <cell r="P735">
            <v>26551.66</v>
          </cell>
          <cell r="Q735" t="str">
            <v>Tallied</v>
          </cell>
        </row>
        <row r="736">
          <cell r="B736">
            <v>46161</v>
          </cell>
          <cell r="K736">
            <v>0</v>
          </cell>
          <cell r="M736">
            <v>0</v>
          </cell>
          <cell r="P736">
            <v>14825111.4</v>
          </cell>
          <cell r="Q736" t="str">
            <v>Tallied</v>
          </cell>
        </row>
        <row r="737">
          <cell r="B737">
            <v>46161</v>
          </cell>
          <cell r="K737">
            <v>0</v>
          </cell>
          <cell r="M737">
            <v>0</v>
          </cell>
          <cell r="P737">
            <v>2710411.1999999997</v>
          </cell>
          <cell r="Q737" t="str">
            <v>Tallied</v>
          </cell>
        </row>
        <row r="738">
          <cell r="B738">
            <v>46161</v>
          </cell>
          <cell r="K738">
            <v>0</v>
          </cell>
          <cell r="M738">
            <v>0</v>
          </cell>
          <cell r="P738">
            <v>159129.60000000001</v>
          </cell>
          <cell r="Q738" t="str">
            <v>Tallied</v>
          </cell>
        </row>
        <row r="739">
          <cell r="B739">
            <v>46161</v>
          </cell>
          <cell r="K739">
            <v>0</v>
          </cell>
          <cell r="M739">
            <v>0</v>
          </cell>
          <cell r="P739">
            <v>139600.26</v>
          </cell>
          <cell r="Q739" t="str">
            <v>Tallied</v>
          </cell>
        </row>
        <row r="740">
          <cell r="B740">
            <v>46161</v>
          </cell>
          <cell r="K740">
            <v>0</v>
          </cell>
          <cell r="M740">
            <v>0</v>
          </cell>
          <cell r="P740">
            <v>7550.34</v>
          </cell>
          <cell r="Q740" t="str">
            <v>Tallied</v>
          </cell>
        </row>
        <row r="741">
          <cell r="B741">
            <v>46161</v>
          </cell>
          <cell r="K741">
            <v>0</v>
          </cell>
          <cell r="M741">
            <v>0</v>
          </cell>
          <cell r="P741">
            <v>37084.620000000003</v>
          </cell>
          <cell r="Q741" t="str">
            <v>Tallied</v>
          </cell>
        </row>
        <row r="742">
          <cell r="B742">
            <v>46161</v>
          </cell>
          <cell r="K742">
            <v>0</v>
          </cell>
          <cell r="M742">
            <v>0</v>
          </cell>
          <cell r="P742">
            <v>13642.95</v>
          </cell>
          <cell r="Q742" t="str">
            <v>Tallied</v>
          </cell>
        </row>
        <row r="743">
          <cell r="B743">
            <v>46161</v>
          </cell>
          <cell r="K743">
            <v>0</v>
          </cell>
          <cell r="M743">
            <v>0</v>
          </cell>
          <cell r="P743">
            <v>228390.08</v>
          </cell>
          <cell r="Q743" t="str">
            <v>Tallied</v>
          </cell>
        </row>
        <row r="744">
          <cell r="B744">
            <v>46161</v>
          </cell>
          <cell r="K744">
            <v>0</v>
          </cell>
          <cell r="M744">
            <v>0</v>
          </cell>
          <cell r="P744">
            <v>2911.18</v>
          </cell>
          <cell r="Q744" t="str">
            <v>Tallied</v>
          </cell>
        </row>
        <row r="745">
          <cell r="B745">
            <v>46161</v>
          </cell>
          <cell r="K745">
            <v>0</v>
          </cell>
          <cell r="M745">
            <v>0</v>
          </cell>
          <cell r="P745">
            <v>542760.80000000005</v>
          </cell>
          <cell r="Q745" t="str">
            <v>Tallied</v>
          </cell>
        </row>
        <row r="746">
          <cell r="B746">
            <v>46161</v>
          </cell>
          <cell r="K746">
            <v>0</v>
          </cell>
          <cell r="M746">
            <v>0</v>
          </cell>
          <cell r="P746">
            <v>628880.88</v>
          </cell>
          <cell r="Q746" t="str">
            <v>Tallied</v>
          </cell>
        </row>
        <row r="747">
          <cell r="B747">
            <v>46161</v>
          </cell>
          <cell r="K747">
            <v>0</v>
          </cell>
          <cell r="M747">
            <v>0</v>
          </cell>
          <cell r="P747">
            <v>3802.53</v>
          </cell>
          <cell r="Q747" t="str">
            <v>Tallied</v>
          </cell>
        </row>
        <row r="748">
          <cell r="B748">
            <v>46161</v>
          </cell>
          <cell r="K748">
            <v>0</v>
          </cell>
          <cell r="M748">
            <v>0</v>
          </cell>
          <cell r="P748">
            <v>14039.59</v>
          </cell>
          <cell r="Q748" t="str">
            <v>Tallied</v>
          </cell>
        </row>
        <row r="749">
          <cell r="B749">
            <v>46161</v>
          </cell>
          <cell r="K749">
            <v>0</v>
          </cell>
          <cell r="M749">
            <v>0</v>
          </cell>
          <cell r="P749">
            <v>83993.549999999988</v>
          </cell>
          <cell r="Q749" t="str">
            <v>Tallied</v>
          </cell>
        </row>
        <row r="750">
          <cell r="B750">
            <v>46161</v>
          </cell>
          <cell r="K750">
            <v>0</v>
          </cell>
          <cell r="M750">
            <v>0</v>
          </cell>
          <cell r="P750">
            <v>24555.200000000001</v>
          </cell>
          <cell r="Q750" t="str">
            <v>Tallied</v>
          </cell>
        </row>
        <row r="751">
          <cell r="B751">
            <v>46161</v>
          </cell>
          <cell r="K751">
            <v>0</v>
          </cell>
          <cell r="M751">
            <v>0</v>
          </cell>
          <cell r="P751">
            <v>148817.28</v>
          </cell>
          <cell r="Q751" t="str">
            <v>Tallied</v>
          </cell>
        </row>
        <row r="752">
          <cell r="B752">
            <v>46161</v>
          </cell>
          <cell r="K752">
            <v>0</v>
          </cell>
          <cell r="M752">
            <v>0</v>
          </cell>
          <cell r="P752">
            <v>645231.69000000006</v>
          </cell>
          <cell r="Q752" t="str">
            <v>Tallied</v>
          </cell>
        </row>
        <row r="753">
          <cell r="B753">
            <v>46161</v>
          </cell>
          <cell r="K753">
            <v>0</v>
          </cell>
          <cell r="M753">
            <v>0</v>
          </cell>
          <cell r="P753">
            <v>1</v>
          </cell>
          <cell r="Q753" t="str">
            <v>Tallied</v>
          </cell>
        </row>
        <row r="754">
          <cell r="B754">
            <v>46161</v>
          </cell>
          <cell r="K754">
            <v>0</v>
          </cell>
          <cell r="M754">
            <v>0</v>
          </cell>
          <cell r="P754">
            <v>6456098.5000000009</v>
          </cell>
          <cell r="Q754" t="str">
            <v>Tallied</v>
          </cell>
        </row>
        <row r="755">
          <cell r="B755">
            <v>46161</v>
          </cell>
          <cell r="K755">
            <v>0</v>
          </cell>
          <cell r="M755">
            <v>0</v>
          </cell>
          <cell r="P755">
            <v>45324718.559999995</v>
          </cell>
          <cell r="Q755" t="str">
            <v>Tallied</v>
          </cell>
        </row>
        <row r="756">
          <cell r="B756">
            <v>46161</v>
          </cell>
          <cell r="K756">
            <v>0</v>
          </cell>
          <cell r="M756">
            <v>0</v>
          </cell>
          <cell r="P756">
            <v>4122.7</v>
          </cell>
          <cell r="Q756" t="str">
            <v>Tallied</v>
          </cell>
        </row>
        <row r="757">
          <cell r="B757">
            <v>46161</v>
          </cell>
          <cell r="K757">
            <v>0</v>
          </cell>
          <cell r="M757">
            <v>0</v>
          </cell>
          <cell r="P757">
            <v>931.84</v>
          </cell>
          <cell r="Q757" t="str">
            <v>Tallied</v>
          </cell>
        </row>
        <row r="758">
          <cell r="B758">
            <v>46161</v>
          </cell>
          <cell r="K758">
            <v>0</v>
          </cell>
          <cell r="M758">
            <v>0</v>
          </cell>
          <cell r="P758">
            <v>3784.22</v>
          </cell>
          <cell r="Q758" t="str">
            <v>Tallied</v>
          </cell>
        </row>
        <row r="759">
          <cell r="B759">
            <v>46161</v>
          </cell>
          <cell r="K759">
            <v>0</v>
          </cell>
          <cell r="M759">
            <v>0</v>
          </cell>
          <cell r="P759">
            <v>575911</v>
          </cell>
          <cell r="Q759" t="str">
            <v>Tallied</v>
          </cell>
        </row>
        <row r="760">
          <cell r="B760">
            <v>46161</v>
          </cell>
          <cell r="K760">
            <v>0</v>
          </cell>
          <cell r="M760">
            <v>0</v>
          </cell>
          <cell r="P760">
            <v>1611883.7000000002</v>
          </cell>
          <cell r="Q760" t="str">
            <v>Tallied</v>
          </cell>
        </row>
        <row r="761">
          <cell r="B761">
            <v>46161</v>
          </cell>
          <cell r="K761">
            <v>0</v>
          </cell>
          <cell r="M761">
            <v>0</v>
          </cell>
          <cell r="P761">
            <v>9627.42</v>
          </cell>
          <cell r="Q761" t="str">
            <v>Tallied</v>
          </cell>
        </row>
        <row r="762">
          <cell r="B762">
            <v>46161</v>
          </cell>
          <cell r="K762">
            <v>0</v>
          </cell>
          <cell r="M762">
            <v>0</v>
          </cell>
          <cell r="P762">
            <v>33119.599999999999</v>
          </cell>
          <cell r="Q762" t="str">
            <v>Tallied</v>
          </cell>
        </row>
        <row r="763">
          <cell r="B763">
            <v>46161</v>
          </cell>
          <cell r="K763">
            <v>0</v>
          </cell>
          <cell r="M763">
            <v>0</v>
          </cell>
          <cell r="P763">
            <v>1160907</v>
          </cell>
          <cell r="Q763" t="str">
            <v>Tallied</v>
          </cell>
        </row>
        <row r="764">
          <cell r="B764">
            <v>46161</v>
          </cell>
          <cell r="K764">
            <v>0</v>
          </cell>
          <cell r="M764">
            <v>0</v>
          </cell>
          <cell r="P764">
            <v>290899.84000000003</v>
          </cell>
          <cell r="Q764" t="str">
            <v>Tallied</v>
          </cell>
        </row>
        <row r="765">
          <cell r="B765">
            <v>46161</v>
          </cell>
          <cell r="K765">
            <v>0</v>
          </cell>
          <cell r="M765">
            <v>0</v>
          </cell>
          <cell r="P765">
            <v>7299521.7600000007</v>
          </cell>
          <cell r="Q765" t="str">
            <v>Tallied</v>
          </cell>
        </row>
        <row r="766">
          <cell r="B766">
            <v>46161</v>
          </cell>
          <cell r="K766">
            <v>0</v>
          </cell>
          <cell r="M766">
            <v>0</v>
          </cell>
          <cell r="P766">
            <v>531816.31999999995</v>
          </cell>
          <cell r="Q766" t="str">
            <v>Tallied</v>
          </cell>
        </row>
        <row r="767">
          <cell r="B767">
            <v>46161</v>
          </cell>
          <cell r="K767">
            <v>0</v>
          </cell>
          <cell r="M767">
            <v>0</v>
          </cell>
          <cell r="P767">
            <v>127471.49999999999</v>
          </cell>
          <cell r="Q767" t="str">
            <v>Tallied</v>
          </cell>
        </row>
        <row r="768">
          <cell r="B768">
            <v>46161</v>
          </cell>
          <cell r="K768">
            <v>0</v>
          </cell>
          <cell r="M768">
            <v>0</v>
          </cell>
          <cell r="P768">
            <v>13288.41</v>
          </cell>
          <cell r="Q768" t="str">
            <v>Tallied</v>
          </cell>
        </row>
        <row r="769">
          <cell r="B769">
            <v>46161</v>
          </cell>
          <cell r="K769">
            <v>0</v>
          </cell>
          <cell r="M769">
            <v>0</v>
          </cell>
          <cell r="P769">
            <v>532234.62</v>
          </cell>
          <cell r="Q769" t="str">
            <v>Tallied</v>
          </cell>
        </row>
        <row r="770">
          <cell r="B770">
            <v>46162</v>
          </cell>
          <cell r="K770">
            <v>0</v>
          </cell>
          <cell r="M770">
            <v>0</v>
          </cell>
          <cell r="P770">
            <v>19074</v>
          </cell>
          <cell r="Q770" t="str">
            <v>Tallied</v>
          </cell>
        </row>
        <row r="771">
          <cell r="B771">
            <v>46162</v>
          </cell>
          <cell r="K771">
            <v>0</v>
          </cell>
          <cell r="M771">
            <v>0</v>
          </cell>
          <cell r="P771">
            <v>24276</v>
          </cell>
          <cell r="Q771" t="str">
            <v>Tallied</v>
          </cell>
        </row>
        <row r="772">
          <cell r="B772">
            <v>46162</v>
          </cell>
          <cell r="K772">
            <v>0</v>
          </cell>
          <cell r="M772">
            <v>0</v>
          </cell>
          <cell r="P772">
            <v>194208</v>
          </cell>
          <cell r="Q772" t="str">
            <v>Tallied</v>
          </cell>
        </row>
        <row r="773">
          <cell r="B773">
            <v>46162</v>
          </cell>
          <cell r="K773">
            <v>0</v>
          </cell>
          <cell r="M773">
            <v>0</v>
          </cell>
          <cell r="P773">
            <v>6358</v>
          </cell>
          <cell r="Q773" t="str">
            <v>Tallied</v>
          </cell>
        </row>
        <row r="774">
          <cell r="B774">
            <v>46162</v>
          </cell>
          <cell r="K774">
            <v>0</v>
          </cell>
          <cell r="M774">
            <v>0</v>
          </cell>
          <cell r="P774">
            <v>8221917.4400000004</v>
          </cell>
          <cell r="Q774" t="str">
            <v>Tallied</v>
          </cell>
        </row>
        <row r="775">
          <cell r="B775">
            <v>46162</v>
          </cell>
          <cell r="K775">
            <v>0</v>
          </cell>
          <cell r="M775">
            <v>0</v>
          </cell>
          <cell r="P775">
            <v>23645216.140000001</v>
          </cell>
          <cell r="Q775" t="str">
            <v>Tallied</v>
          </cell>
        </row>
        <row r="776">
          <cell r="B776">
            <v>46162</v>
          </cell>
          <cell r="K776">
            <v>0</v>
          </cell>
          <cell r="M776">
            <v>0</v>
          </cell>
          <cell r="P776">
            <v>162282.21</v>
          </cell>
          <cell r="Q776" t="str">
            <v>Tallied</v>
          </cell>
        </row>
        <row r="777">
          <cell r="B777">
            <v>46162</v>
          </cell>
          <cell r="K777">
            <v>0</v>
          </cell>
          <cell r="M777">
            <v>0</v>
          </cell>
          <cell r="P777">
            <v>417142.2</v>
          </cell>
          <cell r="Q777" t="str">
            <v>Tallied</v>
          </cell>
        </row>
        <row r="778">
          <cell r="B778">
            <v>46162</v>
          </cell>
          <cell r="K778">
            <v>0</v>
          </cell>
          <cell r="M778">
            <v>0</v>
          </cell>
          <cell r="P778">
            <v>23541</v>
          </cell>
          <cell r="Q778" t="str">
            <v>Tallied</v>
          </cell>
        </row>
        <row r="779">
          <cell r="B779">
            <v>46162</v>
          </cell>
          <cell r="K779">
            <v>0</v>
          </cell>
          <cell r="M779">
            <v>0</v>
          </cell>
          <cell r="P779">
            <v>269040</v>
          </cell>
          <cell r="Q779" t="str">
            <v>Tallied</v>
          </cell>
        </row>
        <row r="780">
          <cell r="B780">
            <v>46162</v>
          </cell>
          <cell r="K780">
            <v>0</v>
          </cell>
          <cell r="M780">
            <v>0</v>
          </cell>
          <cell r="P780">
            <v>1631055</v>
          </cell>
          <cell r="Q780" t="str">
            <v>Tallied</v>
          </cell>
        </row>
        <row r="781">
          <cell r="B781">
            <v>46162</v>
          </cell>
          <cell r="K781">
            <v>0</v>
          </cell>
          <cell r="M781">
            <v>0</v>
          </cell>
          <cell r="P781">
            <v>156350.25</v>
          </cell>
          <cell r="Q781" t="str">
            <v>Tallied</v>
          </cell>
        </row>
        <row r="782">
          <cell r="B782">
            <v>46162</v>
          </cell>
          <cell r="K782">
            <v>0</v>
          </cell>
          <cell r="M782">
            <v>0</v>
          </cell>
          <cell r="P782">
            <v>151370.09999999998</v>
          </cell>
          <cell r="Q782" t="str">
            <v>Tallied</v>
          </cell>
        </row>
        <row r="783">
          <cell r="B783">
            <v>46162</v>
          </cell>
          <cell r="K783">
            <v>0</v>
          </cell>
          <cell r="M783">
            <v>0</v>
          </cell>
          <cell r="P783">
            <v>85196</v>
          </cell>
          <cell r="Q783" t="str">
            <v>Tallied</v>
          </cell>
        </row>
        <row r="784">
          <cell r="B784">
            <v>46162</v>
          </cell>
          <cell r="K784">
            <v>0</v>
          </cell>
          <cell r="M784">
            <v>0</v>
          </cell>
          <cell r="P784">
            <v>197296</v>
          </cell>
          <cell r="Q784" t="str">
            <v>Tallied</v>
          </cell>
        </row>
        <row r="785">
          <cell r="B785">
            <v>46162</v>
          </cell>
          <cell r="K785">
            <v>0</v>
          </cell>
          <cell r="M785">
            <v>0</v>
          </cell>
          <cell r="P785">
            <v>16815</v>
          </cell>
          <cell r="Q785" t="str">
            <v>Tallied</v>
          </cell>
        </row>
        <row r="786">
          <cell r="B786">
            <v>46162</v>
          </cell>
          <cell r="K786">
            <v>0</v>
          </cell>
          <cell r="M786">
            <v>0</v>
          </cell>
          <cell r="P786">
            <v>14178408</v>
          </cell>
          <cell r="Q786" t="str">
            <v>Tallied</v>
          </cell>
        </row>
        <row r="787">
          <cell r="B787">
            <v>46162</v>
          </cell>
          <cell r="K787">
            <v>0</v>
          </cell>
          <cell r="M787">
            <v>0</v>
          </cell>
          <cell r="P787">
            <v>1681416</v>
          </cell>
          <cell r="Q787" t="str">
            <v>Tallied</v>
          </cell>
        </row>
        <row r="788">
          <cell r="B788">
            <v>46162</v>
          </cell>
          <cell r="K788">
            <v>0</v>
          </cell>
          <cell r="M788">
            <v>0</v>
          </cell>
          <cell r="P788">
            <v>2229150</v>
          </cell>
          <cell r="Q788" t="str">
            <v>Tallied</v>
          </cell>
        </row>
        <row r="789">
          <cell r="B789">
            <v>46162</v>
          </cell>
          <cell r="K789">
            <v>0</v>
          </cell>
          <cell r="M789">
            <v>0</v>
          </cell>
          <cell r="P789">
            <v>9143568</v>
          </cell>
          <cell r="Q789" t="str">
            <v>Tallied</v>
          </cell>
        </row>
        <row r="790">
          <cell r="B790">
            <v>46162</v>
          </cell>
          <cell r="K790">
            <v>0</v>
          </cell>
          <cell r="M790">
            <v>0</v>
          </cell>
          <cell r="P790">
            <v>4272345.0000000009</v>
          </cell>
          <cell r="Q790" t="str">
            <v>Tallied</v>
          </cell>
        </row>
        <row r="791">
          <cell r="B791">
            <v>46162</v>
          </cell>
          <cell r="K791">
            <v>0</v>
          </cell>
          <cell r="M791">
            <v>0</v>
          </cell>
          <cell r="P791">
            <v>421562.39999999997</v>
          </cell>
          <cell r="Q791" t="str">
            <v>Tallied</v>
          </cell>
        </row>
        <row r="792">
          <cell r="B792">
            <v>46162</v>
          </cell>
          <cell r="K792">
            <v>0</v>
          </cell>
          <cell r="M792">
            <v>0</v>
          </cell>
          <cell r="P792">
            <v>1212596</v>
          </cell>
          <cell r="Q792" t="str">
            <v>Tallied</v>
          </cell>
        </row>
        <row r="793">
          <cell r="B793">
            <v>46162</v>
          </cell>
          <cell r="K793">
            <v>0</v>
          </cell>
          <cell r="M793">
            <v>0</v>
          </cell>
          <cell r="P793">
            <v>991.12</v>
          </cell>
          <cell r="Q793" t="str">
            <v>Tallied</v>
          </cell>
        </row>
        <row r="794">
          <cell r="B794">
            <v>46162</v>
          </cell>
          <cell r="K794">
            <v>0</v>
          </cell>
          <cell r="M794">
            <v>0</v>
          </cell>
          <cell r="P794">
            <v>56964</v>
          </cell>
          <cell r="Q794" t="str">
            <v>Tallied</v>
          </cell>
        </row>
        <row r="795">
          <cell r="B795">
            <v>46162</v>
          </cell>
          <cell r="K795">
            <v>0</v>
          </cell>
          <cell r="M795">
            <v>0</v>
          </cell>
          <cell r="P795">
            <v>101745</v>
          </cell>
          <cell r="Q795" t="str">
            <v>Tallied</v>
          </cell>
        </row>
        <row r="796">
          <cell r="B796">
            <v>46162</v>
          </cell>
          <cell r="K796">
            <v>0</v>
          </cell>
          <cell r="M796">
            <v>0</v>
          </cell>
          <cell r="P796">
            <v>3265936</v>
          </cell>
          <cell r="Q796" t="str">
            <v>Tallied</v>
          </cell>
        </row>
        <row r="797">
          <cell r="B797">
            <v>46162</v>
          </cell>
          <cell r="K797">
            <v>0</v>
          </cell>
          <cell r="M797">
            <v>0</v>
          </cell>
          <cell r="P797">
            <v>2170560</v>
          </cell>
          <cell r="Q797" t="str">
            <v>Tallied</v>
          </cell>
        </row>
        <row r="798">
          <cell r="B798">
            <v>46162</v>
          </cell>
          <cell r="K798">
            <v>0</v>
          </cell>
          <cell r="M798">
            <v>0</v>
          </cell>
          <cell r="P798">
            <v>15303861.719999995</v>
          </cell>
          <cell r="Q798" t="str">
            <v>Tallied</v>
          </cell>
        </row>
        <row r="799">
          <cell r="B799">
            <v>46162</v>
          </cell>
          <cell r="K799">
            <v>0</v>
          </cell>
          <cell r="M799">
            <v>0</v>
          </cell>
          <cell r="P799">
            <v>3161381.1599999997</v>
          </cell>
          <cell r="Q799" t="str">
            <v>Tallied</v>
          </cell>
        </row>
        <row r="800">
          <cell r="B800">
            <v>46162</v>
          </cell>
          <cell r="K800">
            <v>0</v>
          </cell>
          <cell r="M800">
            <v>0</v>
          </cell>
          <cell r="P800">
            <v>1229898.72</v>
          </cell>
          <cell r="Q800" t="str">
            <v>Tallied</v>
          </cell>
        </row>
        <row r="801">
          <cell r="B801">
            <v>46162</v>
          </cell>
          <cell r="K801">
            <v>0</v>
          </cell>
          <cell r="M801">
            <v>0</v>
          </cell>
          <cell r="P801">
            <v>331018.68</v>
          </cell>
          <cell r="Q801" t="str">
            <v>Tallied</v>
          </cell>
        </row>
        <row r="802">
          <cell r="B802">
            <v>46162</v>
          </cell>
          <cell r="K802">
            <v>0</v>
          </cell>
          <cell r="M802">
            <v>0</v>
          </cell>
          <cell r="P802">
            <v>434612.68</v>
          </cell>
          <cell r="Q802" t="str">
            <v>Tallied</v>
          </cell>
        </row>
        <row r="803">
          <cell r="B803">
            <v>46162</v>
          </cell>
          <cell r="K803">
            <v>0</v>
          </cell>
          <cell r="M803">
            <v>0</v>
          </cell>
          <cell r="P803">
            <v>28212.090000000004</v>
          </cell>
          <cell r="Q803" t="str">
            <v>Tallied</v>
          </cell>
        </row>
        <row r="804">
          <cell r="B804">
            <v>46162</v>
          </cell>
          <cell r="K804">
            <v>0</v>
          </cell>
          <cell r="M804">
            <v>0</v>
          </cell>
          <cell r="P804">
            <v>94135.860000000015</v>
          </cell>
          <cell r="Q804" t="str">
            <v>Tallied</v>
          </cell>
        </row>
        <row r="805">
          <cell r="B805">
            <v>46162</v>
          </cell>
          <cell r="K805">
            <v>0</v>
          </cell>
          <cell r="M805">
            <v>0</v>
          </cell>
          <cell r="P805">
            <v>94664.6</v>
          </cell>
          <cell r="Q805" t="str">
            <v>Tallied</v>
          </cell>
        </row>
        <row r="806">
          <cell r="B806">
            <v>46162</v>
          </cell>
          <cell r="K806">
            <v>0</v>
          </cell>
          <cell r="M806">
            <v>0</v>
          </cell>
          <cell r="P806">
            <v>50008.4</v>
          </cell>
          <cell r="Q806" t="str">
            <v>Tallied</v>
          </cell>
        </row>
        <row r="807">
          <cell r="B807">
            <v>46162</v>
          </cell>
          <cell r="K807">
            <v>0</v>
          </cell>
          <cell r="M807">
            <v>0</v>
          </cell>
          <cell r="P807">
            <v>8617.91</v>
          </cell>
          <cell r="Q807" t="str">
            <v>Tallied</v>
          </cell>
        </row>
        <row r="808">
          <cell r="B808">
            <v>46162</v>
          </cell>
          <cell r="K808">
            <v>0</v>
          </cell>
          <cell r="M808">
            <v>0</v>
          </cell>
          <cell r="P808">
            <v>33114.400000000001</v>
          </cell>
          <cell r="Q808" t="str">
            <v>Tallied</v>
          </cell>
        </row>
        <row r="809">
          <cell r="B809">
            <v>46162</v>
          </cell>
          <cell r="K809">
            <v>0</v>
          </cell>
          <cell r="M809">
            <v>0</v>
          </cell>
          <cell r="P809">
            <v>705797.4</v>
          </cell>
          <cell r="Q809" t="str">
            <v>Tallied</v>
          </cell>
        </row>
        <row r="810">
          <cell r="B810">
            <v>46162</v>
          </cell>
          <cell r="K810">
            <v>0</v>
          </cell>
          <cell r="M810">
            <v>0</v>
          </cell>
          <cell r="P810">
            <v>887142.48</v>
          </cell>
          <cell r="Q810" t="str">
            <v>Tallied</v>
          </cell>
        </row>
        <row r="811">
          <cell r="B811">
            <v>46162</v>
          </cell>
          <cell r="K811">
            <v>0</v>
          </cell>
          <cell r="M811">
            <v>0</v>
          </cell>
          <cell r="P811">
            <v>868549.5</v>
          </cell>
          <cell r="Q811" t="str">
            <v>Tallied</v>
          </cell>
        </row>
        <row r="812">
          <cell r="B812">
            <v>46162</v>
          </cell>
          <cell r="K812">
            <v>0</v>
          </cell>
          <cell r="M812">
            <v>0</v>
          </cell>
          <cell r="P812">
            <v>9805720.6799999997</v>
          </cell>
          <cell r="Q812" t="str">
            <v>Tallied</v>
          </cell>
        </row>
        <row r="813">
          <cell r="B813">
            <v>46162</v>
          </cell>
          <cell r="K813">
            <v>0</v>
          </cell>
          <cell r="M813">
            <v>0</v>
          </cell>
          <cell r="P813">
            <v>486861.48000000004</v>
          </cell>
          <cell r="Q813" t="str">
            <v>Tallied</v>
          </cell>
        </row>
        <row r="814">
          <cell r="B814">
            <v>46162</v>
          </cell>
          <cell r="K814">
            <v>0</v>
          </cell>
          <cell r="M814">
            <v>0</v>
          </cell>
          <cell r="P814">
            <v>123455.76</v>
          </cell>
          <cell r="Q814" t="str">
            <v>Tallied</v>
          </cell>
        </row>
        <row r="815">
          <cell r="B815">
            <v>46162</v>
          </cell>
          <cell r="K815">
            <v>0</v>
          </cell>
          <cell r="M815">
            <v>0</v>
          </cell>
          <cell r="P815">
            <v>78043.56</v>
          </cell>
          <cell r="Q815" t="str">
            <v>Tallied</v>
          </cell>
        </row>
        <row r="816">
          <cell r="B816">
            <v>46162</v>
          </cell>
          <cell r="K816">
            <v>0</v>
          </cell>
          <cell r="M816">
            <v>0</v>
          </cell>
          <cell r="P816">
            <v>16682.8</v>
          </cell>
          <cell r="Q816" t="str">
            <v>Tallied</v>
          </cell>
        </row>
        <row r="817">
          <cell r="B817">
            <v>46162</v>
          </cell>
          <cell r="K817">
            <v>0</v>
          </cell>
          <cell r="M817">
            <v>0</v>
          </cell>
          <cell r="P817">
            <v>11160312.959999999</v>
          </cell>
          <cell r="Q817" t="str">
            <v>Tallied</v>
          </cell>
        </row>
        <row r="818">
          <cell r="B818">
            <v>46162</v>
          </cell>
          <cell r="K818">
            <v>0</v>
          </cell>
          <cell r="M818">
            <v>0</v>
          </cell>
          <cell r="P818">
            <v>15928430.76</v>
          </cell>
          <cell r="Q818" t="str">
            <v>Tallied</v>
          </cell>
        </row>
        <row r="819">
          <cell r="B819">
            <v>46162</v>
          </cell>
          <cell r="K819">
            <v>0</v>
          </cell>
          <cell r="M819">
            <v>0</v>
          </cell>
          <cell r="P819">
            <v>73653952.920000002</v>
          </cell>
          <cell r="Q819" t="str">
            <v>Tallied</v>
          </cell>
        </row>
        <row r="820">
          <cell r="B820">
            <v>46163</v>
          </cell>
          <cell r="K820">
            <v>0</v>
          </cell>
          <cell r="M820">
            <v>0</v>
          </cell>
          <cell r="P820">
            <v>13532798.25</v>
          </cell>
          <cell r="Q820" t="str">
            <v>Tallied</v>
          </cell>
        </row>
        <row r="821">
          <cell r="B821">
            <v>46163</v>
          </cell>
          <cell r="K821">
            <v>0</v>
          </cell>
          <cell r="M821">
            <v>0</v>
          </cell>
          <cell r="P821">
            <v>6518081.1200000001</v>
          </cell>
          <cell r="Q821" t="str">
            <v>Tallied</v>
          </cell>
        </row>
        <row r="822">
          <cell r="B822">
            <v>46163</v>
          </cell>
          <cell r="K822">
            <v>0</v>
          </cell>
          <cell r="M822">
            <v>0</v>
          </cell>
          <cell r="P822">
            <v>1499717.76</v>
          </cell>
          <cell r="Q822" t="str">
            <v>Tallied</v>
          </cell>
        </row>
        <row r="823">
          <cell r="B823">
            <v>46163</v>
          </cell>
          <cell r="K823">
            <v>0</v>
          </cell>
          <cell r="M823">
            <v>0</v>
          </cell>
          <cell r="P823">
            <v>13961.4</v>
          </cell>
          <cell r="Q823" t="str">
            <v>Tallied</v>
          </cell>
        </row>
        <row r="824">
          <cell r="B824">
            <v>46163</v>
          </cell>
          <cell r="K824">
            <v>0</v>
          </cell>
          <cell r="M824">
            <v>0</v>
          </cell>
          <cell r="P824">
            <v>83931.8</v>
          </cell>
          <cell r="Q824" t="str">
            <v>Tallied</v>
          </cell>
        </row>
        <row r="825">
          <cell r="B825">
            <v>46163</v>
          </cell>
          <cell r="K825">
            <v>0</v>
          </cell>
          <cell r="M825">
            <v>0</v>
          </cell>
          <cell r="P825">
            <v>3051800.5</v>
          </cell>
          <cell r="Q825" t="str">
            <v>Tallied</v>
          </cell>
        </row>
        <row r="826">
          <cell r="B826">
            <v>46163</v>
          </cell>
          <cell r="K826">
            <v>0</v>
          </cell>
          <cell r="M826">
            <v>0</v>
          </cell>
          <cell r="P826">
            <v>4678223</v>
          </cell>
          <cell r="Q826" t="str">
            <v>Tallied</v>
          </cell>
        </row>
        <row r="827">
          <cell r="B827">
            <v>46163</v>
          </cell>
          <cell r="K827">
            <v>0</v>
          </cell>
          <cell r="M827">
            <v>0</v>
          </cell>
          <cell r="P827">
            <v>93078.16</v>
          </cell>
          <cell r="Q827" t="str">
            <v>Tallied</v>
          </cell>
        </row>
        <row r="828">
          <cell r="B828">
            <v>46163</v>
          </cell>
          <cell r="K828">
            <v>0</v>
          </cell>
          <cell r="M828">
            <v>0</v>
          </cell>
          <cell r="P828">
            <v>47567.44</v>
          </cell>
          <cell r="Q828" t="str">
            <v>Tallied</v>
          </cell>
        </row>
        <row r="829">
          <cell r="B829">
            <v>46163</v>
          </cell>
          <cell r="K829">
            <v>0</v>
          </cell>
          <cell r="M829">
            <v>0</v>
          </cell>
          <cell r="P829">
            <v>184115.4</v>
          </cell>
          <cell r="Q829" t="str">
            <v>Tallied</v>
          </cell>
        </row>
        <row r="830">
          <cell r="B830">
            <v>46163</v>
          </cell>
          <cell r="K830">
            <v>0</v>
          </cell>
          <cell r="M830">
            <v>0</v>
          </cell>
          <cell r="P830">
            <v>89028.64</v>
          </cell>
          <cell r="Q830" t="str">
            <v>Tallied</v>
          </cell>
        </row>
        <row r="831">
          <cell r="B831">
            <v>46163</v>
          </cell>
          <cell r="K831">
            <v>0</v>
          </cell>
          <cell r="M831">
            <v>0</v>
          </cell>
          <cell r="P831">
            <v>5279091.3</v>
          </cell>
          <cell r="Q831" t="str">
            <v>Tallied</v>
          </cell>
        </row>
        <row r="832">
          <cell r="B832">
            <v>46163</v>
          </cell>
          <cell r="K832">
            <v>0</v>
          </cell>
          <cell r="M832">
            <v>0</v>
          </cell>
          <cell r="P832">
            <v>1076286.96</v>
          </cell>
          <cell r="Q832" t="str">
            <v>Tallied</v>
          </cell>
        </row>
        <row r="833">
          <cell r="B833">
            <v>46163</v>
          </cell>
          <cell r="K833">
            <v>0</v>
          </cell>
          <cell r="M833">
            <v>0</v>
          </cell>
          <cell r="P833">
            <v>69953.48</v>
          </cell>
          <cell r="Q833" t="str">
            <v>Tallied</v>
          </cell>
        </row>
        <row r="834">
          <cell r="B834">
            <v>46163</v>
          </cell>
          <cell r="K834">
            <v>0</v>
          </cell>
          <cell r="M834">
            <v>0</v>
          </cell>
          <cell r="P834">
            <v>5660.77</v>
          </cell>
          <cell r="Q834" t="str">
            <v>Tallied</v>
          </cell>
        </row>
        <row r="835">
          <cell r="B835">
            <v>46163</v>
          </cell>
          <cell r="K835">
            <v>0</v>
          </cell>
          <cell r="M835">
            <v>0</v>
          </cell>
          <cell r="P835">
            <v>12264.07</v>
          </cell>
          <cell r="Q835" t="str">
            <v>Tallied</v>
          </cell>
        </row>
        <row r="836">
          <cell r="B836">
            <v>46163</v>
          </cell>
          <cell r="K836">
            <v>0</v>
          </cell>
          <cell r="M836">
            <v>0</v>
          </cell>
          <cell r="P836">
            <v>7942.35</v>
          </cell>
          <cell r="Q836" t="str">
            <v>Tallied</v>
          </cell>
        </row>
        <row r="837">
          <cell r="B837">
            <v>46163</v>
          </cell>
          <cell r="K837">
            <v>0</v>
          </cell>
          <cell r="M837">
            <v>0</v>
          </cell>
          <cell r="P837">
            <v>25803.68</v>
          </cell>
          <cell r="Q837" t="str">
            <v>Tallied</v>
          </cell>
        </row>
        <row r="838">
          <cell r="B838">
            <v>46163</v>
          </cell>
          <cell r="K838">
            <v>0</v>
          </cell>
          <cell r="M838">
            <v>0</v>
          </cell>
          <cell r="P838">
            <v>163264.35</v>
          </cell>
          <cell r="Q838" t="str">
            <v>Tallied</v>
          </cell>
        </row>
        <row r="839">
          <cell r="B839">
            <v>46163</v>
          </cell>
          <cell r="K839">
            <v>0</v>
          </cell>
          <cell r="M839">
            <v>0</v>
          </cell>
          <cell r="P839">
            <v>8325.58</v>
          </cell>
          <cell r="Q839" t="str">
            <v>Tallied</v>
          </cell>
        </row>
        <row r="840">
          <cell r="B840">
            <v>46163</v>
          </cell>
          <cell r="K840">
            <v>0</v>
          </cell>
          <cell r="M840">
            <v>0</v>
          </cell>
          <cell r="P840">
            <v>20083404.800000001</v>
          </cell>
          <cell r="Q840" t="str">
            <v>Tallied</v>
          </cell>
        </row>
        <row r="841">
          <cell r="B841">
            <v>46163</v>
          </cell>
          <cell r="K841">
            <v>0</v>
          </cell>
          <cell r="M841">
            <v>0</v>
          </cell>
          <cell r="P841">
            <v>224157667.71999997</v>
          </cell>
          <cell r="Q841" t="str">
            <v>Tallied</v>
          </cell>
        </row>
        <row r="842">
          <cell r="B842">
            <v>46163</v>
          </cell>
          <cell r="K842">
            <v>0</v>
          </cell>
          <cell r="M842">
            <v>0</v>
          </cell>
          <cell r="P842">
            <v>2780211.7800000003</v>
          </cell>
          <cell r="Q842" t="str">
            <v>Tallied</v>
          </cell>
        </row>
        <row r="843">
          <cell r="B843">
            <v>46163</v>
          </cell>
          <cell r="K843">
            <v>0</v>
          </cell>
          <cell r="M843">
            <v>0</v>
          </cell>
          <cell r="P843">
            <v>1</v>
          </cell>
          <cell r="Q843" t="str">
            <v>Tallied</v>
          </cell>
        </row>
        <row r="844">
          <cell r="B844">
            <v>46163</v>
          </cell>
          <cell r="K844">
            <v>0</v>
          </cell>
          <cell r="M844">
            <v>0</v>
          </cell>
          <cell r="P844">
            <v>89222.24</v>
          </cell>
          <cell r="Q844" t="str">
            <v>Tallied</v>
          </cell>
        </row>
        <row r="845">
          <cell r="B845">
            <v>46163</v>
          </cell>
          <cell r="K845">
            <v>0</v>
          </cell>
          <cell r="M845">
            <v>0</v>
          </cell>
          <cell r="P845">
            <v>926.68</v>
          </cell>
          <cell r="Q845" t="str">
            <v>Tallied</v>
          </cell>
        </row>
        <row r="846">
          <cell r="B846">
            <v>46163</v>
          </cell>
          <cell r="K846">
            <v>0</v>
          </cell>
          <cell r="M846">
            <v>0</v>
          </cell>
          <cell r="P846">
            <v>22711.34</v>
          </cell>
          <cell r="Q846" t="str">
            <v>Tallied</v>
          </cell>
        </row>
        <row r="847">
          <cell r="B847">
            <v>46163</v>
          </cell>
          <cell r="K847">
            <v>0</v>
          </cell>
          <cell r="M847">
            <v>0</v>
          </cell>
          <cell r="P847">
            <v>222668.64</v>
          </cell>
          <cell r="Q847" t="str">
            <v>Tallied</v>
          </cell>
        </row>
        <row r="848">
          <cell r="B848">
            <v>46163</v>
          </cell>
          <cell r="K848">
            <v>0</v>
          </cell>
          <cell r="M848">
            <v>0</v>
          </cell>
          <cell r="P848">
            <v>114889.20000000001</v>
          </cell>
          <cell r="Q848" t="str">
            <v>Tallied</v>
          </cell>
        </row>
        <row r="849">
          <cell r="B849">
            <v>46163</v>
          </cell>
          <cell r="K849">
            <v>0</v>
          </cell>
          <cell r="M849">
            <v>0</v>
          </cell>
          <cell r="P849">
            <v>9584.64</v>
          </cell>
          <cell r="Q849" t="str">
            <v>Tallied</v>
          </cell>
        </row>
        <row r="850">
          <cell r="B850">
            <v>46163</v>
          </cell>
          <cell r="K850">
            <v>0</v>
          </cell>
          <cell r="M850">
            <v>0</v>
          </cell>
          <cell r="P850">
            <v>10250.57</v>
          </cell>
          <cell r="Q850" t="str">
            <v>Tallied</v>
          </cell>
        </row>
        <row r="851">
          <cell r="B851">
            <v>46163</v>
          </cell>
          <cell r="K851">
            <v>0</v>
          </cell>
          <cell r="M851">
            <v>0</v>
          </cell>
          <cell r="P851">
            <v>124714.21</v>
          </cell>
          <cell r="Q851" t="str">
            <v>Tallied</v>
          </cell>
        </row>
        <row r="852">
          <cell r="B852">
            <v>46163</v>
          </cell>
          <cell r="K852">
            <v>0</v>
          </cell>
          <cell r="M852">
            <v>0</v>
          </cell>
          <cell r="P852">
            <v>2214994.92</v>
          </cell>
          <cell r="Q852" t="str">
            <v>Tallied</v>
          </cell>
        </row>
        <row r="853">
          <cell r="B853">
            <v>46163</v>
          </cell>
          <cell r="K853">
            <v>0</v>
          </cell>
          <cell r="M853">
            <v>0</v>
          </cell>
          <cell r="P853">
            <v>5382568.4399999985</v>
          </cell>
          <cell r="Q853" t="str">
            <v>Tallied</v>
          </cell>
        </row>
        <row r="854">
          <cell r="B854">
            <v>46163</v>
          </cell>
          <cell r="K854">
            <v>0</v>
          </cell>
          <cell r="M854">
            <v>0</v>
          </cell>
          <cell r="P854">
            <v>596523.5</v>
          </cell>
          <cell r="Q854" t="str">
            <v>Tallied</v>
          </cell>
        </row>
        <row r="855">
          <cell r="B855">
            <v>46163</v>
          </cell>
          <cell r="K855">
            <v>0</v>
          </cell>
          <cell r="M855">
            <v>0</v>
          </cell>
          <cell r="P855">
            <v>127461.44</v>
          </cell>
          <cell r="Q855" t="str">
            <v>Tallied</v>
          </cell>
        </row>
        <row r="856">
          <cell r="B856">
            <v>46163</v>
          </cell>
          <cell r="K856">
            <v>0</v>
          </cell>
          <cell r="M856">
            <v>0</v>
          </cell>
          <cell r="P856">
            <v>12</v>
          </cell>
          <cell r="Q856" t="str">
            <v>Tallied</v>
          </cell>
        </row>
        <row r="857">
          <cell r="B857">
            <v>46163</v>
          </cell>
          <cell r="K857">
            <v>0</v>
          </cell>
          <cell r="M857">
            <v>0</v>
          </cell>
          <cell r="P857">
            <v>9901257.5999999978</v>
          </cell>
          <cell r="Q857" t="str">
            <v>Tallied</v>
          </cell>
        </row>
        <row r="858">
          <cell r="B858">
            <v>46163</v>
          </cell>
          <cell r="K858">
            <v>0</v>
          </cell>
          <cell r="M858">
            <v>0</v>
          </cell>
          <cell r="P858">
            <v>25038.720000000001</v>
          </cell>
          <cell r="Q858" t="str">
            <v>Tallied</v>
          </cell>
        </row>
        <row r="859">
          <cell r="B859">
            <v>46163</v>
          </cell>
          <cell r="K859">
            <v>0</v>
          </cell>
          <cell r="M859">
            <v>0</v>
          </cell>
          <cell r="P859">
            <v>3171.56</v>
          </cell>
          <cell r="Q859" t="str">
            <v>Tallied</v>
          </cell>
        </row>
        <row r="860">
          <cell r="B860">
            <v>46163</v>
          </cell>
          <cell r="K860">
            <v>0</v>
          </cell>
          <cell r="M860">
            <v>0</v>
          </cell>
          <cell r="P860">
            <v>1508936.3399999999</v>
          </cell>
          <cell r="Q860" t="str">
            <v>Tallied</v>
          </cell>
        </row>
        <row r="861">
          <cell r="B861">
            <v>46163</v>
          </cell>
          <cell r="K861">
            <v>0</v>
          </cell>
          <cell r="M861">
            <v>0</v>
          </cell>
          <cell r="P861">
            <v>5770102.8000000007</v>
          </cell>
          <cell r="Q861" t="str">
            <v>Tallied</v>
          </cell>
        </row>
        <row r="862">
          <cell r="B862">
            <v>46163</v>
          </cell>
          <cell r="K862">
            <v>0</v>
          </cell>
          <cell r="M862">
            <v>0</v>
          </cell>
          <cell r="P862">
            <v>3303135.3600000008</v>
          </cell>
          <cell r="Q862" t="str">
            <v>Tallied</v>
          </cell>
        </row>
        <row r="863">
          <cell r="B863">
            <v>46163</v>
          </cell>
          <cell r="K863">
            <v>0</v>
          </cell>
          <cell r="M863">
            <v>0</v>
          </cell>
          <cell r="P863">
            <v>6149299.5000000009</v>
          </cell>
          <cell r="Q863" t="str">
            <v>Tallied</v>
          </cell>
        </row>
        <row r="864">
          <cell r="B864">
            <v>46163</v>
          </cell>
          <cell r="K864">
            <v>0</v>
          </cell>
          <cell r="M864">
            <v>0</v>
          </cell>
          <cell r="P864">
            <v>12166411.5</v>
          </cell>
          <cell r="Q864" t="str">
            <v>Tallied</v>
          </cell>
        </row>
        <row r="865">
          <cell r="B865">
            <v>46163</v>
          </cell>
          <cell r="K865">
            <v>0</v>
          </cell>
          <cell r="M865">
            <v>0</v>
          </cell>
          <cell r="P865">
            <v>100060457.76000005</v>
          </cell>
          <cell r="Q865" t="str">
            <v>Tallied</v>
          </cell>
        </row>
        <row r="866">
          <cell r="B866">
            <v>46163</v>
          </cell>
          <cell r="K866">
            <v>0</v>
          </cell>
          <cell r="M866">
            <v>0</v>
          </cell>
          <cell r="P866">
            <v>1263459.1200000001</v>
          </cell>
          <cell r="Q866" t="str">
            <v>Tallied</v>
          </cell>
        </row>
        <row r="867">
          <cell r="B867">
            <v>46163</v>
          </cell>
          <cell r="K867">
            <v>0</v>
          </cell>
          <cell r="M867">
            <v>0</v>
          </cell>
          <cell r="P867">
            <v>664378.67999999993</v>
          </cell>
          <cell r="Q867" t="str">
            <v>Tallied</v>
          </cell>
        </row>
        <row r="868">
          <cell r="B868">
            <v>46164</v>
          </cell>
          <cell r="K868">
            <v>0</v>
          </cell>
          <cell r="M868">
            <v>0</v>
          </cell>
          <cell r="P868">
            <v>1754029.4</v>
          </cell>
          <cell r="Q868" t="str">
            <v>Tallied</v>
          </cell>
        </row>
        <row r="869">
          <cell r="B869">
            <v>46164</v>
          </cell>
          <cell r="K869">
            <v>0</v>
          </cell>
          <cell r="M869">
            <v>0</v>
          </cell>
          <cell r="P869">
            <v>10337813.040000001</v>
          </cell>
          <cell r="Q869" t="str">
            <v>Tallied</v>
          </cell>
        </row>
        <row r="870">
          <cell r="B870">
            <v>46164</v>
          </cell>
          <cell r="K870">
            <v>0</v>
          </cell>
          <cell r="M870">
            <v>0</v>
          </cell>
          <cell r="P870">
            <v>36</v>
          </cell>
          <cell r="Q870" t="str">
            <v>Tallied</v>
          </cell>
        </row>
        <row r="871">
          <cell r="B871">
            <v>46164</v>
          </cell>
          <cell r="K871">
            <v>0</v>
          </cell>
          <cell r="M871">
            <v>0</v>
          </cell>
          <cell r="P871">
            <v>8495190.620000001</v>
          </cell>
          <cell r="Q871" t="str">
            <v>Tallied</v>
          </cell>
        </row>
        <row r="872">
          <cell r="B872">
            <v>46164</v>
          </cell>
          <cell r="K872">
            <v>0</v>
          </cell>
          <cell r="M872">
            <v>0</v>
          </cell>
          <cell r="P872">
            <v>2985.33</v>
          </cell>
          <cell r="Q872" t="str">
            <v>Tallied</v>
          </cell>
        </row>
        <row r="873">
          <cell r="B873">
            <v>46164</v>
          </cell>
          <cell r="K873">
            <v>0</v>
          </cell>
          <cell r="M873">
            <v>0</v>
          </cell>
          <cell r="P873">
            <v>2441523.0000000005</v>
          </cell>
          <cell r="Q873" t="str">
            <v>Tallied</v>
          </cell>
        </row>
        <row r="874">
          <cell r="B874">
            <v>46164</v>
          </cell>
          <cell r="K874">
            <v>0</v>
          </cell>
          <cell r="M874">
            <v>0</v>
          </cell>
          <cell r="P874">
            <v>58382.399999999994</v>
          </cell>
          <cell r="Q874" t="str">
            <v>Tallied</v>
          </cell>
        </row>
        <row r="875">
          <cell r="B875">
            <v>46164</v>
          </cell>
          <cell r="K875">
            <v>0</v>
          </cell>
          <cell r="M875">
            <v>0</v>
          </cell>
          <cell r="P875">
            <v>3797.81</v>
          </cell>
          <cell r="Q875" t="str">
            <v>Tallied</v>
          </cell>
        </row>
        <row r="876">
          <cell r="B876">
            <v>46164</v>
          </cell>
          <cell r="K876">
            <v>0</v>
          </cell>
          <cell r="M876">
            <v>0</v>
          </cell>
          <cell r="P876">
            <v>78618.36</v>
          </cell>
          <cell r="Q876" t="str">
            <v>Tallied</v>
          </cell>
        </row>
        <row r="877">
          <cell r="B877">
            <v>46164</v>
          </cell>
          <cell r="K877">
            <v>0</v>
          </cell>
          <cell r="M877">
            <v>0</v>
          </cell>
          <cell r="P877">
            <v>23156.36</v>
          </cell>
          <cell r="Q877" t="str">
            <v>Tallied</v>
          </cell>
        </row>
        <row r="878">
          <cell r="B878">
            <v>46164</v>
          </cell>
          <cell r="K878">
            <v>0</v>
          </cell>
          <cell r="M878">
            <v>0</v>
          </cell>
          <cell r="P878">
            <v>2062713.6</v>
          </cell>
          <cell r="Q878" t="str">
            <v>Tallied</v>
          </cell>
        </row>
        <row r="879">
          <cell r="B879">
            <v>46164</v>
          </cell>
          <cell r="K879">
            <v>0</v>
          </cell>
          <cell r="M879">
            <v>0</v>
          </cell>
          <cell r="P879">
            <v>110211.84</v>
          </cell>
          <cell r="Q879" t="str">
            <v>Tallied</v>
          </cell>
        </row>
        <row r="880">
          <cell r="B880">
            <v>46164</v>
          </cell>
          <cell r="K880">
            <v>0</v>
          </cell>
          <cell r="M880">
            <v>0</v>
          </cell>
          <cell r="P880">
            <v>920241</v>
          </cell>
          <cell r="Q880" t="str">
            <v>Tallied</v>
          </cell>
        </row>
        <row r="881">
          <cell r="B881">
            <v>46164</v>
          </cell>
          <cell r="K881">
            <v>0</v>
          </cell>
          <cell r="M881">
            <v>0</v>
          </cell>
          <cell r="P881">
            <v>230932.8</v>
          </cell>
          <cell r="Q881" t="str">
            <v>Tallied</v>
          </cell>
        </row>
        <row r="882">
          <cell r="B882">
            <v>46164</v>
          </cell>
          <cell r="K882">
            <v>0</v>
          </cell>
          <cell r="M882">
            <v>0</v>
          </cell>
          <cell r="P882">
            <v>2223.6000000000004</v>
          </cell>
          <cell r="Q882" t="str">
            <v>Tallied</v>
          </cell>
        </row>
        <row r="883">
          <cell r="B883">
            <v>46164</v>
          </cell>
          <cell r="K883">
            <v>0</v>
          </cell>
          <cell r="M883">
            <v>0</v>
          </cell>
          <cell r="P883">
            <v>114072</v>
          </cell>
          <cell r="Q883" t="str">
            <v>Tallied</v>
          </cell>
        </row>
        <row r="884">
          <cell r="B884">
            <v>46164</v>
          </cell>
          <cell r="K884">
            <v>0</v>
          </cell>
          <cell r="M884">
            <v>0</v>
          </cell>
          <cell r="P884">
            <v>288864.36</v>
          </cell>
          <cell r="Q884" t="str">
            <v>Tallied</v>
          </cell>
        </row>
        <row r="885">
          <cell r="B885">
            <v>46164</v>
          </cell>
          <cell r="K885">
            <v>0</v>
          </cell>
          <cell r="M885">
            <v>0</v>
          </cell>
          <cell r="P885">
            <v>1037760</v>
          </cell>
          <cell r="Q885" t="str">
            <v>Tallied</v>
          </cell>
        </row>
        <row r="886">
          <cell r="B886">
            <v>46164</v>
          </cell>
          <cell r="K886">
            <v>0</v>
          </cell>
          <cell r="M886">
            <v>0</v>
          </cell>
          <cell r="P886">
            <v>87050.400000000009</v>
          </cell>
          <cell r="Q886" t="str">
            <v>Tallied</v>
          </cell>
        </row>
        <row r="887">
          <cell r="B887">
            <v>46164</v>
          </cell>
          <cell r="K887">
            <v>0</v>
          </cell>
          <cell r="M887">
            <v>0</v>
          </cell>
          <cell r="P887">
            <v>438264</v>
          </cell>
          <cell r="Q887" t="str">
            <v>Tallied</v>
          </cell>
        </row>
        <row r="888">
          <cell r="B888">
            <v>46164</v>
          </cell>
          <cell r="K888">
            <v>0</v>
          </cell>
          <cell r="M888">
            <v>0</v>
          </cell>
          <cell r="P888">
            <v>156750.72</v>
          </cell>
          <cell r="Q888" t="str">
            <v>Tallied</v>
          </cell>
        </row>
        <row r="889">
          <cell r="B889">
            <v>46164</v>
          </cell>
          <cell r="K889">
            <v>0</v>
          </cell>
          <cell r="M889">
            <v>0</v>
          </cell>
          <cell r="P889">
            <v>7149.5999999999995</v>
          </cell>
          <cell r="Q889" t="str">
            <v>Tallied</v>
          </cell>
        </row>
        <row r="890">
          <cell r="B890">
            <v>46164</v>
          </cell>
          <cell r="K890">
            <v>0</v>
          </cell>
          <cell r="M890">
            <v>0</v>
          </cell>
          <cell r="P890">
            <v>1664.52</v>
          </cell>
          <cell r="Q890" t="str">
            <v>Tallied</v>
          </cell>
        </row>
        <row r="891">
          <cell r="B891">
            <v>46164</v>
          </cell>
          <cell r="K891">
            <v>0</v>
          </cell>
          <cell r="M891">
            <v>0</v>
          </cell>
          <cell r="P891">
            <v>4951650.959999999</v>
          </cell>
          <cell r="Q891" t="str">
            <v>Tallied</v>
          </cell>
        </row>
        <row r="892">
          <cell r="B892">
            <v>46164</v>
          </cell>
          <cell r="K892">
            <v>0</v>
          </cell>
          <cell r="M892">
            <v>0</v>
          </cell>
          <cell r="P892">
            <v>17058.239999999998</v>
          </cell>
          <cell r="Q892" t="str">
            <v>Tallied</v>
          </cell>
        </row>
        <row r="893">
          <cell r="B893">
            <v>46164</v>
          </cell>
          <cell r="K893">
            <v>0</v>
          </cell>
          <cell r="M893">
            <v>0</v>
          </cell>
          <cell r="P893">
            <v>255314.4</v>
          </cell>
          <cell r="Q893" t="str">
            <v>Tallied</v>
          </cell>
        </row>
        <row r="894">
          <cell r="B894">
            <v>46164</v>
          </cell>
          <cell r="K894">
            <v>0</v>
          </cell>
          <cell r="M894">
            <v>0</v>
          </cell>
          <cell r="P894">
            <v>2498202.8400000003</v>
          </cell>
          <cell r="Q894" t="str">
            <v>Tallied</v>
          </cell>
        </row>
        <row r="895">
          <cell r="B895">
            <v>46164</v>
          </cell>
          <cell r="K895">
            <v>0</v>
          </cell>
          <cell r="M895">
            <v>0</v>
          </cell>
          <cell r="P895">
            <v>2504858.58</v>
          </cell>
          <cell r="Q895" t="str">
            <v>Tallied</v>
          </cell>
        </row>
        <row r="896">
          <cell r="B896">
            <v>46164</v>
          </cell>
          <cell r="K896">
            <v>0</v>
          </cell>
          <cell r="M896">
            <v>0</v>
          </cell>
          <cell r="P896">
            <v>49650.479999999996</v>
          </cell>
          <cell r="Q896" t="str">
            <v>Tallied</v>
          </cell>
        </row>
        <row r="897">
          <cell r="B897">
            <v>46164</v>
          </cell>
          <cell r="K897">
            <v>0</v>
          </cell>
          <cell r="M897">
            <v>0</v>
          </cell>
          <cell r="P897">
            <v>2670122.8800000004</v>
          </cell>
          <cell r="Q897" t="str">
            <v>Tallied</v>
          </cell>
        </row>
        <row r="898">
          <cell r="B898">
            <v>46164</v>
          </cell>
          <cell r="K898">
            <v>0</v>
          </cell>
          <cell r="M898">
            <v>0</v>
          </cell>
          <cell r="P898">
            <v>1116741.8400000001</v>
          </cell>
          <cell r="Q898" t="str">
            <v>Tallied</v>
          </cell>
        </row>
        <row r="899">
          <cell r="B899">
            <v>46164</v>
          </cell>
          <cell r="K899">
            <v>0</v>
          </cell>
          <cell r="M899">
            <v>0</v>
          </cell>
          <cell r="P899">
            <v>135158.39999999999</v>
          </cell>
          <cell r="Q899" t="str">
            <v>Tallied</v>
          </cell>
        </row>
        <row r="900">
          <cell r="B900">
            <v>46164</v>
          </cell>
          <cell r="K900">
            <v>0</v>
          </cell>
          <cell r="M900">
            <v>0</v>
          </cell>
          <cell r="P900">
            <v>1948529.52</v>
          </cell>
          <cell r="Q900" t="str">
            <v>Tallied</v>
          </cell>
        </row>
        <row r="901">
          <cell r="B901">
            <v>46164</v>
          </cell>
          <cell r="K901">
            <v>0</v>
          </cell>
          <cell r="M901">
            <v>0</v>
          </cell>
          <cell r="P901">
            <v>942361.67999999993</v>
          </cell>
          <cell r="Q901" t="str">
            <v>Tallied</v>
          </cell>
        </row>
        <row r="902">
          <cell r="B902">
            <v>46164</v>
          </cell>
          <cell r="K902">
            <v>0</v>
          </cell>
          <cell r="M902">
            <v>0</v>
          </cell>
          <cell r="P902">
            <v>70830.720000000001</v>
          </cell>
          <cell r="Q902" t="str">
            <v>Tallied</v>
          </cell>
        </row>
        <row r="903">
          <cell r="B903">
            <v>46164</v>
          </cell>
          <cell r="K903">
            <v>0</v>
          </cell>
          <cell r="M903">
            <v>0</v>
          </cell>
          <cell r="P903">
            <v>109820.16</v>
          </cell>
          <cell r="Q903" t="str">
            <v>Tallied</v>
          </cell>
        </row>
        <row r="904">
          <cell r="B904">
            <v>46164</v>
          </cell>
          <cell r="K904">
            <v>0</v>
          </cell>
          <cell r="M904">
            <v>0</v>
          </cell>
          <cell r="P904">
            <v>590382.4</v>
          </cell>
          <cell r="Q904" t="str">
            <v>Tallied</v>
          </cell>
        </row>
        <row r="905">
          <cell r="B905">
            <v>46164</v>
          </cell>
          <cell r="K905">
            <v>0</v>
          </cell>
          <cell r="M905">
            <v>0</v>
          </cell>
          <cell r="P905">
            <v>159125.03999999998</v>
          </cell>
          <cell r="Q905" t="str">
            <v>Tallied</v>
          </cell>
        </row>
        <row r="906">
          <cell r="B906">
            <v>46164</v>
          </cell>
          <cell r="K906">
            <v>0</v>
          </cell>
          <cell r="M906">
            <v>0</v>
          </cell>
          <cell r="P906">
            <v>559468.16</v>
          </cell>
          <cell r="Q906" t="str">
            <v>Tallied</v>
          </cell>
        </row>
        <row r="907">
          <cell r="B907">
            <v>46164</v>
          </cell>
          <cell r="K907">
            <v>0</v>
          </cell>
          <cell r="M907">
            <v>0</v>
          </cell>
          <cell r="P907">
            <v>1468916.96</v>
          </cell>
          <cell r="Q907" t="str">
            <v>Tallied</v>
          </cell>
        </row>
        <row r="908">
          <cell r="B908">
            <v>46164</v>
          </cell>
          <cell r="K908">
            <v>0</v>
          </cell>
          <cell r="M908">
            <v>0</v>
          </cell>
          <cell r="P908">
            <v>703669.12</v>
          </cell>
          <cell r="Q908" t="str">
            <v>Tallied</v>
          </cell>
        </row>
        <row r="909">
          <cell r="B909">
            <v>46164</v>
          </cell>
          <cell r="K909">
            <v>0</v>
          </cell>
          <cell r="M909">
            <v>0</v>
          </cell>
          <cell r="P909">
            <v>2110552.56</v>
          </cell>
          <cell r="Q909" t="str">
            <v>Tallied</v>
          </cell>
        </row>
        <row r="910">
          <cell r="B910">
            <v>46164</v>
          </cell>
          <cell r="K910">
            <v>0</v>
          </cell>
          <cell r="M910">
            <v>0</v>
          </cell>
          <cell r="P910">
            <v>643552</v>
          </cell>
          <cell r="Q910" t="str">
            <v>Tallied</v>
          </cell>
        </row>
        <row r="911">
          <cell r="B911">
            <v>46164</v>
          </cell>
          <cell r="K911">
            <v>0</v>
          </cell>
          <cell r="M911">
            <v>0</v>
          </cell>
          <cell r="P911">
            <v>2003333.0400000003</v>
          </cell>
          <cell r="Q911" t="str">
            <v>Tallied</v>
          </cell>
        </row>
        <row r="912">
          <cell r="B912">
            <v>46164</v>
          </cell>
          <cell r="K912">
            <v>0</v>
          </cell>
          <cell r="M912">
            <v>0</v>
          </cell>
          <cell r="P912">
            <v>926638.72000000009</v>
          </cell>
          <cell r="Q912" t="str">
            <v>Tallied</v>
          </cell>
        </row>
        <row r="913">
          <cell r="B913">
            <v>46164</v>
          </cell>
          <cell r="K913">
            <v>0</v>
          </cell>
          <cell r="M913">
            <v>0</v>
          </cell>
          <cell r="P913">
            <v>69052.400000000009</v>
          </cell>
          <cell r="Q913" t="str">
            <v>Tallied</v>
          </cell>
        </row>
        <row r="914">
          <cell r="B914">
            <v>46164</v>
          </cell>
          <cell r="K914">
            <v>0</v>
          </cell>
          <cell r="M914">
            <v>0</v>
          </cell>
          <cell r="P914">
            <v>1743628.8000000003</v>
          </cell>
          <cell r="Q914" t="str">
            <v>Tallied</v>
          </cell>
        </row>
        <row r="915">
          <cell r="B915">
            <v>46164</v>
          </cell>
          <cell r="K915">
            <v>0</v>
          </cell>
          <cell r="M915">
            <v>0</v>
          </cell>
          <cell r="P915">
            <v>1465.02</v>
          </cell>
          <cell r="Q915" t="str">
            <v>Tallied</v>
          </cell>
        </row>
        <row r="916">
          <cell r="B916">
            <v>46164</v>
          </cell>
          <cell r="K916">
            <v>0</v>
          </cell>
          <cell r="M916">
            <v>0</v>
          </cell>
          <cell r="P916">
            <v>7926.03</v>
          </cell>
          <cell r="Q916" t="str">
            <v>Tallied</v>
          </cell>
        </row>
        <row r="917">
          <cell r="B917">
            <v>46164</v>
          </cell>
          <cell r="K917">
            <v>0</v>
          </cell>
          <cell r="M917">
            <v>0</v>
          </cell>
          <cell r="P917">
            <v>6879.9600000000009</v>
          </cell>
          <cell r="Q917" t="str">
            <v>Tallied</v>
          </cell>
        </row>
        <row r="918">
          <cell r="B918">
            <v>46164</v>
          </cell>
          <cell r="K918">
            <v>0</v>
          </cell>
          <cell r="M918">
            <v>0</v>
          </cell>
          <cell r="P918">
            <v>107203.92</v>
          </cell>
          <cell r="Q918" t="str">
            <v>Tallied</v>
          </cell>
        </row>
        <row r="919">
          <cell r="B919">
            <v>46164</v>
          </cell>
          <cell r="K919">
            <v>0</v>
          </cell>
          <cell r="M919">
            <v>0</v>
          </cell>
          <cell r="P919">
            <v>47492.399999999994</v>
          </cell>
          <cell r="Q919" t="str">
            <v>Tallied</v>
          </cell>
        </row>
        <row r="920">
          <cell r="B920">
            <v>46165</v>
          </cell>
          <cell r="K920">
            <v>0</v>
          </cell>
          <cell r="M920">
            <v>0</v>
          </cell>
          <cell r="P920">
            <v>11289.51</v>
          </cell>
          <cell r="Q920" t="str">
            <v>Tallied</v>
          </cell>
        </row>
        <row r="921">
          <cell r="B921">
            <v>46165</v>
          </cell>
          <cell r="K921">
            <v>0</v>
          </cell>
          <cell r="M921">
            <v>0</v>
          </cell>
          <cell r="P921">
            <v>24497.34</v>
          </cell>
          <cell r="Q921" t="str">
            <v>Tallied</v>
          </cell>
        </row>
        <row r="922">
          <cell r="B922">
            <v>46165</v>
          </cell>
          <cell r="K922">
            <v>0</v>
          </cell>
          <cell r="M922">
            <v>0</v>
          </cell>
          <cell r="P922">
            <v>138638.78999999998</v>
          </cell>
          <cell r="Q922" t="str">
            <v>Tallied</v>
          </cell>
        </row>
        <row r="923">
          <cell r="B923">
            <v>46165</v>
          </cell>
          <cell r="K923">
            <v>0</v>
          </cell>
          <cell r="M923">
            <v>0</v>
          </cell>
          <cell r="P923">
            <v>1136204.1599999999</v>
          </cell>
          <cell r="Q923" t="str">
            <v>Tallied</v>
          </cell>
        </row>
        <row r="924">
          <cell r="B924">
            <v>46165</v>
          </cell>
          <cell r="K924">
            <v>0</v>
          </cell>
          <cell r="M924">
            <v>0</v>
          </cell>
          <cell r="P924">
            <v>15429696</v>
          </cell>
          <cell r="Q924" t="str">
            <v>Tallied</v>
          </cell>
        </row>
        <row r="925">
          <cell r="B925">
            <v>46165</v>
          </cell>
          <cell r="K925">
            <v>0</v>
          </cell>
          <cell r="M925">
            <v>0</v>
          </cell>
          <cell r="P925">
            <v>54751.200000000004</v>
          </cell>
          <cell r="Q925" t="str">
            <v>Tallied</v>
          </cell>
        </row>
        <row r="926">
          <cell r="B926">
            <v>46165</v>
          </cell>
          <cell r="K926">
            <v>0</v>
          </cell>
          <cell r="M926">
            <v>0</v>
          </cell>
          <cell r="P926">
            <v>94797.2</v>
          </cell>
          <cell r="Q926" t="str">
            <v>Tallied</v>
          </cell>
        </row>
        <row r="927">
          <cell r="B927">
            <v>46165</v>
          </cell>
          <cell r="K927">
            <v>0</v>
          </cell>
          <cell r="M927">
            <v>0</v>
          </cell>
          <cell r="P927">
            <v>9486.75</v>
          </cell>
          <cell r="Q927" t="str">
            <v>Tallied</v>
          </cell>
        </row>
        <row r="928">
          <cell r="B928">
            <v>46165</v>
          </cell>
          <cell r="K928">
            <v>0</v>
          </cell>
          <cell r="M928">
            <v>0</v>
          </cell>
          <cell r="P928">
            <v>129477.59999999999</v>
          </cell>
          <cell r="Q928" t="str">
            <v>Tallied</v>
          </cell>
        </row>
        <row r="929">
          <cell r="B929">
            <v>46165</v>
          </cell>
          <cell r="K929">
            <v>0</v>
          </cell>
          <cell r="M929">
            <v>0</v>
          </cell>
          <cell r="P929">
            <v>548013.90000000014</v>
          </cell>
          <cell r="Q929" t="str">
            <v>Tallied</v>
          </cell>
        </row>
        <row r="930">
          <cell r="B930">
            <v>46165</v>
          </cell>
          <cell r="K930">
            <v>0</v>
          </cell>
          <cell r="M930">
            <v>0</v>
          </cell>
          <cell r="P930">
            <v>32942122.500000019</v>
          </cell>
          <cell r="Q930" t="str">
            <v>Tallied</v>
          </cell>
        </row>
        <row r="931">
          <cell r="B931">
            <v>46165</v>
          </cell>
          <cell r="K931">
            <v>0</v>
          </cell>
          <cell r="M931">
            <v>0</v>
          </cell>
          <cell r="P931">
            <v>4826.01</v>
          </cell>
          <cell r="Q931" t="str">
            <v>Tallied</v>
          </cell>
        </row>
        <row r="932">
          <cell r="B932">
            <v>46165</v>
          </cell>
          <cell r="K932">
            <v>0</v>
          </cell>
          <cell r="M932">
            <v>0</v>
          </cell>
          <cell r="P932">
            <v>21132.14</v>
          </cell>
          <cell r="Q932" t="str">
            <v>Tallied</v>
          </cell>
        </row>
        <row r="933">
          <cell r="B933">
            <v>46165</v>
          </cell>
          <cell r="K933">
            <v>0</v>
          </cell>
          <cell r="M933">
            <v>0</v>
          </cell>
          <cell r="P933">
            <v>12980.12</v>
          </cell>
          <cell r="Q933" t="str">
            <v>Tallied</v>
          </cell>
        </row>
        <row r="934">
          <cell r="B934">
            <v>46165</v>
          </cell>
          <cell r="K934">
            <v>0</v>
          </cell>
          <cell r="M934">
            <v>0</v>
          </cell>
          <cell r="P934">
            <v>67039.06</v>
          </cell>
          <cell r="Q934" t="str">
            <v>Tallied</v>
          </cell>
        </row>
        <row r="935">
          <cell r="B935">
            <v>46165</v>
          </cell>
          <cell r="K935">
            <v>0</v>
          </cell>
          <cell r="M935">
            <v>0</v>
          </cell>
          <cell r="P935">
            <v>122501.38</v>
          </cell>
          <cell r="Q935" t="str">
            <v>Tallied</v>
          </cell>
        </row>
        <row r="936">
          <cell r="B936">
            <v>46165</v>
          </cell>
          <cell r="K936">
            <v>0</v>
          </cell>
          <cell r="M936">
            <v>0</v>
          </cell>
          <cell r="P936">
            <v>32888.04</v>
          </cell>
          <cell r="Q936" t="str">
            <v>Tallied</v>
          </cell>
        </row>
        <row r="937">
          <cell r="B937">
            <v>46165</v>
          </cell>
          <cell r="K937">
            <v>0</v>
          </cell>
          <cell r="M937">
            <v>0</v>
          </cell>
          <cell r="P937">
            <v>163386.79999999999</v>
          </cell>
          <cell r="Q937" t="str">
            <v>Tallied</v>
          </cell>
        </row>
        <row r="938">
          <cell r="B938">
            <v>46165</v>
          </cell>
          <cell r="K938">
            <v>0</v>
          </cell>
          <cell r="M938">
            <v>0</v>
          </cell>
          <cell r="P938">
            <v>1</v>
          </cell>
          <cell r="Q938" t="str">
            <v>Tallied</v>
          </cell>
        </row>
        <row r="939">
          <cell r="B939">
            <v>46165</v>
          </cell>
          <cell r="K939">
            <v>0</v>
          </cell>
          <cell r="M939">
            <v>0</v>
          </cell>
          <cell r="P939">
            <v>5629.21</v>
          </cell>
          <cell r="Q939" t="str">
            <v>Tallied</v>
          </cell>
        </row>
        <row r="940">
          <cell r="B940">
            <v>46165</v>
          </cell>
          <cell r="K940">
            <v>0</v>
          </cell>
          <cell r="M940">
            <v>0</v>
          </cell>
          <cell r="P940">
            <v>3810.84</v>
          </cell>
          <cell r="Q940" t="str">
            <v>Tallied</v>
          </cell>
        </row>
        <row r="941">
          <cell r="B941">
            <v>46165</v>
          </cell>
          <cell r="K941">
            <v>0</v>
          </cell>
          <cell r="M941">
            <v>0</v>
          </cell>
          <cell r="P941">
            <v>8918.369999999999</v>
          </cell>
          <cell r="Q941" t="str">
            <v>Tallied</v>
          </cell>
        </row>
        <row r="942">
          <cell r="B942">
            <v>46165</v>
          </cell>
          <cell r="K942">
            <v>0</v>
          </cell>
          <cell r="M942">
            <v>0</v>
          </cell>
          <cell r="P942">
            <v>55175.100000000006</v>
          </cell>
          <cell r="Q942" t="str">
            <v>Tallied</v>
          </cell>
        </row>
        <row r="943">
          <cell r="B943">
            <v>46165</v>
          </cell>
          <cell r="K943">
            <v>0</v>
          </cell>
          <cell r="M943">
            <v>0</v>
          </cell>
          <cell r="P943">
            <v>193913.44</v>
          </cell>
          <cell r="Q943" t="str">
            <v>Tallied</v>
          </cell>
        </row>
        <row r="944">
          <cell r="B944">
            <v>46165</v>
          </cell>
          <cell r="K944">
            <v>0</v>
          </cell>
          <cell r="M944">
            <v>0</v>
          </cell>
          <cell r="P944">
            <v>206591.58</v>
          </cell>
          <cell r="Q944" t="str">
            <v>Tallied</v>
          </cell>
        </row>
        <row r="945">
          <cell r="B945">
            <v>46165</v>
          </cell>
          <cell r="K945">
            <v>0</v>
          </cell>
          <cell r="M945">
            <v>0</v>
          </cell>
          <cell r="P945">
            <v>11292.3</v>
          </cell>
          <cell r="Q945" t="str">
            <v>Tallied</v>
          </cell>
        </row>
        <row r="946">
          <cell r="B946">
            <v>46165</v>
          </cell>
          <cell r="K946">
            <v>0</v>
          </cell>
          <cell r="M946">
            <v>0</v>
          </cell>
          <cell r="P946">
            <v>403216.91999999993</v>
          </cell>
          <cell r="Q946" t="str">
            <v>Tallied</v>
          </cell>
        </row>
        <row r="947">
          <cell r="B947">
            <v>46165</v>
          </cell>
          <cell r="K947">
            <v>0</v>
          </cell>
          <cell r="M947">
            <v>0</v>
          </cell>
          <cell r="P947">
            <v>31166.3</v>
          </cell>
          <cell r="Q947" t="str">
            <v>Tallied</v>
          </cell>
        </row>
        <row r="948">
          <cell r="B948">
            <v>46165</v>
          </cell>
          <cell r="K948">
            <v>0</v>
          </cell>
          <cell r="M948">
            <v>0</v>
          </cell>
          <cell r="P948">
            <v>49647.69</v>
          </cell>
          <cell r="Q948" t="str">
            <v>Tallied</v>
          </cell>
        </row>
        <row r="949">
          <cell r="B949">
            <v>46165</v>
          </cell>
          <cell r="K949">
            <v>0</v>
          </cell>
          <cell r="M949">
            <v>0</v>
          </cell>
          <cell r="P949">
            <v>12922</v>
          </cell>
          <cell r="Q949" t="str">
            <v>Tallied</v>
          </cell>
        </row>
        <row r="950">
          <cell r="B950">
            <v>46165</v>
          </cell>
          <cell r="K950">
            <v>0</v>
          </cell>
          <cell r="M950">
            <v>0</v>
          </cell>
          <cell r="P950">
            <v>1329414.6599999999</v>
          </cell>
          <cell r="Q950" t="str">
            <v>Tallied</v>
          </cell>
        </row>
        <row r="951">
          <cell r="B951">
            <v>46165</v>
          </cell>
          <cell r="K951">
            <v>0</v>
          </cell>
          <cell r="M951">
            <v>0</v>
          </cell>
          <cell r="P951">
            <v>478812.8</v>
          </cell>
          <cell r="Q951" t="str">
            <v>Tallied</v>
          </cell>
        </row>
        <row r="952">
          <cell r="B952">
            <v>46165</v>
          </cell>
          <cell r="K952">
            <v>0</v>
          </cell>
          <cell r="M952">
            <v>0</v>
          </cell>
          <cell r="P952">
            <v>690.92</v>
          </cell>
          <cell r="Q952" t="str">
            <v>Tallied</v>
          </cell>
        </row>
        <row r="953">
          <cell r="B953">
            <v>46165</v>
          </cell>
          <cell r="K953">
            <v>0</v>
          </cell>
          <cell r="M953">
            <v>0</v>
          </cell>
          <cell r="P953">
            <v>168936.24</v>
          </cell>
          <cell r="Q953" t="str">
            <v>Tallied</v>
          </cell>
        </row>
        <row r="954">
          <cell r="B954">
            <v>46165</v>
          </cell>
          <cell r="K954">
            <v>0</v>
          </cell>
          <cell r="M954">
            <v>0</v>
          </cell>
          <cell r="P954">
            <v>22338.720000000001</v>
          </cell>
          <cell r="Q954" t="str">
            <v>Tallied</v>
          </cell>
        </row>
        <row r="955">
          <cell r="B955">
            <v>46165</v>
          </cell>
          <cell r="K955">
            <v>0</v>
          </cell>
          <cell r="M955">
            <v>0</v>
          </cell>
          <cell r="P955">
            <v>885709.12</v>
          </cell>
          <cell r="Q955" t="str">
            <v>Tallied</v>
          </cell>
        </row>
        <row r="956">
          <cell r="B956">
            <v>46165</v>
          </cell>
          <cell r="K956">
            <v>0</v>
          </cell>
          <cell r="M956">
            <v>0</v>
          </cell>
          <cell r="P956">
            <v>30806.73</v>
          </cell>
          <cell r="Q956" t="str">
            <v>Tallied</v>
          </cell>
        </row>
        <row r="957">
          <cell r="B957">
            <v>46165</v>
          </cell>
          <cell r="K957">
            <v>0</v>
          </cell>
          <cell r="M957">
            <v>0</v>
          </cell>
          <cell r="P957">
            <v>142524.93</v>
          </cell>
          <cell r="Q957" t="str">
            <v>Tallied</v>
          </cell>
        </row>
        <row r="958">
          <cell r="B958">
            <v>46165</v>
          </cell>
          <cell r="K958">
            <v>0</v>
          </cell>
          <cell r="M958">
            <v>0</v>
          </cell>
          <cell r="P958">
            <v>39799.49</v>
          </cell>
          <cell r="Q958" t="str">
            <v>Tallied</v>
          </cell>
        </row>
        <row r="959">
          <cell r="B959">
            <v>46165</v>
          </cell>
          <cell r="K959">
            <v>0</v>
          </cell>
          <cell r="M959">
            <v>0</v>
          </cell>
          <cell r="P959">
            <v>13864344.450000001</v>
          </cell>
          <cell r="Q959" t="str">
            <v>Tallied</v>
          </cell>
        </row>
        <row r="960">
          <cell r="B960">
            <v>46165</v>
          </cell>
          <cell r="K960">
            <v>0</v>
          </cell>
          <cell r="M960">
            <v>0</v>
          </cell>
          <cell r="P960">
            <v>213700.08</v>
          </cell>
          <cell r="Q960" t="str">
            <v>Tallied</v>
          </cell>
        </row>
        <row r="961">
          <cell r="B961">
            <v>46165</v>
          </cell>
          <cell r="K961">
            <v>0</v>
          </cell>
          <cell r="M961">
            <v>0</v>
          </cell>
          <cell r="P961">
            <v>30285.84</v>
          </cell>
          <cell r="Q961" t="str">
            <v>Tallied</v>
          </cell>
        </row>
        <row r="962">
          <cell r="B962">
            <v>46165</v>
          </cell>
          <cell r="K962">
            <v>0</v>
          </cell>
          <cell r="M962">
            <v>0</v>
          </cell>
          <cell r="P962">
            <v>17749.599999999999</v>
          </cell>
          <cell r="Q962" t="str">
            <v>Tallied</v>
          </cell>
        </row>
        <row r="963">
          <cell r="B963">
            <v>46165</v>
          </cell>
          <cell r="K963">
            <v>0</v>
          </cell>
          <cell r="M963">
            <v>0</v>
          </cell>
          <cell r="P963">
            <v>102474</v>
          </cell>
          <cell r="Q963" t="str">
            <v>Tallied</v>
          </cell>
        </row>
        <row r="964">
          <cell r="B964">
            <v>46165</v>
          </cell>
          <cell r="K964">
            <v>0</v>
          </cell>
          <cell r="M964">
            <v>0</v>
          </cell>
          <cell r="P964">
            <v>106304.39999999998</v>
          </cell>
          <cell r="Q964" t="str">
            <v>Tallied</v>
          </cell>
        </row>
        <row r="965">
          <cell r="B965">
            <v>46165</v>
          </cell>
          <cell r="K965">
            <v>0</v>
          </cell>
          <cell r="M965">
            <v>0</v>
          </cell>
          <cell r="P965">
            <v>35304.239999999998</v>
          </cell>
          <cell r="Q965" t="str">
            <v>Tallied</v>
          </cell>
        </row>
        <row r="966">
          <cell r="B966">
            <v>46165</v>
          </cell>
          <cell r="K966">
            <v>0</v>
          </cell>
          <cell r="M966">
            <v>0</v>
          </cell>
          <cell r="P966">
            <v>3782709.28</v>
          </cell>
          <cell r="Q966" t="str">
            <v>Tallied</v>
          </cell>
        </row>
        <row r="967">
          <cell r="B967">
            <v>46165</v>
          </cell>
          <cell r="K967">
            <v>0</v>
          </cell>
          <cell r="M967">
            <v>0</v>
          </cell>
          <cell r="P967">
            <v>174119.63999999998</v>
          </cell>
          <cell r="Q967" t="str">
            <v>Tallied</v>
          </cell>
        </row>
        <row r="968">
          <cell r="B968">
            <v>46165</v>
          </cell>
          <cell r="K968">
            <v>0</v>
          </cell>
          <cell r="M968">
            <v>0</v>
          </cell>
          <cell r="P968">
            <v>2445.46</v>
          </cell>
          <cell r="Q968" t="str">
            <v>Tallied</v>
          </cell>
        </row>
        <row r="969">
          <cell r="B969">
            <v>46165</v>
          </cell>
          <cell r="K969">
            <v>0</v>
          </cell>
          <cell r="M969">
            <v>0</v>
          </cell>
          <cell r="P969">
            <v>3011.64</v>
          </cell>
          <cell r="Q969" t="str">
            <v>Tallied</v>
          </cell>
        </row>
        <row r="970">
          <cell r="B970">
            <v>46165</v>
          </cell>
          <cell r="K970">
            <v>0</v>
          </cell>
          <cell r="M970">
            <v>0</v>
          </cell>
          <cell r="P970">
            <v>1070283.8</v>
          </cell>
          <cell r="Q970" t="str">
            <v>Tallied</v>
          </cell>
        </row>
        <row r="971">
          <cell r="B971">
            <v>46165</v>
          </cell>
          <cell r="K971">
            <v>0</v>
          </cell>
          <cell r="M971">
            <v>0</v>
          </cell>
          <cell r="P971">
            <v>2904661.29</v>
          </cell>
          <cell r="Q971" t="str">
            <v>Tallied</v>
          </cell>
        </row>
        <row r="972">
          <cell r="B972">
            <v>46165</v>
          </cell>
          <cell r="K972">
            <v>0</v>
          </cell>
          <cell r="M972">
            <v>0</v>
          </cell>
          <cell r="P972">
            <v>3448053</v>
          </cell>
          <cell r="Q972" t="str">
            <v>Tallied</v>
          </cell>
        </row>
        <row r="973">
          <cell r="B973">
            <v>46165</v>
          </cell>
          <cell r="K973">
            <v>0</v>
          </cell>
          <cell r="M973">
            <v>0</v>
          </cell>
          <cell r="P973">
            <v>224386.32</v>
          </cell>
          <cell r="Q973" t="str">
            <v>Tallied</v>
          </cell>
        </row>
        <row r="974">
          <cell r="B974">
            <v>46167</v>
          </cell>
          <cell r="K974">
            <v>0</v>
          </cell>
          <cell r="M974">
            <v>0</v>
          </cell>
          <cell r="P974">
            <v>108019.17</v>
          </cell>
          <cell r="Q974" t="str">
            <v>Tallied</v>
          </cell>
        </row>
        <row r="975">
          <cell r="B975">
            <v>46167</v>
          </cell>
          <cell r="K975">
            <v>0</v>
          </cell>
          <cell r="M975">
            <v>0</v>
          </cell>
          <cell r="P975">
            <v>121403.78</v>
          </cell>
          <cell r="Q975" t="str">
            <v>Tallied</v>
          </cell>
        </row>
        <row r="976">
          <cell r="B976">
            <v>46167</v>
          </cell>
          <cell r="K976">
            <v>0</v>
          </cell>
          <cell r="M976">
            <v>0</v>
          </cell>
          <cell r="P976">
            <v>38373.300000000003</v>
          </cell>
          <cell r="Q976" t="str">
            <v>Tallied</v>
          </cell>
        </row>
        <row r="977">
          <cell r="B977">
            <v>46167</v>
          </cell>
          <cell r="K977">
            <v>0</v>
          </cell>
          <cell r="M977">
            <v>0</v>
          </cell>
          <cell r="P977">
            <v>9975.02</v>
          </cell>
          <cell r="Q977" t="str">
            <v>Tallied</v>
          </cell>
        </row>
        <row r="978">
          <cell r="B978">
            <v>46167</v>
          </cell>
          <cell r="K978">
            <v>0</v>
          </cell>
          <cell r="M978">
            <v>0</v>
          </cell>
          <cell r="P978">
            <v>1</v>
          </cell>
          <cell r="Q978" t="str">
            <v>Tallied</v>
          </cell>
        </row>
        <row r="979">
          <cell r="B979">
            <v>46167</v>
          </cell>
          <cell r="K979">
            <v>0</v>
          </cell>
          <cell r="M979">
            <v>0</v>
          </cell>
          <cell r="P979">
            <v>318784.32</v>
          </cell>
          <cell r="Q979" t="str">
            <v>Tallied</v>
          </cell>
        </row>
        <row r="980">
          <cell r="B980">
            <v>46167</v>
          </cell>
          <cell r="K980">
            <v>0</v>
          </cell>
          <cell r="M980">
            <v>0</v>
          </cell>
          <cell r="P980">
            <v>1268138.3999999999</v>
          </cell>
          <cell r="Q980" t="str">
            <v>Tallied</v>
          </cell>
        </row>
        <row r="981">
          <cell r="B981">
            <v>46167</v>
          </cell>
          <cell r="K981">
            <v>0</v>
          </cell>
          <cell r="M981">
            <v>0</v>
          </cell>
          <cell r="P981">
            <v>617998.62</v>
          </cell>
          <cell r="Q981" t="str">
            <v>Tallied</v>
          </cell>
        </row>
        <row r="982">
          <cell r="B982">
            <v>46167</v>
          </cell>
          <cell r="K982">
            <v>0</v>
          </cell>
          <cell r="M982">
            <v>0</v>
          </cell>
          <cell r="P982">
            <v>59772.84</v>
          </cell>
          <cell r="Q982" t="str">
            <v>Tallied</v>
          </cell>
        </row>
        <row r="983">
          <cell r="B983">
            <v>46167</v>
          </cell>
          <cell r="K983">
            <v>0</v>
          </cell>
          <cell r="M983">
            <v>0</v>
          </cell>
          <cell r="P983">
            <v>834565.50000000012</v>
          </cell>
          <cell r="Q983" t="str">
            <v>Tallied</v>
          </cell>
        </row>
        <row r="984">
          <cell r="B984">
            <v>46167</v>
          </cell>
          <cell r="K984">
            <v>0</v>
          </cell>
          <cell r="M984">
            <v>0</v>
          </cell>
          <cell r="P984">
            <v>541657.44000000006</v>
          </cell>
          <cell r="Q984" t="str">
            <v>Tallied</v>
          </cell>
        </row>
        <row r="985">
          <cell r="B985">
            <v>46167</v>
          </cell>
          <cell r="K985">
            <v>0</v>
          </cell>
          <cell r="M985">
            <v>0</v>
          </cell>
          <cell r="P985">
            <v>9554.56</v>
          </cell>
          <cell r="Q985" t="str">
            <v>Tallied</v>
          </cell>
        </row>
        <row r="986">
          <cell r="B986">
            <v>46167</v>
          </cell>
          <cell r="K986">
            <v>0</v>
          </cell>
          <cell r="M986">
            <v>0</v>
          </cell>
          <cell r="P986">
            <v>14391.08</v>
          </cell>
          <cell r="Q986" t="str">
            <v>Tallied</v>
          </cell>
        </row>
        <row r="987">
          <cell r="B987">
            <v>46167</v>
          </cell>
          <cell r="K987">
            <v>0</v>
          </cell>
          <cell r="M987">
            <v>0</v>
          </cell>
          <cell r="P987">
            <v>884.38</v>
          </cell>
          <cell r="Q987" t="str">
            <v>Tallied</v>
          </cell>
        </row>
        <row r="988">
          <cell r="B988">
            <v>46167</v>
          </cell>
          <cell r="K988">
            <v>0</v>
          </cell>
          <cell r="M988">
            <v>0</v>
          </cell>
          <cell r="P988">
            <v>25230.659999999996</v>
          </cell>
          <cell r="Q988" t="str">
            <v>Tallied</v>
          </cell>
        </row>
        <row r="989">
          <cell r="B989">
            <v>46167</v>
          </cell>
          <cell r="K989">
            <v>0</v>
          </cell>
          <cell r="M989">
            <v>0</v>
          </cell>
          <cell r="P989">
            <v>5911.54</v>
          </cell>
          <cell r="Q989" t="str">
            <v>Tallied</v>
          </cell>
        </row>
        <row r="990">
          <cell r="B990">
            <v>46167</v>
          </cell>
          <cell r="K990">
            <v>0</v>
          </cell>
          <cell r="M990">
            <v>0</v>
          </cell>
          <cell r="P990">
            <v>49724.1</v>
          </cell>
          <cell r="Q990" t="str">
            <v>Tallied</v>
          </cell>
        </row>
        <row r="991">
          <cell r="B991">
            <v>46167</v>
          </cell>
          <cell r="K991">
            <v>0</v>
          </cell>
          <cell r="M991">
            <v>0</v>
          </cell>
          <cell r="P991">
            <v>142187.54999999999</v>
          </cell>
          <cell r="Q991" t="str">
            <v>Tallied</v>
          </cell>
        </row>
        <row r="992">
          <cell r="B992">
            <v>46167</v>
          </cell>
          <cell r="K992">
            <v>0</v>
          </cell>
          <cell r="M992">
            <v>0</v>
          </cell>
          <cell r="P992">
            <v>73353</v>
          </cell>
          <cell r="Q992" t="str">
            <v>Tallied</v>
          </cell>
        </row>
        <row r="993">
          <cell r="B993">
            <v>46167</v>
          </cell>
          <cell r="K993">
            <v>0</v>
          </cell>
          <cell r="M993">
            <v>0</v>
          </cell>
          <cell r="P993">
            <v>12542684.699999996</v>
          </cell>
          <cell r="Q993" t="str">
            <v>Tallied</v>
          </cell>
        </row>
        <row r="994">
          <cell r="B994">
            <v>46167</v>
          </cell>
          <cell r="K994">
            <v>0</v>
          </cell>
          <cell r="M994">
            <v>0</v>
          </cell>
          <cell r="P994">
            <v>8855.75</v>
          </cell>
          <cell r="Q994" t="str">
            <v>Tallied</v>
          </cell>
        </row>
        <row r="995">
          <cell r="B995">
            <v>46167</v>
          </cell>
          <cell r="K995">
            <v>0</v>
          </cell>
          <cell r="M995">
            <v>0</v>
          </cell>
          <cell r="P995">
            <v>10756.04</v>
          </cell>
          <cell r="Q995" t="str">
            <v>Tallied</v>
          </cell>
        </row>
        <row r="996">
          <cell r="B996">
            <v>46167</v>
          </cell>
          <cell r="K996">
            <v>0</v>
          </cell>
          <cell r="M996">
            <v>0</v>
          </cell>
          <cell r="P996">
            <v>34776.46</v>
          </cell>
          <cell r="Q996" t="str">
            <v>Tallied</v>
          </cell>
        </row>
        <row r="997">
          <cell r="B997">
            <v>46167</v>
          </cell>
          <cell r="K997">
            <v>0</v>
          </cell>
          <cell r="M997">
            <v>0</v>
          </cell>
          <cell r="P997">
            <v>5334.4800000000005</v>
          </cell>
          <cell r="Q997" t="str">
            <v>Tallied</v>
          </cell>
        </row>
        <row r="998">
          <cell r="B998">
            <v>46167</v>
          </cell>
          <cell r="K998">
            <v>0</v>
          </cell>
          <cell r="M998">
            <v>0</v>
          </cell>
          <cell r="P998">
            <v>861.52</v>
          </cell>
          <cell r="Q998" t="str">
            <v>Tallied</v>
          </cell>
        </row>
        <row r="999">
          <cell r="B999">
            <v>46167</v>
          </cell>
          <cell r="K999">
            <v>0</v>
          </cell>
          <cell r="M999">
            <v>0</v>
          </cell>
          <cell r="P999">
            <v>7915.32</v>
          </cell>
          <cell r="Q999" t="str">
            <v>Tallied</v>
          </cell>
        </row>
        <row r="1000">
          <cell r="B1000">
            <v>46167</v>
          </cell>
          <cell r="K1000">
            <v>0</v>
          </cell>
          <cell r="M1000">
            <v>0</v>
          </cell>
          <cell r="P1000">
            <v>28018062.599999994</v>
          </cell>
          <cell r="Q1000" t="str">
            <v>Tallied</v>
          </cell>
        </row>
        <row r="1001">
          <cell r="B1001">
            <v>46167</v>
          </cell>
          <cell r="K1001">
            <v>0</v>
          </cell>
          <cell r="M1001">
            <v>0</v>
          </cell>
          <cell r="P1001">
            <v>35855404.699999996</v>
          </cell>
          <cell r="Q1001" t="str">
            <v>Tallied</v>
          </cell>
        </row>
        <row r="1002">
          <cell r="B1002">
            <v>46167</v>
          </cell>
          <cell r="K1002">
            <v>0</v>
          </cell>
          <cell r="M1002">
            <v>0</v>
          </cell>
          <cell r="P1002">
            <v>132717.88</v>
          </cell>
          <cell r="Q1002" t="str">
            <v>Tallied</v>
          </cell>
        </row>
        <row r="1003">
          <cell r="B1003">
            <v>46167</v>
          </cell>
          <cell r="K1003">
            <v>0</v>
          </cell>
          <cell r="M1003">
            <v>0</v>
          </cell>
          <cell r="P1003">
            <v>80362.5</v>
          </cell>
          <cell r="Q1003" t="str">
            <v>Tallied</v>
          </cell>
        </row>
        <row r="1004">
          <cell r="B1004">
            <v>46167</v>
          </cell>
          <cell r="K1004">
            <v>0</v>
          </cell>
          <cell r="M1004">
            <v>0</v>
          </cell>
          <cell r="P1004">
            <v>301766.33999999997</v>
          </cell>
          <cell r="Q1004" t="str">
            <v>Tallied</v>
          </cell>
        </row>
        <row r="1005">
          <cell r="B1005">
            <v>46167</v>
          </cell>
          <cell r="K1005">
            <v>0</v>
          </cell>
          <cell r="M1005">
            <v>0</v>
          </cell>
          <cell r="P1005">
            <v>69540.240000000005</v>
          </cell>
          <cell r="Q1005" t="str">
            <v>Tallied</v>
          </cell>
        </row>
        <row r="1006">
          <cell r="B1006">
            <v>46167</v>
          </cell>
          <cell r="K1006">
            <v>0</v>
          </cell>
          <cell r="M1006">
            <v>0</v>
          </cell>
          <cell r="P1006">
            <v>130344.99</v>
          </cell>
          <cell r="Q1006" t="str">
            <v>Tallied</v>
          </cell>
        </row>
        <row r="1007">
          <cell r="B1007">
            <v>46167</v>
          </cell>
          <cell r="K1007">
            <v>0</v>
          </cell>
          <cell r="M1007">
            <v>0</v>
          </cell>
          <cell r="P1007">
            <v>134844.16</v>
          </cell>
          <cell r="Q1007" t="str">
            <v>Tallied</v>
          </cell>
        </row>
        <row r="1008">
          <cell r="B1008">
            <v>46167</v>
          </cell>
          <cell r="K1008">
            <v>0</v>
          </cell>
          <cell r="M1008">
            <v>0</v>
          </cell>
          <cell r="P1008">
            <v>34303.410000000003</v>
          </cell>
          <cell r="Q1008" t="str">
            <v>Tallied</v>
          </cell>
        </row>
        <row r="1009">
          <cell r="B1009">
            <v>46167</v>
          </cell>
          <cell r="K1009">
            <v>0</v>
          </cell>
          <cell r="M1009">
            <v>0</v>
          </cell>
          <cell r="P1009">
            <v>39602538.750000015</v>
          </cell>
          <cell r="Q1009" t="str">
            <v>Tallied</v>
          </cell>
        </row>
        <row r="1010">
          <cell r="B1010">
            <v>46167</v>
          </cell>
          <cell r="K1010">
            <v>0</v>
          </cell>
          <cell r="M1010">
            <v>0</v>
          </cell>
          <cell r="P1010">
            <v>30075524.5</v>
          </cell>
          <cell r="Q1010" t="str">
            <v>Tallied</v>
          </cell>
        </row>
        <row r="1011">
          <cell r="B1011">
            <v>46167</v>
          </cell>
          <cell r="K1011">
            <v>0</v>
          </cell>
          <cell r="M1011">
            <v>0</v>
          </cell>
          <cell r="P1011">
            <v>61198964.640000023</v>
          </cell>
          <cell r="Q1011" t="str">
            <v>Tallied</v>
          </cell>
        </row>
        <row r="1012">
          <cell r="B1012">
            <v>46167</v>
          </cell>
          <cell r="K1012">
            <v>0</v>
          </cell>
          <cell r="M1012">
            <v>0</v>
          </cell>
          <cell r="P1012">
            <v>22259.52</v>
          </cell>
          <cell r="Q1012" t="str">
            <v>Tallied</v>
          </cell>
        </row>
        <row r="1013">
          <cell r="B1013">
            <v>46167</v>
          </cell>
          <cell r="K1013">
            <v>0</v>
          </cell>
          <cell r="M1013">
            <v>0</v>
          </cell>
          <cell r="P1013">
            <v>325275.78999999998</v>
          </cell>
          <cell r="Q1013" t="str">
            <v>Tallied</v>
          </cell>
        </row>
        <row r="1014">
          <cell r="B1014">
            <v>46167</v>
          </cell>
          <cell r="K1014">
            <v>0</v>
          </cell>
          <cell r="M1014">
            <v>0</v>
          </cell>
          <cell r="P1014">
            <v>950325.11999999988</v>
          </cell>
          <cell r="Q1014" t="str">
            <v>Tallied</v>
          </cell>
        </row>
        <row r="1015">
          <cell r="B1015">
            <v>46167</v>
          </cell>
          <cell r="K1015">
            <v>0</v>
          </cell>
          <cell r="M1015">
            <v>0</v>
          </cell>
          <cell r="P1015">
            <v>6715.4</v>
          </cell>
          <cell r="Q1015" t="str">
            <v>Tallied</v>
          </cell>
        </row>
        <row r="1016">
          <cell r="B1016">
            <v>46167</v>
          </cell>
          <cell r="K1016">
            <v>0</v>
          </cell>
          <cell r="M1016">
            <v>0</v>
          </cell>
          <cell r="P1016">
            <v>383019.36</v>
          </cell>
          <cell r="Q1016" t="str">
            <v>Tallied</v>
          </cell>
        </row>
        <row r="1017">
          <cell r="B1017">
            <v>46167</v>
          </cell>
          <cell r="K1017">
            <v>0</v>
          </cell>
          <cell r="M1017">
            <v>0</v>
          </cell>
          <cell r="P1017">
            <v>200965.69</v>
          </cell>
          <cell r="Q1017" t="str">
            <v>Tallied</v>
          </cell>
        </row>
        <row r="1018">
          <cell r="B1018">
            <v>46167</v>
          </cell>
          <cell r="K1018">
            <v>0</v>
          </cell>
          <cell r="M1018">
            <v>0</v>
          </cell>
          <cell r="P1018">
            <v>16576310.660000002</v>
          </cell>
          <cell r="Q1018" t="str">
            <v>Tallied</v>
          </cell>
        </row>
        <row r="1019">
          <cell r="B1019">
            <v>46167</v>
          </cell>
          <cell r="K1019">
            <v>0</v>
          </cell>
          <cell r="M1019">
            <v>0</v>
          </cell>
          <cell r="P1019">
            <v>418597.44</v>
          </cell>
          <cell r="Q1019" t="str">
            <v>Tallied</v>
          </cell>
        </row>
        <row r="1020">
          <cell r="B1020">
            <v>46167</v>
          </cell>
          <cell r="K1020">
            <v>0</v>
          </cell>
          <cell r="M1020">
            <v>0</v>
          </cell>
          <cell r="P1020">
            <v>3547227.9000000004</v>
          </cell>
          <cell r="Q1020" t="str">
            <v>Tallied</v>
          </cell>
        </row>
        <row r="1021">
          <cell r="B1021">
            <v>46167</v>
          </cell>
          <cell r="K1021">
            <v>0</v>
          </cell>
          <cell r="M1021">
            <v>0</v>
          </cell>
          <cell r="P1021">
            <v>1156117.52</v>
          </cell>
          <cell r="Q1021" t="str">
            <v>Tallied</v>
          </cell>
        </row>
        <row r="1022">
          <cell r="B1022">
            <v>46167</v>
          </cell>
          <cell r="K1022">
            <v>0</v>
          </cell>
          <cell r="M1022">
            <v>0</v>
          </cell>
          <cell r="P1022">
            <v>235350.71999999994</v>
          </cell>
          <cell r="Q1022" t="str">
            <v>Tallied</v>
          </cell>
        </row>
        <row r="1023">
          <cell r="B1023">
            <v>46167</v>
          </cell>
          <cell r="K1023">
            <v>0</v>
          </cell>
          <cell r="M1023">
            <v>0</v>
          </cell>
          <cell r="P1023">
            <v>1</v>
          </cell>
          <cell r="Q1023" t="str">
            <v>Tallied</v>
          </cell>
        </row>
        <row r="1024">
          <cell r="B1024">
            <v>46168</v>
          </cell>
          <cell r="K1024">
            <v>0</v>
          </cell>
          <cell r="M1024">
            <v>0</v>
          </cell>
          <cell r="P1024">
            <v>520490558.39999968</v>
          </cell>
          <cell r="Q1024" t="str">
            <v>Tallied</v>
          </cell>
        </row>
        <row r="1025">
          <cell r="B1025">
            <v>46168</v>
          </cell>
          <cell r="K1025">
            <v>0</v>
          </cell>
          <cell r="M1025">
            <v>0</v>
          </cell>
          <cell r="P1025">
            <v>709425850.32000077</v>
          </cell>
          <cell r="Q1025" t="str">
            <v>Tallied</v>
          </cell>
        </row>
        <row r="1026">
          <cell r="B1026">
            <v>46168</v>
          </cell>
          <cell r="K1026">
            <v>0</v>
          </cell>
          <cell r="M1026">
            <v>0</v>
          </cell>
          <cell r="P1026">
            <v>142287.94</v>
          </cell>
          <cell r="Q1026" t="str">
            <v>Tallied</v>
          </cell>
        </row>
        <row r="1027">
          <cell r="B1027">
            <v>46168</v>
          </cell>
          <cell r="K1027">
            <v>0</v>
          </cell>
          <cell r="M1027">
            <v>0</v>
          </cell>
          <cell r="P1027">
            <v>1</v>
          </cell>
          <cell r="Q1027" t="str">
            <v>Tallied</v>
          </cell>
        </row>
        <row r="1028">
          <cell r="B1028">
            <v>46168</v>
          </cell>
          <cell r="K1028">
            <v>0</v>
          </cell>
          <cell r="M1028">
            <v>0</v>
          </cell>
          <cell r="P1028">
            <v>12214593.999999998</v>
          </cell>
          <cell r="Q1028" t="str">
            <v>Tallied</v>
          </cell>
        </row>
        <row r="1029">
          <cell r="B1029">
            <v>46168</v>
          </cell>
          <cell r="K1029">
            <v>0</v>
          </cell>
          <cell r="M1029">
            <v>0</v>
          </cell>
          <cell r="P1029">
            <v>84555152.639999971</v>
          </cell>
          <cell r="Q1029" t="str">
            <v>Tallied</v>
          </cell>
        </row>
        <row r="1030">
          <cell r="B1030">
            <v>46168</v>
          </cell>
          <cell r="K1030">
            <v>0</v>
          </cell>
          <cell r="M1030">
            <v>0</v>
          </cell>
          <cell r="P1030">
            <v>350432.48</v>
          </cell>
          <cell r="Q1030" t="str">
            <v>Tallied</v>
          </cell>
        </row>
        <row r="1031">
          <cell r="B1031">
            <v>46168</v>
          </cell>
          <cell r="K1031">
            <v>0</v>
          </cell>
          <cell r="M1031">
            <v>0</v>
          </cell>
          <cell r="P1031">
            <v>836784.78</v>
          </cell>
          <cell r="Q1031" t="str">
            <v>Tallied</v>
          </cell>
        </row>
        <row r="1032">
          <cell r="B1032">
            <v>46168</v>
          </cell>
          <cell r="K1032">
            <v>0</v>
          </cell>
          <cell r="M1032">
            <v>0</v>
          </cell>
          <cell r="P1032">
            <v>3186.76</v>
          </cell>
          <cell r="Q1032" t="str">
            <v>Tallied</v>
          </cell>
        </row>
        <row r="1033">
          <cell r="B1033">
            <v>46168</v>
          </cell>
          <cell r="K1033">
            <v>0</v>
          </cell>
          <cell r="M1033">
            <v>0</v>
          </cell>
          <cell r="P1033">
            <v>4790679.12</v>
          </cell>
          <cell r="Q1033" t="str">
            <v>Tallied</v>
          </cell>
        </row>
        <row r="1034">
          <cell r="B1034">
            <v>46168</v>
          </cell>
          <cell r="K1034">
            <v>0</v>
          </cell>
          <cell r="M1034">
            <v>0</v>
          </cell>
          <cell r="P1034">
            <v>496175.44</v>
          </cell>
          <cell r="Q1034" t="str">
            <v>Tallied</v>
          </cell>
        </row>
        <row r="1035">
          <cell r="B1035">
            <v>46168</v>
          </cell>
          <cell r="K1035">
            <v>0</v>
          </cell>
          <cell r="M1035">
            <v>0</v>
          </cell>
          <cell r="P1035">
            <v>806380.44</v>
          </cell>
          <cell r="Q1035" t="str">
            <v>Tallied</v>
          </cell>
        </row>
        <row r="1036">
          <cell r="B1036">
            <v>46168</v>
          </cell>
          <cell r="K1036">
            <v>0</v>
          </cell>
          <cell r="M1036">
            <v>0</v>
          </cell>
          <cell r="P1036">
            <v>0</v>
          </cell>
          <cell r="Q1036" t="str">
            <v>Tallied</v>
          </cell>
        </row>
        <row r="1037">
          <cell r="B1037">
            <v>46168</v>
          </cell>
          <cell r="K1037">
            <v>0</v>
          </cell>
          <cell r="M1037">
            <v>0</v>
          </cell>
          <cell r="P1037">
            <v>3356089.52</v>
          </cell>
          <cell r="Q1037" t="str">
            <v>Tallied</v>
          </cell>
        </row>
        <row r="1038">
          <cell r="B1038">
            <v>46168</v>
          </cell>
          <cell r="K1038">
            <v>0</v>
          </cell>
          <cell r="M1038">
            <v>0</v>
          </cell>
          <cell r="P1038">
            <v>342865</v>
          </cell>
          <cell r="Q1038" t="str">
            <v>Tallied</v>
          </cell>
        </row>
        <row r="1039">
          <cell r="B1039">
            <v>46168</v>
          </cell>
          <cell r="K1039">
            <v>0</v>
          </cell>
          <cell r="M1039">
            <v>0</v>
          </cell>
          <cell r="P1039">
            <v>56283.33</v>
          </cell>
          <cell r="Q1039" t="str">
            <v>Tallied</v>
          </cell>
        </row>
        <row r="1040">
          <cell r="B1040">
            <v>46168</v>
          </cell>
          <cell r="K1040">
            <v>0</v>
          </cell>
          <cell r="M1040">
            <v>0</v>
          </cell>
          <cell r="P1040">
            <v>31178.2</v>
          </cell>
          <cell r="Q1040" t="str">
            <v>Tallied</v>
          </cell>
        </row>
        <row r="1041">
          <cell r="B1041">
            <v>46168</v>
          </cell>
          <cell r="K1041">
            <v>0</v>
          </cell>
          <cell r="M1041">
            <v>0</v>
          </cell>
          <cell r="P1041">
            <v>207893.7</v>
          </cell>
          <cell r="Q1041" t="str">
            <v>Tallied</v>
          </cell>
        </row>
        <row r="1042">
          <cell r="B1042">
            <v>46168</v>
          </cell>
          <cell r="K1042">
            <v>0</v>
          </cell>
          <cell r="M1042">
            <v>0</v>
          </cell>
          <cell r="P1042">
            <v>20048123.199999999</v>
          </cell>
          <cell r="Q1042" t="str">
            <v>Tallied</v>
          </cell>
        </row>
        <row r="1043">
          <cell r="B1043">
            <v>46168</v>
          </cell>
          <cell r="K1043">
            <v>0</v>
          </cell>
          <cell r="M1043">
            <v>0</v>
          </cell>
          <cell r="P1043">
            <v>95070.76</v>
          </cell>
          <cell r="Q1043" t="str">
            <v>Tallied</v>
          </cell>
        </row>
        <row r="1044">
          <cell r="B1044">
            <v>46168</v>
          </cell>
          <cell r="K1044">
            <v>0</v>
          </cell>
          <cell r="M1044">
            <v>0</v>
          </cell>
          <cell r="P1044">
            <v>2329.9899999999998</v>
          </cell>
          <cell r="Q1044" t="str">
            <v>Tallied</v>
          </cell>
        </row>
        <row r="1045">
          <cell r="B1045">
            <v>46168</v>
          </cell>
          <cell r="K1045">
            <v>0</v>
          </cell>
          <cell r="M1045">
            <v>0</v>
          </cell>
          <cell r="P1045">
            <v>21536.46</v>
          </cell>
          <cell r="Q1045" t="str">
            <v>Tallied</v>
          </cell>
        </row>
        <row r="1046">
          <cell r="B1046">
            <v>46168</v>
          </cell>
          <cell r="K1046">
            <v>0</v>
          </cell>
          <cell r="M1046">
            <v>0</v>
          </cell>
          <cell r="P1046">
            <v>251907.36</v>
          </cell>
          <cell r="Q1046" t="str">
            <v>Tallied</v>
          </cell>
        </row>
        <row r="1047">
          <cell r="B1047">
            <v>46168</v>
          </cell>
          <cell r="K1047">
            <v>0</v>
          </cell>
          <cell r="M1047">
            <v>0</v>
          </cell>
          <cell r="P1047">
            <v>168396.90000000002</v>
          </cell>
          <cell r="Q1047" t="str">
            <v>Tallied</v>
          </cell>
        </row>
        <row r="1048">
          <cell r="B1048">
            <v>46168</v>
          </cell>
          <cell r="K1048">
            <v>0</v>
          </cell>
          <cell r="M1048">
            <v>0</v>
          </cell>
          <cell r="P1048">
            <v>291288.95999999996</v>
          </cell>
          <cell r="Q1048" t="str">
            <v>Tallied</v>
          </cell>
        </row>
        <row r="1049">
          <cell r="B1049">
            <v>46168</v>
          </cell>
          <cell r="K1049">
            <v>0</v>
          </cell>
          <cell r="M1049">
            <v>0</v>
          </cell>
          <cell r="P1049">
            <v>1289500.7399999998</v>
          </cell>
          <cell r="Q1049" t="str">
            <v>Tallied</v>
          </cell>
        </row>
        <row r="1050">
          <cell r="B1050">
            <v>46168</v>
          </cell>
          <cell r="K1050">
            <v>0</v>
          </cell>
          <cell r="M1050">
            <v>0</v>
          </cell>
          <cell r="P1050">
            <v>543424.68000000005</v>
          </cell>
          <cell r="Q1050" t="str">
            <v>Tallied</v>
          </cell>
        </row>
        <row r="1051">
          <cell r="B1051">
            <v>46168</v>
          </cell>
          <cell r="K1051">
            <v>0</v>
          </cell>
          <cell r="M1051">
            <v>0</v>
          </cell>
          <cell r="P1051">
            <v>18888.66</v>
          </cell>
          <cell r="Q1051" t="str">
            <v>Tallied</v>
          </cell>
        </row>
        <row r="1052">
          <cell r="B1052">
            <v>46168</v>
          </cell>
          <cell r="K1052">
            <v>0</v>
          </cell>
          <cell r="M1052">
            <v>0</v>
          </cell>
          <cell r="P1052">
            <v>566352</v>
          </cell>
          <cell r="Q1052" t="str">
            <v>Tallied</v>
          </cell>
        </row>
        <row r="1053">
          <cell r="B1053">
            <v>46168</v>
          </cell>
          <cell r="K1053">
            <v>0</v>
          </cell>
          <cell r="M1053">
            <v>0</v>
          </cell>
          <cell r="P1053">
            <v>105802029.00000003</v>
          </cell>
          <cell r="Q1053" t="str">
            <v>Tallied</v>
          </cell>
        </row>
        <row r="1054">
          <cell r="B1054">
            <v>46168</v>
          </cell>
          <cell r="K1054">
            <v>0</v>
          </cell>
          <cell r="M1054">
            <v>0</v>
          </cell>
          <cell r="P1054">
            <v>1043050029.5999993</v>
          </cell>
          <cell r="Q1054" t="str">
            <v>Tallied</v>
          </cell>
        </row>
        <row r="1055">
          <cell r="B1055">
            <v>46168</v>
          </cell>
          <cell r="K1055">
            <v>0</v>
          </cell>
          <cell r="M1055">
            <v>0</v>
          </cell>
          <cell r="P1055">
            <v>334090.8</v>
          </cell>
          <cell r="Q1055" t="str">
            <v>Tallied</v>
          </cell>
        </row>
        <row r="1056">
          <cell r="B1056">
            <v>46168</v>
          </cell>
          <cell r="K1056">
            <v>0</v>
          </cell>
          <cell r="M1056">
            <v>0</v>
          </cell>
          <cell r="P1056">
            <v>686894.64</v>
          </cell>
          <cell r="Q1056" t="str">
            <v>Tallied</v>
          </cell>
        </row>
        <row r="1057">
          <cell r="B1057">
            <v>46168</v>
          </cell>
          <cell r="K1057">
            <v>0</v>
          </cell>
          <cell r="M1057">
            <v>0</v>
          </cell>
          <cell r="P1057">
            <v>96902.399999999994</v>
          </cell>
          <cell r="Q1057" t="str">
            <v>Tallied</v>
          </cell>
        </row>
        <row r="1058">
          <cell r="B1058">
            <v>46168</v>
          </cell>
          <cell r="K1058">
            <v>0</v>
          </cell>
          <cell r="M1058">
            <v>0</v>
          </cell>
          <cell r="P1058">
            <v>5358702.72</v>
          </cell>
          <cell r="Q1058" t="str">
            <v>Tallied</v>
          </cell>
        </row>
        <row r="1059">
          <cell r="B1059">
            <v>46168</v>
          </cell>
          <cell r="K1059">
            <v>0</v>
          </cell>
          <cell r="M1059">
            <v>0</v>
          </cell>
          <cell r="P1059">
            <v>423416.51999999996</v>
          </cell>
          <cell r="Q1059" t="str">
            <v>Tallied</v>
          </cell>
        </row>
        <row r="1060">
          <cell r="B1060">
            <v>46168</v>
          </cell>
          <cell r="K1060">
            <v>0</v>
          </cell>
          <cell r="M1060">
            <v>0</v>
          </cell>
          <cell r="P1060">
            <v>1328782.3999999999</v>
          </cell>
          <cell r="Q1060" t="str">
            <v>Tallied</v>
          </cell>
        </row>
        <row r="1061">
          <cell r="B1061">
            <v>46168</v>
          </cell>
          <cell r="K1061">
            <v>0</v>
          </cell>
          <cell r="M1061">
            <v>0</v>
          </cell>
          <cell r="P1061">
            <v>928384.32000000007</v>
          </cell>
          <cell r="Q1061" t="str">
            <v>Tallied</v>
          </cell>
        </row>
        <row r="1062">
          <cell r="B1062">
            <v>46168</v>
          </cell>
          <cell r="K1062">
            <v>0</v>
          </cell>
          <cell r="M1062">
            <v>0</v>
          </cell>
          <cell r="P1062">
            <v>318187.59999999998</v>
          </cell>
          <cell r="Q1062" t="str">
            <v>Tallied</v>
          </cell>
        </row>
        <row r="1063">
          <cell r="B1063">
            <v>46168</v>
          </cell>
          <cell r="K1063">
            <v>0</v>
          </cell>
          <cell r="M1063">
            <v>0</v>
          </cell>
          <cell r="P1063">
            <v>56449088.199999988</v>
          </cell>
          <cell r="Q1063" t="str">
            <v>Tallied</v>
          </cell>
        </row>
        <row r="1064">
          <cell r="B1064">
            <v>46168</v>
          </cell>
          <cell r="K1064">
            <v>0</v>
          </cell>
          <cell r="M1064">
            <v>0</v>
          </cell>
          <cell r="P1064">
            <v>197224.4</v>
          </cell>
          <cell r="Q1064" t="str">
            <v>Tallied</v>
          </cell>
        </row>
        <row r="1065">
          <cell r="B1065">
            <v>46168</v>
          </cell>
          <cell r="K1065">
            <v>0</v>
          </cell>
          <cell r="M1065">
            <v>0</v>
          </cell>
          <cell r="P1065">
            <v>116060.40000000001</v>
          </cell>
          <cell r="Q1065" t="str">
            <v>Tallied</v>
          </cell>
        </row>
        <row r="1066">
          <cell r="B1066">
            <v>46168</v>
          </cell>
          <cell r="K1066">
            <v>0</v>
          </cell>
          <cell r="M1066">
            <v>0</v>
          </cell>
          <cell r="P1066">
            <v>245026.95</v>
          </cell>
          <cell r="Q1066" t="str">
            <v>Tallied</v>
          </cell>
        </row>
        <row r="1067">
          <cell r="B1067">
            <v>46168</v>
          </cell>
          <cell r="K1067">
            <v>0</v>
          </cell>
          <cell r="M1067">
            <v>0</v>
          </cell>
          <cell r="P1067">
            <v>17269.560000000001</v>
          </cell>
          <cell r="Q1067" t="str">
            <v>Tallied</v>
          </cell>
        </row>
        <row r="1068">
          <cell r="B1068">
            <v>46168</v>
          </cell>
          <cell r="K1068">
            <v>0</v>
          </cell>
          <cell r="M1068">
            <v>0</v>
          </cell>
          <cell r="P1068">
            <v>85766</v>
          </cell>
          <cell r="Q1068" t="str">
            <v>Tallied</v>
          </cell>
        </row>
        <row r="1069">
          <cell r="B1069">
            <v>46168</v>
          </cell>
          <cell r="K1069">
            <v>0</v>
          </cell>
          <cell r="M1069">
            <v>0</v>
          </cell>
          <cell r="P1069">
            <v>62674.03</v>
          </cell>
          <cell r="Q1069" t="str">
            <v>Tallied</v>
          </cell>
        </row>
        <row r="1070">
          <cell r="B1070">
            <v>46168</v>
          </cell>
          <cell r="K1070">
            <v>0</v>
          </cell>
          <cell r="M1070">
            <v>0</v>
          </cell>
          <cell r="P1070">
            <v>123577.42</v>
          </cell>
          <cell r="Q1070" t="str">
            <v>Tallied</v>
          </cell>
        </row>
        <row r="1071">
          <cell r="B1071">
            <v>46168</v>
          </cell>
          <cell r="K1071">
            <v>0</v>
          </cell>
          <cell r="M1071">
            <v>0</v>
          </cell>
          <cell r="P1071">
            <v>1469974.7000000002</v>
          </cell>
          <cell r="Q1071" t="str">
            <v>Tallied</v>
          </cell>
        </row>
        <row r="1072">
          <cell r="B1072">
            <v>46168</v>
          </cell>
          <cell r="K1072">
            <v>0</v>
          </cell>
          <cell r="M1072">
            <v>0</v>
          </cell>
          <cell r="P1072">
            <v>24082582.5</v>
          </cell>
          <cell r="Q1072" t="str">
            <v>Tallied</v>
          </cell>
        </row>
        <row r="1073">
          <cell r="B1073">
            <v>46168</v>
          </cell>
          <cell r="K1073">
            <v>0</v>
          </cell>
          <cell r="M1073">
            <v>0</v>
          </cell>
          <cell r="P1073">
            <v>1766472.9</v>
          </cell>
          <cell r="Q1073" t="str">
            <v>Tallied</v>
          </cell>
        </row>
        <row r="1074">
          <cell r="B1074">
            <v>46169</v>
          </cell>
          <cell r="K1074">
            <v>0</v>
          </cell>
          <cell r="M1074">
            <v>0</v>
          </cell>
          <cell r="P1074">
            <v>21960183</v>
          </cell>
          <cell r="Q1074" t="str">
            <v>Tallied</v>
          </cell>
        </row>
        <row r="1075">
          <cell r="B1075">
            <v>46169</v>
          </cell>
          <cell r="K1075">
            <v>0</v>
          </cell>
          <cell r="M1075">
            <v>0</v>
          </cell>
          <cell r="P1075">
            <v>103223.6</v>
          </cell>
          <cell r="Q1075" t="str">
            <v>Tallied</v>
          </cell>
        </row>
        <row r="1076">
          <cell r="B1076">
            <v>46169</v>
          </cell>
          <cell r="K1076">
            <v>0</v>
          </cell>
          <cell r="M1076">
            <v>0</v>
          </cell>
          <cell r="P1076">
            <v>6345.48</v>
          </cell>
          <cell r="Q1076" t="str">
            <v>Tallied</v>
          </cell>
        </row>
        <row r="1077">
          <cell r="B1077">
            <v>46169</v>
          </cell>
          <cell r="K1077">
            <v>0</v>
          </cell>
          <cell r="M1077">
            <v>0</v>
          </cell>
          <cell r="P1077">
            <v>664574016</v>
          </cell>
          <cell r="Q1077" t="str">
            <v>Tallied</v>
          </cell>
        </row>
        <row r="1078">
          <cell r="B1078">
            <v>46169</v>
          </cell>
          <cell r="K1078">
            <v>0</v>
          </cell>
          <cell r="M1078">
            <v>0</v>
          </cell>
          <cell r="P1078">
            <v>78874.48</v>
          </cell>
          <cell r="Q1078" t="str">
            <v>Tallied</v>
          </cell>
        </row>
        <row r="1079">
          <cell r="B1079">
            <v>46169</v>
          </cell>
          <cell r="K1079">
            <v>0</v>
          </cell>
          <cell r="M1079">
            <v>0</v>
          </cell>
          <cell r="P1079">
            <v>13144789.499999998</v>
          </cell>
          <cell r="Q1079" t="str">
            <v>Tallied</v>
          </cell>
        </row>
        <row r="1080">
          <cell r="B1080">
            <v>46169</v>
          </cell>
          <cell r="K1080">
            <v>0</v>
          </cell>
          <cell r="M1080">
            <v>0</v>
          </cell>
          <cell r="P1080">
            <v>906</v>
          </cell>
          <cell r="Q1080" t="str">
            <v>Tallied</v>
          </cell>
        </row>
        <row r="1081">
          <cell r="B1081">
            <v>46169</v>
          </cell>
          <cell r="K1081">
            <v>0</v>
          </cell>
          <cell r="M1081">
            <v>0</v>
          </cell>
          <cell r="P1081">
            <v>140745.84</v>
          </cell>
          <cell r="Q1081" t="str">
            <v>Tallied</v>
          </cell>
        </row>
        <row r="1082">
          <cell r="B1082">
            <v>46169</v>
          </cell>
          <cell r="K1082">
            <v>0</v>
          </cell>
          <cell r="M1082">
            <v>0</v>
          </cell>
          <cell r="P1082">
            <v>6346.99</v>
          </cell>
          <cell r="Q1082" t="str">
            <v>Tallied</v>
          </cell>
        </row>
        <row r="1083">
          <cell r="B1083">
            <v>46169</v>
          </cell>
          <cell r="K1083">
            <v>0</v>
          </cell>
          <cell r="M1083">
            <v>0</v>
          </cell>
          <cell r="P1083">
            <v>78732</v>
          </cell>
          <cell r="Q1083" t="str">
            <v>Tallied</v>
          </cell>
        </row>
        <row r="1084">
          <cell r="B1084">
            <v>46169</v>
          </cell>
          <cell r="K1084">
            <v>0</v>
          </cell>
          <cell r="M1084">
            <v>0</v>
          </cell>
          <cell r="P1084">
            <v>396</v>
          </cell>
          <cell r="Q1084" t="str">
            <v>Tallied</v>
          </cell>
        </row>
        <row r="1085">
          <cell r="B1085">
            <v>46169</v>
          </cell>
          <cell r="K1085">
            <v>0</v>
          </cell>
          <cell r="M1085">
            <v>0</v>
          </cell>
          <cell r="P1085">
            <v>2794</v>
          </cell>
          <cell r="Q1085" t="str">
            <v>Tallied</v>
          </cell>
        </row>
        <row r="1086">
          <cell r="B1086">
            <v>46169</v>
          </cell>
          <cell r="K1086">
            <v>0</v>
          </cell>
          <cell r="M1086">
            <v>0</v>
          </cell>
          <cell r="P1086">
            <v>2</v>
          </cell>
          <cell r="Q1086" t="str">
            <v>Tallied</v>
          </cell>
        </row>
        <row r="1087">
          <cell r="B1087">
            <v>46169</v>
          </cell>
          <cell r="K1087">
            <v>0</v>
          </cell>
          <cell r="M1087">
            <v>0</v>
          </cell>
          <cell r="P1087">
            <v>2841</v>
          </cell>
          <cell r="Q1087" t="str">
            <v>Tallied</v>
          </cell>
        </row>
        <row r="1088">
          <cell r="B1088">
            <v>46169</v>
          </cell>
          <cell r="K1088">
            <v>0</v>
          </cell>
          <cell r="M1088">
            <v>0</v>
          </cell>
          <cell r="P1088">
            <v>2280</v>
          </cell>
          <cell r="Q1088" t="str">
            <v>Tallied</v>
          </cell>
        </row>
        <row r="1089">
          <cell r="B1089">
            <v>46169</v>
          </cell>
          <cell r="K1089">
            <v>0</v>
          </cell>
          <cell r="M1089">
            <v>0</v>
          </cell>
          <cell r="P1089">
            <v>3944.9199999999996</v>
          </cell>
          <cell r="Q1089" t="str">
            <v>Tallied</v>
          </cell>
        </row>
        <row r="1090">
          <cell r="B1090">
            <v>46169</v>
          </cell>
          <cell r="K1090">
            <v>0</v>
          </cell>
          <cell r="M1090">
            <v>0</v>
          </cell>
          <cell r="P1090">
            <v>9088</v>
          </cell>
          <cell r="Q1090" t="str">
            <v>Tallied</v>
          </cell>
        </row>
        <row r="1091">
          <cell r="B1091">
            <v>46169</v>
          </cell>
          <cell r="K1091">
            <v>0</v>
          </cell>
          <cell r="M1091">
            <v>0</v>
          </cell>
          <cell r="P1091">
            <v>7548</v>
          </cell>
          <cell r="Q1091" t="str">
            <v>Tallied</v>
          </cell>
        </row>
        <row r="1092">
          <cell r="B1092">
            <v>46169</v>
          </cell>
          <cell r="K1092">
            <v>0</v>
          </cell>
          <cell r="M1092">
            <v>0</v>
          </cell>
          <cell r="P1092">
            <v>32478.240000000002</v>
          </cell>
          <cell r="Q1092" t="str">
            <v>Tallied</v>
          </cell>
        </row>
        <row r="1093">
          <cell r="B1093">
            <v>46169</v>
          </cell>
          <cell r="K1093">
            <v>0</v>
          </cell>
          <cell r="M1093">
            <v>0</v>
          </cell>
          <cell r="P1093">
            <v>2156</v>
          </cell>
          <cell r="Q1093" t="str">
            <v>Tallied</v>
          </cell>
        </row>
        <row r="1094">
          <cell r="B1094">
            <v>46169</v>
          </cell>
          <cell r="K1094">
            <v>0</v>
          </cell>
          <cell r="M1094">
            <v>0</v>
          </cell>
          <cell r="P1094">
            <v>240</v>
          </cell>
          <cell r="Q1094" t="str">
            <v>Tallied</v>
          </cell>
        </row>
        <row r="1095">
          <cell r="B1095">
            <v>46169</v>
          </cell>
          <cell r="K1095">
            <v>0</v>
          </cell>
          <cell r="M1095">
            <v>0</v>
          </cell>
          <cell r="P1095">
            <v>7724013</v>
          </cell>
          <cell r="Q1095" t="str">
            <v>Tallied</v>
          </cell>
        </row>
        <row r="1096">
          <cell r="B1096">
            <v>46169</v>
          </cell>
          <cell r="K1096">
            <v>0</v>
          </cell>
          <cell r="M1096">
            <v>0</v>
          </cell>
          <cell r="P1096">
            <v>988</v>
          </cell>
          <cell r="Q1096" t="str">
            <v>Tallied</v>
          </cell>
        </row>
        <row r="1097">
          <cell r="B1097">
            <v>46169</v>
          </cell>
          <cell r="K1097">
            <v>0</v>
          </cell>
          <cell r="M1097">
            <v>0</v>
          </cell>
          <cell r="P1097">
            <v>10766.37</v>
          </cell>
          <cell r="Q1097" t="str">
            <v>Tallied</v>
          </cell>
        </row>
        <row r="1098">
          <cell r="B1098">
            <v>46169</v>
          </cell>
          <cell r="K1098">
            <v>0</v>
          </cell>
          <cell r="M1098">
            <v>0</v>
          </cell>
          <cell r="P1098">
            <v>68003.48</v>
          </cell>
          <cell r="Q1098" t="str">
            <v>Tallied</v>
          </cell>
        </row>
        <row r="1099">
          <cell r="B1099">
            <v>46169</v>
          </cell>
          <cell r="K1099">
            <v>0</v>
          </cell>
          <cell r="M1099">
            <v>0</v>
          </cell>
          <cell r="P1099">
            <v>214776.96000000002</v>
          </cell>
          <cell r="Q1099" t="str">
            <v>Tallied</v>
          </cell>
        </row>
        <row r="1100">
          <cell r="B1100">
            <v>46169</v>
          </cell>
          <cell r="K1100">
            <v>0</v>
          </cell>
          <cell r="M1100">
            <v>0</v>
          </cell>
          <cell r="P1100">
            <v>114479.36</v>
          </cell>
          <cell r="Q1100" t="str">
            <v>Tallied</v>
          </cell>
        </row>
        <row r="1101">
          <cell r="B1101">
            <v>46169</v>
          </cell>
          <cell r="K1101">
            <v>0</v>
          </cell>
          <cell r="M1101">
            <v>0</v>
          </cell>
          <cell r="P1101">
            <v>11636071.199999997</v>
          </cell>
          <cell r="Q1101" t="str">
            <v>Tallied</v>
          </cell>
        </row>
        <row r="1102">
          <cell r="B1102">
            <v>46169</v>
          </cell>
          <cell r="K1102">
            <v>0</v>
          </cell>
          <cell r="M1102">
            <v>0</v>
          </cell>
          <cell r="P1102">
            <v>12841.8</v>
          </cell>
          <cell r="Q1102" t="str">
            <v>Tallied</v>
          </cell>
        </row>
        <row r="1103">
          <cell r="B1103">
            <v>46169</v>
          </cell>
          <cell r="K1103">
            <v>0</v>
          </cell>
          <cell r="M1103">
            <v>0</v>
          </cell>
          <cell r="P1103">
            <v>8428.7999999999993</v>
          </cell>
          <cell r="Q1103" t="str">
            <v>Tallied</v>
          </cell>
        </row>
        <row r="1104">
          <cell r="B1104">
            <v>46169</v>
          </cell>
          <cell r="K1104">
            <v>0</v>
          </cell>
          <cell r="M1104">
            <v>0</v>
          </cell>
          <cell r="P1104">
            <v>496022324.00000054</v>
          </cell>
          <cell r="Q1104" t="str">
            <v>Tallied</v>
          </cell>
        </row>
        <row r="1105">
          <cell r="B1105">
            <v>46169</v>
          </cell>
          <cell r="K1105">
            <v>0</v>
          </cell>
          <cell r="M1105">
            <v>0</v>
          </cell>
          <cell r="P1105">
            <v>349536.48</v>
          </cell>
          <cell r="Q1105" t="str">
            <v>Tallied</v>
          </cell>
        </row>
        <row r="1106">
          <cell r="B1106">
            <v>46169</v>
          </cell>
          <cell r="K1106">
            <v>0</v>
          </cell>
          <cell r="M1106">
            <v>0</v>
          </cell>
          <cell r="P1106">
            <v>473788.8</v>
          </cell>
          <cell r="Q1106" t="str">
            <v>Tallied</v>
          </cell>
        </row>
        <row r="1107">
          <cell r="B1107">
            <v>46169</v>
          </cell>
          <cell r="K1107">
            <v>0</v>
          </cell>
          <cell r="M1107">
            <v>0</v>
          </cell>
          <cell r="P1107">
            <v>46363.26</v>
          </cell>
          <cell r="Q1107" t="str">
            <v>Tallied</v>
          </cell>
        </row>
        <row r="1108">
          <cell r="B1108">
            <v>46169</v>
          </cell>
          <cell r="K1108">
            <v>0</v>
          </cell>
          <cell r="M1108">
            <v>0</v>
          </cell>
          <cell r="P1108">
            <v>1266192.96</v>
          </cell>
          <cell r="Q1108" t="str">
            <v>Tallied</v>
          </cell>
        </row>
        <row r="1109">
          <cell r="B1109">
            <v>46169</v>
          </cell>
          <cell r="K1109">
            <v>0</v>
          </cell>
          <cell r="M1109">
            <v>0</v>
          </cell>
          <cell r="P1109">
            <v>21095.01</v>
          </cell>
          <cell r="Q1109" t="str">
            <v>Tallied</v>
          </cell>
        </row>
        <row r="1110">
          <cell r="B1110">
            <v>46169</v>
          </cell>
          <cell r="K1110">
            <v>0</v>
          </cell>
          <cell r="M1110">
            <v>0</v>
          </cell>
          <cell r="P1110">
            <v>3000645.36</v>
          </cell>
          <cell r="Q1110" t="str">
            <v>Tallied</v>
          </cell>
        </row>
        <row r="1111">
          <cell r="B1111">
            <v>46169</v>
          </cell>
          <cell r="K1111">
            <v>0</v>
          </cell>
          <cell r="M1111">
            <v>0</v>
          </cell>
          <cell r="P1111">
            <v>469616.3</v>
          </cell>
          <cell r="Q1111" t="str">
            <v>Tallied</v>
          </cell>
        </row>
        <row r="1112">
          <cell r="B1112">
            <v>46169</v>
          </cell>
          <cell r="K1112">
            <v>0</v>
          </cell>
          <cell r="M1112">
            <v>0</v>
          </cell>
          <cell r="P1112">
            <v>955052.80000000016</v>
          </cell>
          <cell r="Q1112" t="str">
            <v>Tallied</v>
          </cell>
        </row>
        <row r="1113">
          <cell r="B1113">
            <v>46169</v>
          </cell>
          <cell r="K1113">
            <v>0</v>
          </cell>
          <cell r="M1113">
            <v>0</v>
          </cell>
          <cell r="P1113">
            <v>80382.299999999988</v>
          </cell>
          <cell r="Q1113" t="str">
            <v>Tallied</v>
          </cell>
        </row>
        <row r="1114">
          <cell r="B1114">
            <v>46169</v>
          </cell>
          <cell r="K1114">
            <v>0</v>
          </cell>
          <cell r="M1114">
            <v>0</v>
          </cell>
          <cell r="P1114">
            <v>158617.68</v>
          </cell>
          <cell r="Q1114" t="str">
            <v>Tallied</v>
          </cell>
        </row>
        <row r="1115">
          <cell r="B1115">
            <v>46169</v>
          </cell>
          <cell r="K1115">
            <v>0</v>
          </cell>
          <cell r="M1115">
            <v>0</v>
          </cell>
          <cell r="P1115">
            <v>4039.92</v>
          </cell>
          <cell r="Q1115" t="str">
            <v>Tallied</v>
          </cell>
        </row>
        <row r="1116">
          <cell r="B1116">
            <v>46169</v>
          </cell>
          <cell r="K1116">
            <v>0</v>
          </cell>
          <cell r="M1116">
            <v>0</v>
          </cell>
          <cell r="P1116">
            <v>691402.98</v>
          </cell>
          <cell r="Q1116" t="str">
            <v>Tallied</v>
          </cell>
        </row>
        <row r="1117">
          <cell r="B1117">
            <v>46169</v>
          </cell>
          <cell r="K1117">
            <v>0</v>
          </cell>
          <cell r="M1117">
            <v>0</v>
          </cell>
          <cell r="P1117">
            <v>485.03</v>
          </cell>
          <cell r="Q1117" t="str">
            <v>Tallied</v>
          </cell>
        </row>
        <row r="1118">
          <cell r="B1118">
            <v>46169</v>
          </cell>
          <cell r="K1118">
            <v>0</v>
          </cell>
          <cell r="M1118">
            <v>0</v>
          </cell>
          <cell r="P1118">
            <v>103867.99</v>
          </cell>
          <cell r="Q1118" t="str">
            <v>Tallied</v>
          </cell>
        </row>
        <row r="1119">
          <cell r="B1119">
            <v>46169</v>
          </cell>
          <cell r="K1119">
            <v>0</v>
          </cell>
          <cell r="M1119">
            <v>0</v>
          </cell>
          <cell r="P1119">
            <v>63323.96</v>
          </cell>
          <cell r="Q1119" t="str">
            <v>Tallied</v>
          </cell>
        </row>
        <row r="1120">
          <cell r="B1120">
            <v>46169</v>
          </cell>
          <cell r="K1120">
            <v>0</v>
          </cell>
          <cell r="M1120">
            <v>0</v>
          </cell>
          <cell r="P1120">
            <v>214171.98</v>
          </cell>
          <cell r="Q1120" t="str">
            <v>Tallied</v>
          </cell>
        </row>
        <row r="1121">
          <cell r="B1121">
            <v>46169</v>
          </cell>
          <cell r="K1121">
            <v>0</v>
          </cell>
          <cell r="M1121">
            <v>0</v>
          </cell>
          <cell r="P1121">
            <v>66164622.479999974</v>
          </cell>
          <cell r="Q1121" t="str">
            <v>Tallied</v>
          </cell>
        </row>
        <row r="1122">
          <cell r="B1122">
            <v>46169</v>
          </cell>
          <cell r="K1122">
            <v>0</v>
          </cell>
          <cell r="M1122">
            <v>0</v>
          </cell>
          <cell r="P1122">
            <v>202967.12</v>
          </cell>
          <cell r="Q1122" t="str">
            <v>Tallied</v>
          </cell>
        </row>
        <row r="1123">
          <cell r="B1123">
            <v>46170</v>
          </cell>
          <cell r="K1123">
            <v>0</v>
          </cell>
          <cell r="M1123">
            <v>0</v>
          </cell>
          <cell r="P1123">
            <v>178080.86</v>
          </cell>
          <cell r="Q1123" t="str">
            <v>Tallied</v>
          </cell>
        </row>
        <row r="1124">
          <cell r="B1124">
            <v>46170</v>
          </cell>
          <cell r="K1124">
            <v>0</v>
          </cell>
          <cell r="M1124">
            <v>0</v>
          </cell>
          <cell r="P1124">
            <v>5</v>
          </cell>
          <cell r="Q1124" t="str">
            <v>Tallied</v>
          </cell>
        </row>
        <row r="1125">
          <cell r="B1125">
            <v>46170</v>
          </cell>
          <cell r="K1125">
            <v>0</v>
          </cell>
          <cell r="M1125">
            <v>0</v>
          </cell>
          <cell r="P1125">
            <v>1385836.4100000001</v>
          </cell>
          <cell r="Q1125" t="str">
            <v>Tallied</v>
          </cell>
        </row>
        <row r="1126">
          <cell r="B1126">
            <v>46170</v>
          </cell>
          <cell r="K1126">
            <v>0</v>
          </cell>
          <cell r="M1126">
            <v>0</v>
          </cell>
          <cell r="P1126">
            <v>114751.14</v>
          </cell>
          <cell r="Q1126" t="str">
            <v>Tallied</v>
          </cell>
        </row>
        <row r="1127">
          <cell r="B1127">
            <v>46170</v>
          </cell>
          <cell r="K1127">
            <v>0</v>
          </cell>
          <cell r="M1127">
            <v>0</v>
          </cell>
          <cell r="P1127">
            <v>133605651.06</v>
          </cell>
          <cell r="Q1127" t="str">
            <v>Tallied</v>
          </cell>
        </row>
        <row r="1128">
          <cell r="B1128">
            <v>46170</v>
          </cell>
          <cell r="K1128">
            <v>0</v>
          </cell>
          <cell r="M1128">
            <v>0</v>
          </cell>
          <cell r="P1128">
            <v>9950387.4000000004</v>
          </cell>
          <cell r="Q1128" t="str">
            <v>Tallied</v>
          </cell>
        </row>
        <row r="1129">
          <cell r="B1129">
            <v>46170</v>
          </cell>
          <cell r="K1129">
            <v>0</v>
          </cell>
          <cell r="M1129">
            <v>0</v>
          </cell>
          <cell r="P1129">
            <v>3139.25</v>
          </cell>
          <cell r="Q1129" t="str">
            <v>Tallied</v>
          </cell>
        </row>
        <row r="1130">
          <cell r="B1130">
            <v>46170</v>
          </cell>
          <cell r="K1130">
            <v>0</v>
          </cell>
          <cell r="M1130">
            <v>0</v>
          </cell>
          <cell r="P1130">
            <v>2449.02</v>
          </cell>
          <cell r="Q1130" t="str">
            <v>Tallied</v>
          </cell>
        </row>
        <row r="1131">
          <cell r="B1131">
            <v>46170</v>
          </cell>
          <cell r="K1131">
            <v>0</v>
          </cell>
          <cell r="M1131">
            <v>0</v>
          </cell>
          <cell r="P1131">
            <v>5042983.5</v>
          </cell>
          <cell r="Q1131" t="str">
            <v>Tallied</v>
          </cell>
        </row>
        <row r="1132">
          <cell r="B1132">
            <v>46170</v>
          </cell>
          <cell r="K1132">
            <v>0</v>
          </cell>
          <cell r="M1132">
            <v>0</v>
          </cell>
          <cell r="P1132">
            <v>35981.64</v>
          </cell>
          <cell r="Q1132" t="str">
            <v>Tallied</v>
          </cell>
        </row>
        <row r="1133">
          <cell r="B1133">
            <v>46170</v>
          </cell>
          <cell r="K1133">
            <v>0</v>
          </cell>
          <cell r="M1133">
            <v>0</v>
          </cell>
          <cell r="P1133">
            <v>9899.82</v>
          </cell>
          <cell r="Q1133" t="str">
            <v>Tallied</v>
          </cell>
        </row>
        <row r="1134">
          <cell r="B1134">
            <v>46170</v>
          </cell>
          <cell r="K1134">
            <v>0</v>
          </cell>
          <cell r="M1134">
            <v>0</v>
          </cell>
          <cell r="P1134">
            <v>10473.36</v>
          </cell>
          <cell r="Q1134" t="str">
            <v>Tallied</v>
          </cell>
        </row>
        <row r="1135">
          <cell r="B1135">
            <v>46170</v>
          </cell>
          <cell r="K1135">
            <v>0</v>
          </cell>
          <cell r="M1135">
            <v>0</v>
          </cell>
          <cell r="P1135">
            <v>1801817.7</v>
          </cell>
          <cell r="Q1135" t="str">
            <v>Tallied</v>
          </cell>
        </row>
        <row r="1136">
          <cell r="B1136">
            <v>46170</v>
          </cell>
          <cell r="K1136">
            <v>0</v>
          </cell>
          <cell r="M1136">
            <v>0</v>
          </cell>
          <cell r="P1136">
            <v>5872.61</v>
          </cell>
          <cell r="Q1136" t="str">
            <v>Tallied</v>
          </cell>
        </row>
        <row r="1137">
          <cell r="B1137">
            <v>46170</v>
          </cell>
          <cell r="K1137">
            <v>0</v>
          </cell>
          <cell r="M1137">
            <v>0</v>
          </cell>
          <cell r="P1137">
            <v>456522.77999999997</v>
          </cell>
          <cell r="Q1137" t="str">
            <v>Tallied</v>
          </cell>
        </row>
        <row r="1138">
          <cell r="B1138">
            <v>46170</v>
          </cell>
          <cell r="K1138">
            <v>0</v>
          </cell>
          <cell r="M1138">
            <v>0</v>
          </cell>
          <cell r="P1138">
            <v>1073951.1299999999</v>
          </cell>
          <cell r="Q1138" t="str">
            <v>Tallied</v>
          </cell>
        </row>
        <row r="1139">
          <cell r="B1139">
            <v>46170</v>
          </cell>
          <cell r="K1139">
            <v>0</v>
          </cell>
          <cell r="M1139">
            <v>0</v>
          </cell>
          <cell r="P1139">
            <v>3134186.9999999995</v>
          </cell>
          <cell r="Q1139" t="str">
            <v>Tallied</v>
          </cell>
        </row>
        <row r="1140">
          <cell r="B1140">
            <v>46170</v>
          </cell>
          <cell r="K1140">
            <v>0</v>
          </cell>
          <cell r="M1140">
            <v>0</v>
          </cell>
          <cell r="P1140">
            <v>74679.12</v>
          </cell>
          <cell r="Q1140" t="str">
            <v>Tallied</v>
          </cell>
        </row>
        <row r="1141">
          <cell r="B1141">
            <v>46170</v>
          </cell>
          <cell r="K1141">
            <v>0</v>
          </cell>
          <cell r="M1141">
            <v>0</v>
          </cell>
          <cell r="P1141">
            <v>20810581.439999998</v>
          </cell>
          <cell r="Q1141" t="str">
            <v>Tallied</v>
          </cell>
        </row>
        <row r="1142">
          <cell r="B1142">
            <v>46170</v>
          </cell>
          <cell r="K1142">
            <v>0</v>
          </cell>
          <cell r="M1142">
            <v>0</v>
          </cell>
          <cell r="P1142">
            <v>161298</v>
          </cell>
          <cell r="Q1142" t="str">
            <v>Tallied</v>
          </cell>
        </row>
        <row r="1143">
          <cell r="B1143">
            <v>46170</v>
          </cell>
          <cell r="K1143">
            <v>0</v>
          </cell>
          <cell r="M1143">
            <v>0</v>
          </cell>
          <cell r="P1143">
            <v>396616950</v>
          </cell>
          <cell r="Q1143" t="str">
            <v>Tallied</v>
          </cell>
        </row>
        <row r="1144">
          <cell r="B1144">
            <v>46170</v>
          </cell>
          <cell r="K1144">
            <v>0</v>
          </cell>
          <cell r="M1144">
            <v>0</v>
          </cell>
          <cell r="P1144">
            <v>221305.8</v>
          </cell>
          <cell r="Q1144" t="str">
            <v>Tallied</v>
          </cell>
        </row>
        <row r="1145">
          <cell r="B1145">
            <v>46170</v>
          </cell>
          <cell r="K1145">
            <v>0</v>
          </cell>
          <cell r="M1145">
            <v>0</v>
          </cell>
          <cell r="P1145">
            <v>595725.76</v>
          </cell>
          <cell r="Q1145" t="str">
            <v>Tallied</v>
          </cell>
        </row>
        <row r="1146">
          <cell r="B1146">
            <v>46170</v>
          </cell>
          <cell r="K1146">
            <v>0</v>
          </cell>
          <cell r="M1146">
            <v>0</v>
          </cell>
          <cell r="P1146">
            <v>664949872</v>
          </cell>
          <cell r="Q1146" t="str">
            <v>Tallied</v>
          </cell>
        </row>
        <row r="1147">
          <cell r="B1147">
            <v>46170</v>
          </cell>
          <cell r="K1147">
            <v>0</v>
          </cell>
          <cell r="M1147">
            <v>0</v>
          </cell>
          <cell r="P1147">
            <v>10160.08</v>
          </cell>
          <cell r="Q1147" t="str">
            <v>Tallied</v>
          </cell>
        </row>
        <row r="1148">
          <cell r="B1148">
            <v>46170</v>
          </cell>
          <cell r="K1148">
            <v>0</v>
          </cell>
          <cell r="M1148">
            <v>0</v>
          </cell>
          <cell r="P1148">
            <v>3958.21</v>
          </cell>
          <cell r="Q1148" t="str">
            <v>Tallied</v>
          </cell>
        </row>
        <row r="1149">
          <cell r="B1149">
            <v>46170</v>
          </cell>
          <cell r="K1149">
            <v>0</v>
          </cell>
          <cell r="M1149">
            <v>0</v>
          </cell>
          <cell r="P1149">
            <v>3012.74</v>
          </cell>
          <cell r="Q1149" t="str">
            <v>Tallied</v>
          </cell>
        </row>
        <row r="1150">
          <cell r="B1150">
            <v>46170</v>
          </cell>
          <cell r="K1150">
            <v>0</v>
          </cell>
          <cell r="M1150">
            <v>0</v>
          </cell>
          <cell r="P1150">
            <v>2323803.6</v>
          </cell>
          <cell r="Q1150" t="str">
            <v>Tallied</v>
          </cell>
        </row>
        <row r="1151">
          <cell r="B1151">
            <v>46170</v>
          </cell>
          <cell r="K1151">
            <v>0</v>
          </cell>
          <cell r="M1151">
            <v>0</v>
          </cell>
          <cell r="P1151">
            <v>2840204.4</v>
          </cell>
          <cell r="Q1151" t="str">
            <v>Tallied</v>
          </cell>
        </row>
        <row r="1152">
          <cell r="B1152">
            <v>46170</v>
          </cell>
          <cell r="K1152">
            <v>0</v>
          </cell>
          <cell r="M1152">
            <v>0</v>
          </cell>
          <cell r="P1152">
            <v>6734.4</v>
          </cell>
          <cell r="Q1152" t="str">
            <v>Tallied</v>
          </cell>
        </row>
        <row r="1153">
          <cell r="B1153">
            <v>46170</v>
          </cell>
          <cell r="K1153">
            <v>0</v>
          </cell>
          <cell r="M1153">
            <v>0</v>
          </cell>
          <cell r="P1153">
            <v>5365.5</v>
          </cell>
          <cell r="Q1153" t="str">
            <v>Tallied</v>
          </cell>
        </row>
        <row r="1154">
          <cell r="B1154">
            <v>46170</v>
          </cell>
          <cell r="K1154">
            <v>0</v>
          </cell>
          <cell r="M1154">
            <v>0</v>
          </cell>
          <cell r="P1154">
            <v>514890.87999999989</v>
          </cell>
          <cell r="Q1154" t="str">
            <v>Tallied</v>
          </cell>
        </row>
        <row r="1155">
          <cell r="B1155">
            <v>46170</v>
          </cell>
          <cell r="K1155">
            <v>0</v>
          </cell>
          <cell r="M1155">
            <v>0</v>
          </cell>
          <cell r="P1155">
            <v>422909.76</v>
          </cell>
          <cell r="Q1155" t="str">
            <v>Tallied</v>
          </cell>
        </row>
        <row r="1156">
          <cell r="B1156">
            <v>46170</v>
          </cell>
          <cell r="K1156">
            <v>0</v>
          </cell>
          <cell r="M1156">
            <v>0</v>
          </cell>
          <cell r="P1156">
            <v>193743</v>
          </cell>
          <cell r="Q1156" t="str">
            <v>Tallied</v>
          </cell>
        </row>
        <row r="1157">
          <cell r="B1157">
            <v>46170</v>
          </cell>
          <cell r="K1157">
            <v>0</v>
          </cell>
          <cell r="M1157">
            <v>0</v>
          </cell>
          <cell r="P1157">
            <v>4221999.3599999994</v>
          </cell>
          <cell r="Q1157" t="str">
            <v>Tallied</v>
          </cell>
        </row>
        <row r="1158">
          <cell r="B1158">
            <v>46170</v>
          </cell>
          <cell r="K1158">
            <v>0</v>
          </cell>
          <cell r="M1158">
            <v>0</v>
          </cell>
          <cell r="P1158">
            <v>8</v>
          </cell>
          <cell r="Q1158" t="str">
            <v>Tallied</v>
          </cell>
        </row>
        <row r="1159">
          <cell r="B1159">
            <v>46170</v>
          </cell>
          <cell r="K1159">
            <v>0</v>
          </cell>
          <cell r="M1159">
            <v>0</v>
          </cell>
          <cell r="P1159">
            <v>1291081.4400000002</v>
          </cell>
          <cell r="Q1159" t="str">
            <v>Tallied</v>
          </cell>
        </row>
        <row r="1160">
          <cell r="B1160">
            <v>46170</v>
          </cell>
          <cell r="K1160">
            <v>0</v>
          </cell>
          <cell r="M1160">
            <v>0</v>
          </cell>
          <cell r="P1160">
            <v>133317.66</v>
          </cell>
          <cell r="Q1160" t="str">
            <v>Tallied</v>
          </cell>
        </row>
        <row r="1161">
          <cell r="B1161">
            <v>46170</v>
          </cell>
          <cell r="K1161">
            <v>0</v>
          </cell>
          <cell r="M1161">
            <v>0</v>
          </cell>
          <cell r="P1161">
            <v>1782625.92</v>
          </cell>
          <cell r="Q1161" t="str">
            <v>Tallied</v>
          </cell>
        </row>
        <row r="1162">
          <cell r="B1162">
            <v>46170</v>
          </cell>
          <cell r="K1162">
            <v>0</v>
          </cell>
          <cell r="M1162">
            <v>0</v>
          </cell>
          <cell r="P1162">
            <v>21664.260000000002</v>
          </cell>
          <cell r="Q1162" t="str">
            <v>Tallied</v>
          </cell>
        </row>
        <row r="1163">
          <cell r="B1163">
            <v>46170</v>
          </cell>
          <cell r="K1163">
            <v>0</v>
          </cell>
          <cell r="M1163">
            <v>0</v>
          </cell>
          <cell r="P1163">
            <v>7153.32</v>
          </cell>
          <cell r="Q1163" t="str">
            <v>Tallied</v>
          </cell>
        </row>
        <row r="1164">
          <cell r="B1164">
            <v>46170</v>
          </cell>
          <cell r="K1164">
            <v>0</v>
          </cell>
          <cell r="M1164">
            <v>0</v>
          </cell>
          <cell r="P1164">
            <v>2911.22</v>
          </cell>
          <cell r="Q1164" t="str">
            <v>Tallied</v>
          </cell>
        </row>
        <row r="1165">
          <cell r="B1165">
            <v>46170</v>
          </cell>
          <cell r="K1165">
            <v>0</v>
          </cell>
          <cell r="M1165">
            <v>0</v>
          </cell>
          <cell r="P1165">
            <v>110070.90000000001</v>
          </cell>
          <cell r="Q1165" t="str">
            <v>Tallied</v>
          </cell>
        </row>
        <row r="1166">
          <cell r="B1166">
            <v>46170</v>
          </cell>
          <cell r="K1166">
            <v>0</v>
          </cell>
          <cell r="M1166">
            <v>0</v>
          </cell>
          <cell r="P1166">
            <v>169644.09</v>
          </cell>
          <cell r="Q1166" t="str">
            <v>Tallied</v>
          </cell>
        </row>
        <row r="1167">
          <cell r="B1167">
            <v>46170</v>
          </cell>
          <cell r="K1167">
            <v>0</v>
          </cell>
          <cell r="M1167">
            <v>0</v>
          </cell>
          <cell r="P1167">
            <v>9834.44</v>
          </cell>
          <cell r="Q1167" t="str">
            <v>Tallied</v>
          </cell>
        </row>
        <row r="1168">
          <cell r="B1168">
            <v>46170</v>
          </cell>
          <cell r="K1168">
            <v>0</v>
          </cell>
          <cell r="M1168">
            <v>0</v>
          </cell>
          <cell r="P1168">
            <v>469018.74000000005</v>
          </cell>
          <cell r="Q1168" t="str">
            <v>Tallied</v>
          </cell>
        </row>
        <row r="1169">
          <cell r="B1169">
            <v>46170</v>
          </cell>
          <cell r="K1169">
            <v>0</v>
          </cell>
          <cell r="M1169">
            <v>0</v>
          </cell>
          <cell r="P1169">
            <v>30361.309999999998</v>
          </cell>
          <cell r="Q1169" t="str">
            <v>Tallied</v>
          </cell>
        </row>
        <row r="1170">
          <cell r="B1170">
            <v>46170</v>
          </cell>
          <cell r="K1170">
            <v>0</v>
          </cell>
          <cell r="M1170">
            <v>0</v>
          </cell>
          <cell r="P1170">
            <v>164818.54</v>
          </cell>
          <cell r="Q1170" t="str">
            <v>Tallied</v>
          </cell>
        </row>
        <row r="1171">
          <cell r="B1171">
            <v>46170</v>
          </cell>
          <cell r="K1171">
            <v>0</v>
          </cell>
          <cell r="M1171">
            <v>0</v>
          </cell>
          <cell r="P1171">
            <v>24050.5</v>
          </cell>
          <cell r="Q1171" t="str">
            <v>Tallied</v>
          </cell>
        </row>
        <row r="1172">
          <cell r="B1172">
            <v>46170</v>
          </cell>
          <cell r="K1172">
            <v>0</v>
          </cell>
          <cell r="M1172">
            <v>0</v>
          </cell>
          <cell r="P1172">
            <v>254168.97999999998</v>
          </cell>
          <cell r="Q1172" t="str">
            <v>Tallied</v>
          </cell>
        </row>
        <row r="1173">
          <cell r="B1173">
            <v>46171</v>
          </cell>
          <cell r="K1173">
            <v>0</v>
          </cell>
          <cell r="M1173">
            <v>0</v>
          </cell>
          <cell r="P1173">
            <v>40722.080000000002</v>
          </cell>
          <cell r="Q1173" t="str">
            <v>Tallied</v>
          </cell>
        </row>
        <row r="1174">
          <cell r="B1174">
            <v>46171</v>
          </cell>
          <cell r="K1174">
            <v>0</v>
          </cell>
          <cell r="M1174">
            <v>0</v>
          </cell>
          <cell r="P1174">
            <v>8962154.6299999971</v>
          </cell>
          <cell r="Q1174" t="str">
            <v>Tallied</v>
          </cell>
        </row>
        <row r="1175">
          <cell r="B1175">
            <v>46171</v>
          </cell>
          <cell r="K1175">
            <v>0</v>
          </cell>
          <cell r="M1175">
            <v>0</v>
          </cell>
          <cell r="P1175">
            <v>927535.6</v>
          </cell>
          <cell r="Q1175" t="str">
            <v>Tallied</v>
          </cell>
        </row>
        <row r="1176">
          <cell r="B1176">
            <v>46171</v>
          </cell>
          <cell r="K1176">
            <v>0</v>
          </cell>
          <cell r="M1176">
            <v>0</v>
          </cell>
          <cell r="P1176">
            <v>834782.04</v>
          </cell>
          <cell r="Q1176" t="str">
            <v>Tallied</v>
          </cell>
        </row>
        <row r="1177">
          <cell r="B1177">
            <v>46171</v>
          </cell>
          <cell r="K1177">
            <v>0</v>
          </cell>
          <cell r="M1177">
            <v>0</v>
          </cell>
          <cell r="P1177">
            <v>1067121.2</v>
          </cell>
          <cell r="Q1177" t="str">
            <v>Tallied</v>
          </cell>
        </row>
        <row r="1178">
          <cell r="B1178">
            <v>46171</v>
          </cell>
          <cell r="K1178">
            <v>0</v>
          </cell>
          <cell r="M1178">
            <v>0</v>
          </cell>
          <cell r="P1178">
            <v>1558.4</v>
          </cell>
          <cell r="Q1178" t="str">
            <v>Tallied</v>
          </cell>
        </row>
        <row r="1179">
          <cell r="B1179">
            <v>46171</v>
          </cell>
          <cell r="K1179">
            <v>0</v>
          </cell>
          <cell r="M1179">
            <v>0</v>
          </cell>
          <cell r="P1179">
            <v>51330.400000000001</v>
          </cell>
          <cell r="Q1179" t="str">
            <v>Tallied</v>
          </cell>
        </row>
        <row r="1180">
          <cell r="B1180">
            <v>46171</v>
          </cell>
          <cell r="K1180">
            <v>0</v>
          </cell>
          <cell r="M1180">
            <v>0</v>
          </cell>
          <cell r="P1180">
            <v>261023.40000000002</v>
          </cell>
          <cell r="Q1180" t="str">
            <v>Tallied</v>
          </cell>
        </row>
        <row r="1181">
          <cell r="B1181">
            <v>46171</v>
          </cell>
          <cell r="K1181">
            <v>0</v>
          </cell>
          <cell r="M1181">
            <v>0</v>
          </cell>
          <cell r="P1181">
            <v>36321.600000000006</v>
          </cell>
          <cell r="Q1181" t="str">
            <v>Tallied</v>
          </cell>
        </row>
        <row r="1182">
          <cell r="B1182">
            <v>46171</v>
          </cell>
          <cell r="K1182">
            <v>0</v>
          </cell>
          <cell r="M1182">
            <v>0</v>
          </cell>
          <cell r="P1182">
            <v>116746967.36999999</v>
          </cell>
          <cell r="Q1182" t="str">
            <v>Tallied</v>
          </cell>
        </row>
        <row r="1183">
          <cell r="B1183">
            <v>46171</v>
          </cell>
          <cell r="K1183">
            <v>0</v>
          </cell>
          <cell r="M1183">
            <v>0</v>
          </cell>
          <cell r="P1183">
            <v>41604576</v>
          </cell>
          <cell r="Q1183" t="str">
            <v>Tallied</v>
          </cell>
        </row>
        <row r="1184">
          <cell r="B1184">
            <v>46171</v>
          </cell>
          <cell r="K1184">
            <v>0</v>
          </cell>
          <cell r="M1184">
            <v>0</v>
          </cell>
          <cell r="P1184">
            <v>282460586.25000006</v>
          </cell>
          <cell r="Q1184" t="str">
            <v>Tallied</v>
          </cell>
        </row>
        <row r="1185">
          <cell r="B1185">
            <v>46171</v>
          </cell>
          <cell r="K1185">
            <v>0</v>
          </cell>
          <cell r="M1185">
            <v>0</v>
          </cell>
          <cell r="P1185">
            <v>5097416.8</v>
          </cell>
          <cell r="Q1185" t="str">
            <v>Tallied</v>
          </cell>
        </row>
        <row r="1186">
          <cell r="B1186">
            <v>46171</v>
          </cell>
          <cell r="K1186">
            <v>0</v>
          </cell>
          <cell r="M1186">
            <v>0</v>
          </cell>
          <cell r="P1186">
            <v>1455359.08</v>
          </cell>
          <cell r="Q1186" t="str">
            <v>Tallied</v>
          </cell>
        </row>
        <row r="1187">
          <cell r="B1187">
            <v>46171</v>
          </cell>
          <cell r="K1187">
            <v>0</v>
          </cell>
          <cell r="M1187">
            <v>0</v>
          </cell>
          <cell r="P1187">
            <v>6672314.3999999994</v>
          </cell>
          <cell r="Q1187" t="str">
            <v>Tallied</v>
          </cell>
        </row>
        <row r="1188">
          <cell r="B1188">
            <v>46171</v>
          </cell>
          <cell r="K1188">
            <v>0</v>
          </cell>
          <cell r="M1188">
            <v>0</v>
          </cell>
          <cell r="P1188">
            <v>5016513.84</v>
          </cell>
          <cell r="Q1188" t="str">
            <v>Tallied</v>
          </cell>
        </row>
        <row r="1189">
          <cell r="B1189">
            <v>46171</v>
          </cell>
          <cell r="K1189">
            <v>0</v>
          </cell>
          <cell r="M1189">
            <v>0</v>
          </cell>
          <cell r="P1189">
            <v>126764.16</v>
          </cell>
          <cell r="Q1189" t="str">
            <v>Tallied</v>
          </cell>
        </row>
        <row r="1190">
          <cell r="B1190">
            <v>46171</v>
          </cell>
          <cell r="K1190">
            <v>0</v>
          </cell>
          <cell r="M1190">
            <v>0</v>
          </cell>
          <cell r="P1190">
            <v>109664.1</v>
          </cell>
          <cell r="Q1190" t="str">
            <v>Tallied</v>
          </cell>
        </row>
        <row r="1191">
          <cell r="B1191">
            <v>46171</v>
          </cell>
          <cell r="K1191">
            <v>0</v>
          </cell>
          <cell r="M1191">
            <v>0</v>
          </cell>
          <cell r="P1191">
            <v>3724.05</v>
          </cell>
          <cell r="Q1191" t="str">
            <v>Tallied</v>
          </cell>
        </row>
        <row r="1192">
          <cell r="B1192">
            <v>46171</v>
          </cell>
          <cell r="K1192">
            <v>0</v>
          </cell>
          <cell r="M1192">
            <v>0</v>
          </cell>
          <cell r="P1192">
            <v>6507.1</v>
          </cell>
          <cell r="Q1192" t="str">
            <v>Tallied</v>
          </cell>
        </row>
        <row r="1193">
          <cell r="B1193">
            <v>46171</v>
          </cell>
          <cell r="K1193">
            <v>0</v>
          </cell>
          <cell r="M1193">
            <v>0</v>
          </cell>
          <cell r="P1193">
            <v>63324.76</v>
          </cell>
          <cell r="Q1193" t="str">
            <v>Tallied</v>
          </cell>
        </row>
        <row r="1194">
          <cell r="B1194">
            <v>46171</v>
          </cell>
          <cell r="K1194">
            <v>0</v>
          </cell>
          <cell r="M1194">
            <v>0</v>
          </cell>
          <cell r="P1194">
            <v>263480.62</v>
          </cell>
          <cell r="Q1194" t="str">
            <v>Tallied</v>
          </cell>
        </row>
        <row r="1195">
          <cell r="B1195">
            <v>46171</v>
          </cell>
          <cell r="K1195">
            <v>0</v>
          </cell>
          <cell r="M1195">
            <v>0</v>
          </cell>
          <cell r="P1195">
            <v>35761.629999999997</v>
          </cell>
          <cell r="Q1195" t="str">
            <v>Tallied</v>
          </cell>
        </row>
        <row r="1196">
          <cell r="B1196">
            <v>46171</v>
          </cell>
          <cell r="K1196">
            <v>0</v>
          </cell>
          <cell r="M1196">
            <v>0</v>
          </cell>
          <cell r="P1196">
            <v>21181.67</v>
          </cell>
          <cell r="Q1196" t="str">
            <v>Tallied</v>
          </cell>
        </row>
        <row r="1197">
          <cell r="B1197">
            <v>46171</v>
          </cell>
          <cell r="K1197">
            <v>0</v>
          </cell>
          <cell r="M1197">
            <v>0</v>
          </cell>
          <cell r="P1197">
            <v>274698.76</v>
          </cell>
          <cell r="Q1197" t="str">
            <v>Tallied</v>
          </cell>
        </row>
        <row r="1198">
          <cell r="B1198">
            <v>46171</v>
          </cell>
          <cell r="K1198">
            <v>0</v>
          </cell>
          <cell r="M1198">
            <v>0</v>
          </cell>
          <cell r="P1198">
            <v>3</v>
          </cell>
          <cell r="Q1198" t="str">
            <v>Tallied</v>
          </cell>
        </row>
        <row r="1199">
          <cell r="B1199">
            <v>46171</v>
          </cell>
          <cell r="K1199">
            <v>0</v>
          </cell>
          <cell r="M1199">
            <v>0</v>
          </cell>
          <cell r="P1199">
            <v>91334.52</v>
          </cell>
          <cell r="Q1199" t="str">
            <v>Tallied</v>
          </cell>
        </row>
        <row r="1200">
          <cell r="B1200">
            <v>46171</v>
          </cell>
          <cell r="K1200">
            <v>0</v>
          </cell>
          <cell r="M1200">
            <v>0</v>
          </cell>
          <cell r="P1200">
            <v>71775.740000000005</v>
          </cell>
          <cell r="Q1200" t="str">
            <v>Tallied</v>
          </cell>
        </row>
        <row r="1201">
          <cell r="B1201">
            <v>46171</v>
          </cell>
          <cell r="K1201">
            <v>0</v>
          </cell>
          <cell r="M1201">
            <v>0</v>
          </cell>
          <cell r="P1201">
            <v>396547.92</v>
          </cell>
          <cell r="Q1201" t="str">
            <v>Tallied</v>
          </cell>
        </row>
        <row r="1202">
          <cell r="B1202">
            <v>46171</v>
          </cell>
          <cell r="K1202">
            <v>0</v>
          </cell>
          <cell r="M1202">
            <v>0</v>
          </cell>
          <cell r="P1202">
            <v>991220.12</v>
          </cell>
          <cell r="Q1202" t="str">
            <v>Tallied</v>
          </cell>
        </row>
        <row r="1203">
          <cell r="B1203">
            <v>46171</v>
          </cell>
          <cell r="K1203">
            <v>0</v>
          </cell>
          <cell r="M1203">
            <v>0</v>
          </cell>
          <cell r="P1203">
            <v>758360.52</v>
          </cell>
          <cell r="Q1203" t="str">
            <v>Tallied</v>
          </cell>
        </row>
        <row r="1204">
          <cell r="B1204">
            <v>46171</v>
          </cell>
          <cell r="K1204">
            <v>0</v>
          </cell>
          <cell r="M1204">
            <v>0</v>
          </cell>
          <cell r="P1204">
            <v>2747791.2</v>
          </cell>
          <cell r="Q1204" t="str">
            <v>Tallied</v>
          </cell>
        </row>
        <row r="1205">
          <cell r="B1205">
            <v>46171</v>
          </cell>
          <cell r="K1205">
            <v>0</v>
          </cell>
          <cell r="M1205">
            <v>0</v>
          </cell>
          <cell r="P1205">
            <v>5921.44</v>
          </cell>
          <cell r="Q1205" t="str">
            <v>Tallied</v>
          </cell>
        </row>
        <row r="1206">
          <cell r="B1206">
            <v>46171</v>
          </cell>
          <cell r="K1206">
            <v>0</v>
          </cell>
          <cell r="M1206">
            <v>0</v>
          </cell>
          <cell r="P1206">
            <v>251053.18</v>
          </cell>
          <cell r="Q1206" t="str">
            <v>Tallied</v>
          </cell>
        </row>
        <row r="1207">
          <cell r="B1207">
            <v>46171</v>
          </cell>
          <cell r="K1207">
            <v>0</v>
          </cell>
          <cell r="M1207">
            <v>0</v>
          </cell>
          <cell r="P1207">
            <v>435168.72</v>
          </cell>
          <cell r="Q1207" t="str">
            <v>Tallied</v>
          </cell>
        </row>
        <row r="1208">
          <cell r="B1208">
            <v>46171</v>
          </cell>
          <cell r="K1208">
            <v>0</v>
          </cell>
          <cell r="M1208">
            <v>0</v>
          </cell>
          <cell r="P1208">
            <v>679405.04</v>
          </cell>
          <cell r="Q1208" t="str">
            <v>Tallied</v>
          </cell>
        </row>
        <row r="1209">
          <cell r="B1209">
            <v>46171</v>
          </cell>
          <cell r="K1209">
            <v>0</v>
          </cell>
          <cell r="M1209">
            <v>0</v>
          </cell>
          <cell r="P1209">
            <v>1101</v>
          </cell>
          <cell r="Q1209" t="str">
            <v>Tallied</v>
          </cell>
        </row>
        <row r="1210">
          <cell r="B1210">
            <v>46171</v>
          </cell>
          <cell r="K1210">
            <v>0</v>
          </cell>
          <cell r="M1210">
            <v>0</v>
          </cell>
          <cell r="P1210">
            <v>20442.919999999998</v>
          </cell>
          <cell r="Q1210" t="str">
            <v>Tallied</v>
          </cell>
        </row>
        <row r="1211">
          <cell r="B1211">
            <v>46171</v>
          </cell>
          <cell r="K1211">
            <v>0</v>
          </cell>
          <cell r="M1211">
            <v>0</v>
          </cell>
          <cell r="P1211">
            <v>229182.35</v>
          </cell>
          <cell r="Q1211" t="str">
            <v>Tallied</v>
          </cell>
        </row>
        <row r="1212">
          <cell r="B1212">
            <v>46171</v>
          </cell>
          <cell r="K1212">
            <v>0</v>
          </cell>
          <cell r="M1212">
            <v>0</v>
          </cell>
          <cell r="P1212">
            <v>178238.13</v>
          </cell>
          <cell r="Q1212" t="str">
            <v>Tallied</v>
          </cell>
        </row>
        <row r="1213">
          <cell r="B1213">
            <v>46171</v>
          </cell>
          <cell r="K1213">
            <v>0</v>
          </cell>
          <cell r="M1213">
            <v>0</v>
          </cell>
          <cell r="P1213">
            <v>160950</v>
          </cell>
          <cell r="Q1213" t="str">
            <v>Tallied</v>
          </cell>
        </row>
        <row r="1214">
          <cell r="B1214">
            <v>46171</v>
          </cell>
          <cell r="K1214">
            <v>0</v>
          </cell>
          <cell r="M1214">
            <v>0</v>
          </cell>
          <cell r="P1214">
            <v>5057.58</v>
          </cell>
          <cell r="Q1214" t="str">
            <v>Tallied</v>
          </cell>
        </row>
        <row r="1215">
          <cell r="B1215">
            <v>46171</v>
          </cell>
          <cell r="K1215">
            <v>0</v>
          </cell>
          <cell r="M1215">
            <v>0</v>
          </cell>
          <cell r="P1215">
            <v>1604473.75</v>
          </cell>
          <cell r="Q1215" t="str">
            <v>Tallied</v>
          </cell>
        </row>
        <row r="1216">
          <cell r="B1216">
            <v>46171</v>
          </cell>
          <cell r="K1216">
            <v>0</v>
          </cell>
          <cell r="M1216">
            <v>0</v>
          </cell>
          <cell r="P1216">
            <v>1305215.01</v>
          </cell>
          <cell r="Q1216" t="str">
            <v>Tallied</v>
          </cell>
        </row>
        <row r="1217">
          <cell r="B1217">
            <v>46171</v>
          </cell>
          <cell r="K1217">
            <v>0</v>
          </cell>
          <cell r="M1217">
            <v>0</v>
          </cell>
          <cell r="P1217">
            <v>2695525.68</v>
          </cell>
          <cell r="Q1217" t="str">
            <v>Tallied</v>
          </cell>
        </row>
        <row r="1218">
          <cell r="B1218">
            <v>46171</v>
          </cell>
          <cell r="K1218">
            <v>0</v>
          </cell>
          <cell r="M1218">
            <v>0</v>
          </cell>
          <cell r="P1218">
            <v>8526.64</v>
          </cell>
          <cell r="Q1218" t="str">
            <v>Tallied</v>
          </cell>
        </row>
        <row r="1219">
          <cell r="B1219">
            <v>46171</v>
          </cell>
          <cell r="K1219">
            <v>0</v>
          </cell>
          <cell r="M1219">
            <v>0</v>
          </cell>
          <cell r="P1219">
            <v>6</v>
          </cell>
          <cell r="Q1219" t="str">
            <v>Tallied</v>
          </cell>
        </row>
        <row r="1220">
          <cell r="B1220">
            <v>46171</v>
          </cell>
          <cell r="K1220">
            <v>0</v>
          </cell>
          <cell r="M1220">
            <v>0</v>
          </cell>
          <cell r="P1220">
            <v>4375420.5599999996</v>
          </cell>
          <cell r="Q1220" t="str">
            <v>Tallied</v>
          </cell>
        </row>
        <row r="1221">
          <cell r="B1221">
            <v>46171</v>
          </cell>
          <cell r="K1221">
            <v>0</v>
          </cell>
          <cell r="M1221">
            <v>0</v>
          </cell>
          <cell r="P1221">
            <v>127064.58</v>
          </cell>
          <cell r="Q1221" t="str">
            <v>Tallied</v>
          </cell>
        </row>
        <row r="1222">
          <cell r="B1222">
            <v>46171</v>
          </cell>
          <cell r="K1222">
            <v>0</v>
          </cell>
          <cell r="M1222">
            <v>0</v>
          </cell>
          <cell r="P1222">
            <v>1310324.96</v>
          </cell>
          <cell r="Q1222" t="str">
            <v>Tallied</v>
          </cell>
        </row>
        <row r="1223">
          <cell r="B1223">
            <v>46172</v>
          </cell>
          <cell r="K1223">
            <v>0</v>
          </cell>
          <cell r="M1223">
            <v>0</v>
          </cell>
          <cell r="P1223">
            <v>158179.67000000001</v>
          </cell>
          <cell r="Q1223" t="str">
            <v>Tallied</v>
          </cell>
        </row>
        <row r="1224">
          <cell r="B1224">
            <v>46172</v>
          </cell>
          <cell r="K1224">
            <v>0</v>
          </cell>
          <cell r="M1224">
            <v>0</v>
          </cell>
          <cell r="P1224">
            <v>874573.32000000007</v>
          </cell>
          <cell r="Q1224" t="str">
            <v>Tallied</v>
          </cell>
        </row>
        <row r="1225">
          <cell r="B1225">
            <v>46172</v>
          </cell>
          <cell r="K1225">
            <v>0</v>
          </cell>
          <cell r="M1225">
            <v>0</v>
          </cell>
          <cell r="P1225">
            <v>696689.12</v>
          </cell>
          <cell r="Q1225" t="str">
            <v>Tallied</v>
          </cell>
        </row>
        <row r="1226">
          <cell r="B1226">
            <v>46172</v>
          </cell>
          <cell r="K1226">
            <v>0</v>
          </cell>
          <cell r="M1226">
            <v>0</v>
          </cell>
          <cell r="P1226">
            <v>468757.28</v>
          </cell>
          <cell r="Q1226" t="str">
            <v>Tallied</v>
          </cell>
        </row>
        <row r="1227">
          <cell r="B1227">
            <v>46172</v>
          </cell>
          <cell r="K1227">
            <v>0</v>
          </cell>
          <cell r="M1227">
            <v>0</v>
          </cell>
          <cell r="P1227">
            <v>16534757.600000003</v>
          </cell>
          <cell r="Q1227" t="str">
            <v>Tallied</v>
          </cell>
        </row>
        <row r="1228">
          <cell r="B1228">
            <v>46172</v>
          </cell>
          <cell r="K1228">
            <v>0</v>
          </cell>
          <cell r="M1228">
            <v>0</v>
          </cell>
          <cell r="P1228">
            <v>740785.31</v>
          </cell>
          <cell r="Q1228" t="str">
            <v>Tallied</v>
          </cell>
        </row>
        <row r="1229">
          <cell r="B1229">
            <v>46172</v>
          </cell>
          <cell r="K1229">
            <v>0</v>
          </cell>
          <cell r="M1229">
            <v>0</v>
          </cell>
          <cell r="P1229">
            <v>753956.88</v>
          </cell>
          <cell r="Q1229" t="str">
            <v>Tallied</v>
          </cell>
        </row>
        <row r="1230">
          <cell r="B1230">
            <v>46172</v>
          </cell>
          <cell r="K1230">
            <v>0</v>
          </cell>
          <cell r="M1230">
            <v>0</v>
          </cell>
          <cell r="P1230">
            <v>67449587.939999983</v>
          </cell>
          <cell r="Q1230" t="str">
            <v>Tallied</v>
          </cell>
        </row>
        <row r="1231">
          <cell r="B1231">
            <v>46172</v>
          </cell>
          <cell r="K1231">
            <v>0</v>
          </cell>
          <cell r="M1231">
            <v>0</v>
          </cell>
          <cell r="P1231">
            <v>9</v>
          </cell>
          <cell r="Q1231" t="str">
            <v>Tallied</v>
          </cell>
        </row>
        <row r="1232">
          <cell r="B1232">
            <v>46172</v>
          </cell>
          <cell r="K1232">
            <v>0</v>
          </cell>
          <cell r="M1232">
            <v>0</v>
          </cell>
          <cell r="P1232">
            <v>873712.61999999988</v>
          </cell>
          <cell r="Q1232" t="str">
            <v>Tallied</v>
          </cell>
        </row>
        <row r="1233">
          <cell r="B1233">
            <v>46172</v>
          </cell>
          <cell r="K1233">
            <v>0</v>
          </cell>
          <cell r="M1233">
            <v>0</v>
          </cell>
          <cell r="P1233">
            <v>2114.66</v>
          </cell>
          <cell r="Q1233" t="str">
            <v>Tallied</v>
          </cell>
        </row>
        <row r="1234">
          <cell r="B1234">
            <v>46172</v>
          </cell>
          <cell r="K1234">
            <v>0</v>
          </cell>
          <cell r="M1234">
            <v>0</v>
          </cell>
          <cell r="P1234">
            <v>41300</v>
          </cell>
          <cell r="Q1234" t="str">
            <v>Tallied</v>
          </cell>
        </row>
        <row r="1235">
          <cell r="B1235">
            <v>46172</v>
          </cell>
          <cell r="K1235">
            <v>0</v>
          </cell>
          <cell r="M1235">
            <v>0</v>
          </cell>
          <cell r="P1235">
            <v>71686.97</v>
          </cell>
          <cell r="Q1235" t="str">
            <v>Tallied</v>
          </cell>
        </row>
        <row r="1236">
          <cell r="B1236">
            <v>46172</v>
          </cell>
          <cell r="K1236">
            <v>0</v>
          </cell>
          <cell r="M1236">
            <v>0</v>
          </cell>
          <cell r="P1236">
            <v>44348900.380000025</v>
          </cell>
          <cell r="Q1236" t="str">
            <v>Tallied</v>
          </cell>
        </row>
        <row r="1237">
          <cell r="B1237">
            <v>46172</v>
          </cell>
          <cell r="K1237">
            <v>0</v>
          </cell>
          <cell r="M1237">
            <v>0</v>
          </cell>
          <cell r="P1237">
            <v>47881.11</v>
          </cell>
          <cell r="Q1237" t="str">
            <v>Tallied</v>
          </cell>
        </row>
        <row r="1238">
          <cell r="B1238">
            <v>46172</v>
          </cell>
          <cell r="K1238">
            <v>0</v>
          </cell>
          <cell r="M1238">
            <v>0</v>
          </cell>
          <cell r="P1238">
            <v>63580.600000000006</v>
          </cell>
          <cell r="Q1238" t="str">
            <v>Tallied</v>
          </cell>
        </row>
        <row r="1239">
          <cell r="B1239">
            <v>46172</v>
          </cell>
          <cell r="K1239">
            <v>0</v>
          </cell>
          <cell r="M1239">
            <v>0</v>
          </cell>
          <cell r="P1239">
            <v>2195586.66</v>
          </cell>
          <cell r="Q1239" t="str">
            <v>Tallied</v>
          </cell>
        </row>
        <row r="1240">
          <cell r="B1240">
            <v>46172</v>
          </cell>
          <cell r="K1240">
            <v>0</v>
          </cell>
          <cell r="M1240">
            <v>0</v>
          </cell>
          <cell r="P1240">
            <v>72436.679999999993</v>
          </cell>
          <cell r="Q1240" t="str">
            <v>Tallied</v>
          </cell>
        </row>
        <row r="1241">
          <cell r="B1241">
            <v>46172</v>
          </cell>
          <cell r="K1241">
            <v>0</v>
          </cell>
          <cell r="M1241">
            <v>0</v>
          </cell>
          <cell r="P1241">
            <v>916189.4</v>
          </cell>
          <cell r="Q1241" t="str">
            <v>Tallied</v>
          </cell>
        </row>
        <row r="1242">
          <cell r="B1242">
            <v>46172</v>
          </cell>
          <cell r="K1242">
            <v>0</v>
          </cell>
          <cell r="M1242">
            <v>0</v>
          </cell>
          <cell r="P1242">
            <v>11839351.200000001</v>
          </cell>
          <cell r="Q1242" t="str">
            <v>Tallied</v>
          </cell>
        </row>
        <row r="1243">
          <cell r="B1243">
            <v>46172</v>
          </cell>
          <cell r="K1243">
            <v>0</v>
          </cell>
          <cell r="M1243">
            <v>0</v>
          </cell>
          <cell r="P1243">
            <v>7962.46</v>
          </cell>
          <cell r="Q1243" t="str">
            <v>Tallied</v>
          </cell>
        </row>
        <row r="1244">
          <cell r="B1244">
            <v>46172</v>
          </cell>
          <cell r="K1244">
            <v>0</v>
          </cell>
          <cell r="M1244">
            <v>0</v>
          </cell>
          <cell r="P1244">
            <v>3986.77</v>
          </cell>
          <cell r="Q1244" t="str">
            <v>Tallied</v>
          </cell>
        </row>
        <row r="1245">
          <cell r="B1245">
            <v>46172</v>
          </cell>
          <cell r="K1245">
            <v>0</v>
          </cell>
          <cell r="M1245">
            <v>0</v>
          </cell>
          <cell r="P1245">
            <v>8749.08</v>
          </cell>
          <cell r="Q1245" t="str">
            <v>Tallied</v>
          </cell>
        </row>
        <row r="1246">
          <cell r="B1246">
            <v>46172</v>
          </cell>
          <cell r="K1246">
            <v>0</v>
          </cell>
          <cell r="M1246">
            <v>0</v>
          </cell>
          <cell r="P1246">
            <v>258597</v>
          </cell>
          <cell r="Q1246" t="str">
            <v>Tallied</v>
          </cell>
        </row>
        <row r="1247">
          <cell r="B1247">
            <v>46172</v>
          </cell>
          <cell r="K1247">
            <v>0</v>
          </cell>
          <cell r="M1247">
            <v>0</v>
          </cell>
          <cell r="P1247">
            <v>241610.04000000007</v>
          </cell>
          <cell r="Q1247" t="str">
            <v>Tallied</v>
          </cell>
        </row>
        <row r="1248">
          <cell r="B1248">
            <v>46172</v>
          </cell>
          <cell r="K1248">
            <v>0</v>
          </cell>
          <cell r="M1248">
            <v>0</v>
          </cell>
          <cell r="P1248">
            <v>132987.01</v>
          </cell>
          <cell r="Q1248" t="str">
            <v>Tallied</v>
          </cell>
        </row>
        <row r="1249">
          <cell r="B1249">
            <v>46172</v>
          </cell>
          <cell r="K1249">
            <v>0</v>
          </cell>
          <cell r="M1249">
            <v>0</v>
          </cell>
          <cell r="P1249">
            <v>19265.46</v>
          </cell>
          <cell r="Q1249" t="str">
            <v>Tallied</v>
          </cell>
        </row>
        <row r="1250">
          <cell r="B1250">
            <v>46172</v>
          </cell>
          <cell r="K1250">
            <v>0</v>
          </cell>
          <cell r="M1250">
            <v>0</v>
          </cell>
          <cell r="P1250">
            <v>8622.36</v>
          </cell>
          <cell r="Q1250" t="str">
            <v>Tallied</v>
          </cell>
        </row>
        <row r="1251">
          <cell r="B1251">
            <v>46172</v>
          </cell>
          <cell r="K1251">
            <v>0</v>
          </cell>
          <cell r="M1251">
            <v>0</v>
          </cell>
          <cell r="P1251">
            <v>32053.56</v>
          </cell>
          <cell r="Q1251" t="str">
            <v>Tallied</v>
          </cell>
        </row>
        <row r="1252">
          <cell r="B1252">
            <v>46172</v>
          </cell>
          <cell r="K1252">
            <v>0</v>
          </cell>
          <cell r="M1252">
            <v>0</v>
          </cell>
          <cell r="P1252">
            <v>169619.76</v>
          </cell>
          <cell r="Q1252" t="str">
            <v>Tallied</v>
          </cell>
        </row>
        <row r="1253">
          <cell r="B1253">
            <v>46172</v>
          </cell>
          <cell r="K1253">
            <v>0</v>
          </cell>
          <cell r="M1253">
            <v>0</v>
          </cell>
          <cell r="P1253">
            <v>1480040.1</v>
          </cell>
          <cell r="Q1253" t="str">
            <v>Tallied</v>
          </cell>
        </row>
        <row r="1254">
          <cell r="B1254">
            <v>46172</v>
          </cell>
          <cell r="K1254">
            <v>0</v>
          </cell>
          <cell r="M1254">
            <v>0</v>
          </cell>
          <cell r="P1254">
            <v>93426.5</v>
          </cell>
          <cell r="Q1254" t="str">
            <v>Tallied</v>
          </cell>
        </row>
        <row r="1255">
          <cell r="B1255">
            <v>46172</v>
          </cell>
          <cell r="K1255">
            <v>0</v>
          </cell>
          <cell r="M1255">
            <v>0</v>
          </cell>
          <cell r="P1255">
            <v>601.91</v>
          </cell>
          <cell r="Q1255" t="str">
            <v>Tallied</v>
          </cell>
        </row>
        <row r="1256">
          <cell r="B1256">
            <v>46172</v>
          </cell>
          <cell r="K1256">
            <v>0</v>
          </cell>
          <cell r="M1256">
            <v>0</v>
          </cell>
          <cell r="P1256">
            <v>1</v>
          </cell>
          <cell r="Q1256" t="str">
            <v>Tallied</v>
          </cell>
        </row>
        <row r="1257">
          <cell r="B1257">
            <v>46172</v>
          </cell>
          <cell r="K1257">
            <v>0</v>
          </cell>
          <cell r="M1257">
            <v>0</v>
          </cell>
          <cell r="P1257">
            <v>5807.64</v>
          </cell>
          <cell r="Q1257" t="str">
            <v>Tallied</v>
          </cell>
        </row>
        <row r="1258">
          <cell r="B1258">
            <v>46172</v>
          </cell>
          <cell r="K1258">
            <v>0</v>
          </cell>
          <cell r="M1258">
            <v>0</v>
          </cell>
          <cell r="P1258">
            <v>555201.56999999995</v>
          </cell>
          <cell r="Q1258" t="str">
            <v>Tallied</v>
          </cell>
        </row>
        <row r="1259">
          <cell r="B1259">
            <v>46172</v>
          </cell>
          <cell r="K1259">
            <v>0</v>
          </cell>
          <cell r="M1259">
            <v>0</v>
          </cell>
          <cell r="P1259">
            <v>1</v>
          </cell>
          <cell r="Q1259" t="str">
            <v>Tallied</v>
          </cell>
        </row>
        <row r="1260">
          <cell r="B1260">
            <v>46172</v>
          </cell>
          <cell r="K1260">
            <v>0</v>
          </cell>
          <cell r="M1260">
            <v>0</v>
          </cell>
          <cell r="P1260">
            <v>2</v>
          </cell>
          <cell r="Q1260" t="str">
            <v>Tallied</v>
          </cell>
        </row>
        <row r="1261">
          <cell r="B1261">
            <v>46172</v>
          </cell>
          <cell r="K1261">
            <v>0</v>
          </cell>
          <cell r="M1261">
            <v>0</v>
          </cell>
          <cell r="P1261">
            <v>1636652.4000000001</v>
          </cell>
          <cell r="Q1261" t="str">
            <v>Tallied</v>
          </cell>
        </row>
        <row r="1262">
          <cell r="B1262">
            <v>46172</v>
          </cell>
          <cell r="K1262">
            <v>0</v>
          </cell>
          <cell r="M1262">
            <v>0</v>
          </cell>
          <cell r="P1262">
            <v>982945.7</v>
          </cell>
          <cell r="Q1262" t="str">
            <v>Tallied</v>
          </cell>
        </row>
        <row r="1263">
          <cell r="B1263">
            <v>46172</v>
          </cell>
          <cell r="K1263">
            <v>0</v>
          </cell>
          <cell r="M1263">
            <v>0</v>
          </cell>
          <cell r="P1263">
            <v>63673.919999999998</v>
          </cell>
          <cell r="Q1263" t="str">
            <v>Tallied</v>
          </cell>
        </row>
        <row r="1264">
          <cell r="B1264">
            <v>46172</v>
          </cell>
          <cell r="K1264">
            <v>0</v>
          </cell>
          <cell r="M1264">
            <v>0</v>
          </cell>
          <cell r="P1264">
            <v>38771.399999999994</v>
          </cell>
          <cell r="Q1264" t="str">
            <v>Tallied</v>
          </cell>
        </row>
        <row r="1265">
          <cell r="B1265">
            <v>46172</v>
          </cell>
          <cell r="K1265">
            <v>0</v>
          </cell>
          <cell r="M1265">
            <v>0</v>
          </cell>
          <cell r="P1265">
            <v>748157.70000000007</v>
          </cell>
          <cell r="Q1265" t="str">
            <v>Tallied</v>
          </cell>
        </row>
        <row r="1266">
          <cell r="B1266">
            <v>46172</v>
          </cell>
          <cell r="K1266">
            <v>0</v>
          </cell>
          <cell r="M1266">
            <v>0</v>
          </cell>
          <cell r="P1266">
            <v>62857.88</v>
          </cell>
          <cell r="Q1266" t="str">
            <v>Tallied</v>
          </cell>
        </row>
        <row r="1267">
          <cell r="B1267">
            <v>46172</v>
          </cell>
          <cell r="K1267">
            <v>0</v>
          </cell>
          <cell r="M1267">
            <v>0</v>
          </cell>
          <cell r="P1267">
            <v>2910320.0999999996</v>
          </cell>
          <cell r="Q1267" t="str">
            <v>Tallied</v>
          </cell>
        </row>
        <row r="1268">
          <cell r="B1268">
            <v>46172</v>
          </cell>
          <cell r="K1268">
            <v>0</v>
          </cell>
          <cell r="M1268">
            <v>0</v>
          </cell>
          <cell r="P1268">
            <v>252964.15000000002</v>
          </cell>
          <cell r="Q1268" t="str">
            <v>Tallied</v>
          </cell>
        </row>
        <row r="1269">
          <cell r="B1269">
            <v>46172</v>
          </cell>
          <cell r="K1269">
            <v>0</v>
          </cell>
          <cell r="M1269">
            <v>0</v>
          </cell>
          <cell r="P1269">
            <v>269079.44</v>
          </cell>
          <cell r="Q1269" t="str">
            <v>Tallied</v>
          </cell>
        </row>
        <row r="1270">
          <cell r="B1270">
            <v>46172</v>
          </cell>
          <cell r="K1270">
            <v>0</v>
          </cell>
          <cell r="M1270">
            <v>0</v>
          </cell>
          <cell r="P1270">
            <v>26096.94</v>
          </cell>
          <cell r="Q1270" t="str">
            <v>Tallied</v>
          </cell>
        </row>
        <row r="1271">
          <cell r="B1271">
            <v>46172</v>
          </cell>
          <cell r="K1271">
            <v>0</v>
          </cell>
          <cell r="M1271">
            <v>0</v>
          </cell>
          <cell r="P1271">
            <v>286186.44</v>
          </cell>
          <cell r="Q1271" t="str">
            <v>Tallied</v>
          </cell>
        </row>
        <row r="1272">
          <cell r="B1272">
            <v>46172</v>
          </cell>
          <cell r="K1272">
            <v>0</v>
          </cell>
          <cell r="M1272">
            <v>0</v>
          </cell>
          <cell r="P1272">
            <v>1488.09</v>
          </cell>
          <cell r="Q1272" t="str">
            <v>Tallied</v>
          </cell>
        </row>
        <row r="1273">
          <cell r="K1273">
            <v>0</v>
          </cell>
          <cell r="M1273">
            <v>0</v>
          </cell>
          <cell r="P1273">
            <v>0</v>
          </cell>
          <cell r="Q1273" t="str">
            <v>Tallied</v>
          </cell>
        </row>
        <row r="1274">
          <cell r="K1274">
            <v>0</v>
          </cell>
          <cell r="M1274">
            <v>0</v>
          </cell>
          <cell r="P1274">
            <v>0</v>
          </cell>
          <cell r="Q1274" t="str">
            <v>Tallied</v>
          </cell>
        </row>
        <row r="1275">
          <cell r="K1275">
            <v>0</v>
          </cell>
          <cell r="M1275">
            <v>0</v>
          </cell>
          <cell r="P1275">
            <v>0</v>
          </cell>
          <cell r="Q1275" t="str">
            <v>Tallied</v>
          </cell>
        </row>
        <row r="1276">
          <cell r="K1276">
            <v>0</v>
          </cell>
          <cell r="M1276">
            <v>0</v>
          </cell>
          <cell r="P1276">
            <v>0</v>
          </cell>
          <cell r="Q1276" t="str">
            <v>Tallied</v>
          </cell>
        </row>
        <row r="1277">
          <cell r="K1277">
            <v>0</v>
          </cell>
          <cell r="M1277">
            <v>0</v>
          </cell>
          <cell r="P1277">
            <v>0</v>
          </cell>
          <cell r="Q1277" t="str">
            <v>Tallied</v>
          </cell>
        </row>
        <row r="1278">
          <cell r="K1278">
            <v>0</v>
          </cell>
          <cell r="M1278">
            <v>0</v>
          </cell>
          <cell r="P1278">
            <v>0</v>
          </cell>
          <cell r="Q1278" t="str">
            <v>Tallied</v>
          </cell>
        </row>
        <row r="1279">
          <cell r="K1279">
            <v>0</v>
          </cell>
          <cell r="M1279">
            <v>0</v>
          </cell>
          <cell r="P1279">
            <v>0</v>
          </cell>
          <cell r="Q1279" t="str">
            <v>Tallied</v>
          </cell>
        </row>
        <row r="1280">
          <cell r="K1280">
            <v>0</v>
          </cell>
          <cell r="M1280">
            <v>0</v>
          </cell>
          <cell r="P1280">
            <v>0</v>
          </cell>
          <cell r="Q1280" t="str">
            <v>Tallied</v>
          </cell>
        </row>
        <row r="1281">
          <cell r="K1281">
            <v>0</v>
          </cell>
          <cell r="M1281">
            <v>0</v>
          </cell>
          <cell r="P1281">
            <v>0</v>
          </cell>
          <cell r="Q1281" t="str">
            <v>Tallied</v>
          </cell>
        </row>
        <row r="1282">
          <cell r="K1282">
            <v>0</v>
          </cell>
          <cell r="M1282">
            <v>0</v>
          </cell>
          <cell r="P1282">
            <v>0</v>
          </cell>
          <cell r="Q1282" t="str">
            <v>Tallied</v>
          </cell>
        </row>
        <row r="1283">
          <cell r="K1283">
            <v>0</v>
          </cell>
          <cell r="M1283">
            <v>0</v>
          </cell>
          <cell r="P1283">
            <v>0</v>
          </cell>
          <cell r="Q1283" t="str">
            <v>Tallied</v>
          </cell>
        </row>
        <row r="1284">
          <cell r="K1284">
            <v>0</v>
          </cell>
          <cell r="M1284">
            <v>0</v>
          </cell>
          <cell r="P1284">
            <v>0</v>
          </cell>
          <cell r="Q1284" t="str">
            <v>Tallied</v>
          </cell>
        </row>
        <row r="1285">
          <cell r="K1285">
            <v>0</v>
          </cell>
          <cell r="M1285">
            <v>0</v>
          </cell>
          <cell r="P1285">
            <v>0</v>
          </cell>
          <cell r="Q1285" t="str">
            <v>Tallied</v>
          </cell>
        </row>
        <row r="1286">
          <cell r="K1286">
            <v>0</v>
          </cell>
          <cell r="M1286">
            <v>0</v>
          </cell>
          <cell r="P1286">
            <v>0</v>
          </cell>
          <cell r="Q1286" t="str">
            <v>Tallied</v>
          </cell>
        </row>
        <row r="1287">
          <cell r="K1287">
            <v>0</v>
          </cell>
          <cell r="M1287">
            <v>0</v>
          </cell>
          <cell r="P1287">
            <v>0</v>
          </cell>
          <cell r="Q1287" t="str">
            <v>Tallied</v>
          </cell>
        </row>
        <row r="1288">
          <cell r="K1288">
            <v>0</v>
          </cell>
          <cell r="M1288">
            <v>0</v>
          </cell>
          <cell r="P1288">
            <v>0</v>
          </cell>
          <cell r="Q1288" t="str">
            <v>Tallied</v>
          </cell>
        </row>
        <row r="1289">
          <cell r="K1289">
            <v>0</v>
          </cell>
          <cell r="M1289">
            <v>0</v>
          </cell>
          <cell r="P1289">
            <v>0</v>
          </cell>
          <cell r="Q1289" t="str">
            <v>Tallied</v>
          </cell>
        </row>
        <row r="1290">
          <cell r="K1290">
            <v>0</v>
          </cell>
          <cell r="M1290">
            <v>0</v>
          </cell>
          <cell r="P1290">
            <v>0</v>
          </cell>
          <cell r="Q1290" t="str">
            <v>Tallied</v>
          </cell>
        </row>
        <row r="1291">
          <cell r="K1291">
            <v>0</v>
          </cell>
          <cell r="M1291">
            <v>0</v>
          </cell>
          <cell r="P1291">
            <v>0</v>
          </cell>
          <cell r="Q1291" t="str">
            <v>Tallied</v>
          </cell>
        </row>
        <row r="1292">
          <cell r="K1292">
            <v>0</v>
          </cell>
          <cell r="M1292">
            <v>0</v>
          </cell>
          <cell r="P1292">
            <v>0</v>
          </cell>
          <cell r="Q1292" t="str">
            <v>Tallied</v>
          </cell>
        </row>
        <row r="1293">
          <cell r="K1293">
            <v>0</v>
          </cell>
          <cell r="M1293">
            <v>0</v>
          </cell>
          <cell r="P1293">
            <v>0</v>
          </cell>
          <cell r="Q1293" t="str">
            <v>Tallied</v>
          </cell>
        </row>
        <row r="1294">
          <cell r="K1294">
            <v>0</v>
          </cell>
          <cell r="M1294">
            <v>0</v>
          </cell>
          <cell r="P1294">
            <v>0</v>
          </cell>
          <cell r="Q1294" t="str">
            <v>Tallied</v>
          </cell>
        </row>
        <row r="1295">
          <cell r="K1295">
            <v>0</v>
          </cell>
          <cell r="M1295">
            <v>0</v>
          </cell>
          <cell r="P1295">
            <v>0</v>
          </cell>
          <cell r="Q1295" t="str">
            <v>Tallied</v>
          </cell>
        </row>
        <row r="1296">
          <cell r="K1296">
            <v>0</v>
          </cell>
          <cell r="M1296">
            <v>0</v>
          </cell>
          <cell r="P1296">
            <v>0</v>
          </cell>
          <cell r="Q1296" t="str">
            <v>Tallied</v>
          </cell>
        </row>
        <row r="1297">
          <cell r="K1297">
            <v>0</v>
          </cell>
          <cell r="M1297">
            <v>0</v>
          </cell>
          <cell r="P1297">
            <v>0</v>
          </cell>
          <cell r="Q1297" t="str">
            <v>Tallied</v>
          </cell>
        </row>
        <row r="1298">
          <cell r="K1298">
            <v>0</v>
          </cell>
          <cell r="M1298">
            <v>0</v>
          </cell>
          <cell r="P1298">
            <v>0</v>
          </cell>
          <cell r="Q1298" t="str">
            <v>Tallied</v>
          </cell>
        </row>
        <row r="1299">
          <cell r="K1299">
            <v>0</v>
          </cell>
          <cell r="M1299">
            <v>0</v>
          </cell>
          <cell r="P1299">
            <v>0</v>
          </cell>
          <cell r="Q1299" t="str">
            <v>Tallied</v>
          </cell>
        </row>
        <row r="1300">
          <cell r="K1300">
            <v>0</v>
          </cell>
          <cell r="M1300">
            <v>0</v>
          </cell>
          <cell r="P1300">
            <v>0</v>
          </cell>
          <cell r="Q1300" t="str">
            <v>Tallied</v>
          </cell>
        </row>
        <row r="1301">
          <cell r="K1301">
            <v>0</v>
          </cell>
          <cell r="M1301">
            <v>0</v>
          </cell>
          <cell r="P1301">
            <v>0</v>
          </cell>
          <cell r="Q1301" t="str">
            <v>Tallied</v>
          </cell>
        </row>
        <row r="1302">
          <cell r="K1302">
            <v>0</v>
          </cell>
          <cell r="M1302">
            <v>0</v>
          </cell>
          <cell r="P1302">
            <v>0</v>
          </cell>
          <cell r="Q1302" t="str">
            <v>Tallied</v>
          </cell>
        </row>
        <row r="1303">
          <cell r="K1303">
            <v>0</v>
          </cell>
          <cell r="M1303">
            <v>0</v>
          </cell>
          <cell r="P1303">
            <v>0</v>
          </cell>
          <cell r="Q1303" t="str">
            <v>Tallied</v>
          </cell>
        </row>
        <row r="1304">
          <cell r="K1304">
            <v>0</v>
          </cell>
          <cell r="M1304">
            <v>0</v>
          </cell>
          <cell r="P1304">
            <v>0</v>
          </cell>
          <cell r="Q1304" t="str">
            <v>Tallied</v>
          </cell>
        </row>
        <row r="1305">
          <cell r="K1305">
            <v>0</v>
          </cell>
          <cell r="M1305">
            <v>0</v>
          </cell>
          <cell r="P1305">
            <v>0</v>
          </cell>
          <cell r="Q1305" t="str">
            <v>Tallied</v>
          </cell>
        </row>
        <row r="1306">
          <cell r="K1306">
            <v>0</v>
          </cell>
          <cell r="M1306">
            <v>0</v>
          </cell>
          <cell r="P1306">
            <v>0</v>
          </cell>
          <cell r="Q1306" t="str">
            <v>Tallied</v>
          </cell>
        </row>
        <row r="1307">
          <cell r="K1307">
            <v>0</v>
          </cell>
          <cell r="M1307">
            <v>0</v>
          </cell>
          <cell r="P1307">
            <v>0</v>
          </cell>
          <cell r="Q1307" t="str">
            <v>Tallied</v>
          </cell>
        </row>
        <row r="1308">
          <cell r="K1308">
            <v>0</v>
          </cell>
          <cell r="M1308">
            <v>0</v>
          </cell>
          <cell r="P1308">
            <v>0</v>
          </cell>
          <cell r="Q1308" t="str">
            <v>Tallied</v>
          </cell>
        </row>
        <row r="1309">
          <cell r="K1309">
            <v>0</v>
          </cell>
          <cell r="M1309">
            <v>0</v>
          </cell>
          <cell r="P1309">
            <v>0</v>
          </cell>
          <cell r="Q1309" t="str">
            <v>Tallied</v>
          </cell>
        </row>
        <row r="1310">
          <cell r="K1310">
            <v>0</v>
          </cell>
          <cell r="M1310">
            <v>0</v>
          </cell>
          <cell r="P1310">
            <v>0</v>
          </cell>
          <cell r="Q1310" t="str">
            <v>Tallied</v>
          </cell>
        </row>
        <row r="1311">
          <cell r="K1311">
            <v>0</v>
          </cell>
          <cell r="M1311">
            <v>0</v>
          </cell>
          <cell r="P1311">
            <v>0</v>
          </cell>
          <cell r="Q1311" t="str">
            <v>Tallied</v>
          </cell>
        </row>
        <row r="1312">
          <cell r="K1312">
            <v>0</v>
          </cell>
          <cell r="M1312">
            <v>0</v>
          </cell>
          <cell r="P1312">
            <v>0</v>
          </cell>
          <cell r="Q1312" t="str">
            <v>Tallied</v>
          </cell>
        </row>
        <row r="1313">
          <cell r="K1313">
            <v>0</v>
          </cell>
          <cell r="M1313">
            <v>0</v>
          </cell>
          <cell r="P1313">
            <v>0</v>
          </cell>
          <cell r="Q1313" t="str">
            <v>Tallied</v>
          </cell>
        </row>
        <row r="1314">
          <cell r="K1314">
            <v>0</v>
          </cell>
          <cell r="M1314">
            <v>0</v>
          </cell>
          <cell r="P1314">
            <v>0</v>
          </cell>
          <cell r="Q1314" t="str">
            <v>Tallied</v>
          </cell>
        </row>
        <row r="1315">
          <cell r="K1315">
            <v>0</v>
          </cell>
          <cell r="M1315">
            <v>0</v>
          </cell>
          <cell r="P1315">
            <v>0</v>
          </cell>
          <cell r="Q1315" t="str">
            <v>Tallied</v>
          </cell>
        </row>
        <row r="1316">
          <cell r="K1316">
            <v>0</v>
          </cell>
          <cell r="M1316">
            <v>0</v>
          </cell>
          <cell r="P1316">
            <v>0</v>
          </cell>
          <cell r="Q1316" t="str">
            <v>Tallied</v>
          </cell>
        </row>
        <row r="1317">
          <cell r="K1317">
            <v>0</v>
          </cell>
          <cell r="M1317">
            <v>0</v>
          </cell>
          <cell r="P1317">
            <v>0</v>
          </cell>
          <cell r="Q1317" t="str">
            <v>Tallied</v>
          </cell>
        </row>
        <row r="1318">
          <cell r="K1318">
            <v>0</v>
          </cell>
          <cell r="M1318">
            <v>0</v>
          </cell>
          <cell r="P1318">
            <v>0</v>
          </cell>
          <cell r="Q1318" t="str">
            <v>Tallied</v>
          </cell>
        </row>
        <row r="1319">
          <cell r="K1319">
            <v>0</v>
          </cell>
          <cell r="M1319">
            <v>0</v>
          </cell>
          <cell r="P1319">
            <v>0</v>
          </cell>
          <cell r="Q1319" t="str">
            <v>Tallied</v>
          </cell>
        </row>
        <row r="1320">
          <cell r="K1320">
            <v>0</v>
          </cell>
          <cell r="M1320">
            <v>0</v>
          </cell>
          <cell r="P1320">
            <v>0</v>
          </cell>
          <cell r="Q1320" t="str">
            <v>Tallied</v>
          </cell>
        </row>
        <row r="1321">
          <cell r="K1321">
            <v>0</v>
          </cell>
          <cell r="M1321">
            <v>0</v>
          </cell>
          <cell r="P1321">
            <v>0</v>
          </cell>
          <cell r="Q1321" t="str">
            <v>Tallied</v>
          </cell>
        </row>
        <row r="1322">
          <cell r="K1322">
            <v>0</v>
          </cell>
          <cell r="M1322">
            <v>0</v>
          </cell>
          <cell r="P1322">
            <v>0</v>
          </cell>
          <cell r="Q1322" t="str">
            <v>Tallied</v>
          </cell>
        </row>
        <row r="1323">
          <cell r="K1323">
            <v>0</v>
          </cell>
          <cell r="M1323">
            <v>0</v>
          </cell>
          <cell r="P1323">
            <v>0</v>
          </cell>
          <cell r="Q1323" t="str">
            <v>Tallied</v>
          </cell>
        </row>
        <row r="1324">
          <cell r="K1324">
            <v>0</v>
          </cell>
          <cell r="M1324">
            <v>0</v>
          </cell>
          <cell r="P1324">
            <v>0</v>
          </cell>
          <cell r="Q1324" t="str">
            <v>Tallied</v>
          </cell>
        </row>
        <row r="1325">
          <cell r="K1325">
            <v>0</v>
          </cell>
          <cell r="M1325">
            <v>0</v>
          </cell>
          <cell r="P1325">
            <v>0</v>
          </cell>
          <cell r="Q1325" t="str">
            <v>Tallied</v>
          </cell>
        </row>
        <row r="1326">
          <cell r="K1326">
            <v>0</v>
          </cell>
          <cell r="M1326">
            <v>0</v>
          </cell>
          <cell r="P1326">
            <v>0</v>
          </cell>
          <cell r="Q1326" t="str">
            <v>Tallied</v>
          </cell>
        </row>
        <row r="1327">
          <cell r="K1327">
            <v>0</v>
          </cell>
          <cell r="M1327">
            <v>0</v>
          </cell>
          <cell r="P1327">
            <v>0</v>
          </cell>
          <cell r="Q1327" t="str">
            <v>Tallied</v>
          </cell>
        </row>
        <row r="1328">
          <cell r="K1328">
            <v>0</v>
          </cell>
          <cell r="M1328">
            <v>0</v>
          </cell>
          <cell r="P1328">
            <v>0</v>
          </cell>
          <cell r="Q1328" t="str">
            <v>Tallied</v>
          </cell>
        </row>
        <row r="1329">
          <cell r="K1329">
            <v>0</v>
          </cell>
          <cell r="M1329">
            <v>0</v>
          </cell>
          <cell r="P1329">
            <v>0</v>
          </cell>
          <cell r="Q1329" t="str">
            <v>Tallied</v>
          </cell>
        </row>
        <row r="1330">
          <cell r="K1330">
            <v>0</v>
          </cell>
          <cell r="M1330">
            <v>0</v>
          </cell>
          <cell r="P1330">
            <v>0</v>
          </cell>
          <cell r="Q1330" t="str">
            <v>Tallied</v>
          </cell>
        </row>
        <row r="1331">
          <cell r="K1331">
            <v>0</v>
          </cell>
          <cell r="M1331">
            <v>0</v>
          </cell>
          <cell r="P1331">
            <v>0</v>
          </cell>
          <cell r="Q1331" t="str">
            <v>Tallied</v>
          </cell>
        </row>
        <row r="1332">
          <cell r="K1332">
            <v>0</v>
          </cell>
          <cell r="M1332">
            <v>0</v>
          </cell>
          <cell r="P1332">
            <v>0</v>
          </cell>
          <cell r="Q1332" t="str">
            <v>Tallied</v>
          </cell>
        </row>
        <row r="1333">
          <cell r="K1333">
            <v>0</v>
          </cell>
          <cell r="M1333">
            <v>0</v>
          </cell>
          <cell r="P1333">
            <v>0</v>
          </cell>
          <cell r="Q1333" t="str">
            <v>Tallied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G12" sqref="G12"/>
    </sheetView>
  </sheetViews>
  <sheetFormatPr defaultRowHeight="15" x14ac:dyDescent="0.25"/>
  <cols>
    <col min="2" max="2" width="9.5703125" bestFit="1" customWidth="1"/>
    <col min="7" max="7" width="16" bestFit="1" customWidth="1"/>
    <col min="14" max="14" width="16" bestFit="1" customWidth="1"/>
    <col min="17" max="17" width="35.28515625" bestFit="1" customWidth="1"/>
  </cols>
  <sheetData>
    <row r="1" spans="1:17" s="3" customFormat="1" ht="4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>
        <v>1</v>
      </c>
      <c r="B2" s="5">
        <v>46113</v>
      </c>
      <c r="C2" s="6">
        <f>SUM(D2:F2)</f>
        <v>0</v>
      </c>
      <c r="D2" s="6">
        <f>COUNTIFS('[1]Cycle counting report'!B:B,'[1]Daily IRA IVA Score card'!B:B,'[1]Cycle counting report'!Q:Q,"Excess")</f>
        <v>0</v>
      </c>
      <c r="E2" s="6">
        <f>COUNTIFS('[1]Cycle counting report'!B:B,'[1]Daily IRA IVA Score card'!B:B,'[1]Cycle counting report'!Q:Q,{"short"})</f>
        <v>0</v>
      </c>
      <c r="F2" s="6">
        <f>COUNTIFS('[1]Cycle counting report'!B:B,'[1]Daily IRA IVA Score card'!B:B,'[1]Cycle counting report'!Q:Q,"Tallied")</f>
        <v>0</v>
      </c>
      <c r="G2" s="7">
        <f>SUMIF('[1]Cycle counting report'!B:B,'[1]Daily IRA IVA Score card'!B:B,'[1]Cycle counting report'!P:P)</f>
        <v>0</v>
      </c>
      <c r="H2" s="8">
        <f>SUMIF('[1]Cycle counting report'!B:B,'[1]Daily IRA IVA Score card'!B:B,'[1]Cycle counting report'!K:K)</f>
        <v>0</v>
      </c>
      <c r="I2" s="8">
        <f>SUMIF('[1]Cycle counting report'!B:B,'[1]Daily IRA IVA Score card'!B:B,'[1]Cycle counting report'!M:M)</f>
        <v>0</v>
      </c>
      <c r="J2" s="8">
        <f>I2+H2</f>
        <v>0</v>
      </c>
      <c r="K2" s="8">
        <f>H2-I2</f>
        <v>0</v>
      </c>
      <c r="L2" s="9" t="str">
        <f>IFERROR(F2/C2,"")</f>
        <v/>
      </c>
      <c r="M2" s="9" t="str">
        <f>IFERROR(1-(J2/G2),"")</f>
        <v/>
      </c>
      <c r="N2" s="10">
        <f>G2-I2</f>
        <v>0</v>
      </c>
      <c r="O2" s="11" t="str">
        <f>IFERROR(I2/G2,"")</f>
        <v/>
      </c>
      <c r="P2" s="11" t="str">
        <f>IFERROR(H2/G2,"")</f>
        <v/>
      </c>
      <c r="Q2" s="12" t="s">
        <v>17</v>
      </c>
    </row>
    <row r="3" spans="1:17" x14ac:dyDescent="0.25">
      <c r="A3" s="4">
        <f>+A2+1</f>
        <v>2</v>
      </c>
      <c r="B3" s="5">
        <v>46114</v>
      </c>
      <c r="C3" s="6">
        <f t="shared" ref="C3:C32" si="0">SUM(D3:F3)</f>
        <v>0</v>
      </c>
      <c r="D3" s="6">
        <f>COUNTIFS('[1]Cycle counting report'!B:B,'[1]Daily IRA IVA Score card'!B:B,'[1]Cycle counting report'!Q:Q,"Excess")</f>
        <v>0</v>
      </c>
      <c r="E3" s="6">
        <f>COUNTIFS('[1]Cycle counting report'!B:B,'[1]Daily IRA IVA Score card'!B:B,'[1]Cycle counting report'!Q:Q,{"short"})</f>
        <v>0</v>
      </c>
      <c r="F3" s="6">
        <f>COUNTIFS('[1]Cycle counting report'!B:B,'[1]Daily IRA IVA Score card'!B:B,'[1]Cycle counting report'!Q:Q,"Tallied")</f>
        <v>0</v>
      </c>
      <c r="G3" s="7">
        <f>SUMIF('[1]Cycle counting report'!B:B,'[1]Daily IRA IVA Score card'!B:B,'[1]Cycle counting report'!P:P)</f>
        <v>0</v>
      </c>
      <c r="H3" s="8">
        <f>SUMIF('[1]Cycle counting report'!B:B,'[1]Daily IRA IVA Score card'!B:B,'[1]Cycle counting report'!K:K)</f>
        <v>0</v>
      </c>
      <c r="I3" s="8">
        <f>SUMIF('[1]Cycle counting report'!B:B,'[1]Daily IRA IVA Score card'!B:B,'[1]Cycle counting report'!M:M)</f>
        <v>0</v>
      </c>
      <c r="J3" s="8">
        <f t="shared" ref="J3:J32" si="1">I3+H3</f>
        <v>0</v>
      </c>
      <c r="K3" s="8">
        <f t="shared" ref="K3:K32" si="2">H3-I3</f>
        <v>0</v>
      </c>
      <c r="L3" s="9" t="str">
        <f>IFERROR(F3/C3,"")</f>
        <v/>
      </c>
      <c r="M3" s="9" t="str">
        <f t="shared" ref="M3:M32" si="3">IFERROR(1-(J3/G3),"")</f>
        <v/>
      </c>
      <c r="N3" s="10">
        <f t="shared" ref="N3:N32" si="4">G3-I3</f>
        <v>0</v>
      </c>
      <c r="O3" s="11" t="str">
        <f t="shared" ref="O3:O32" si="5">IFERROR(I3/G3,"")</f>
        <v/>
      </c>
      <c r="P3" s="11" t="str">
        <f t="shared" ref="P3:P32" si="6">IFERROR(H3/G3,"")</f>
        <v/>
      </c>
      <c r="Q3" s="12" t="s">
        <v>17</v>
      </c>
    </row>
    <row r="4" spans="1:17" x14ac:dyDescent="0.25">
      <c r="A4" s="4">
        <f t="shared" ref="A4:A31" si="7">+A3+1</f>
        <v>3</v>
      </c>
      <c r="B4" s="5">
        <v>46115</v>
      </c>
      <c r="C4" s="6">
        <f t="shared" si="0"/>
        <v>0</v>
      </c>
      <c r="D4" s="6">
        <f>COUNTIFS('[1]Cycle counting report'!B:B,'[1]Daily IRA IVA Score card'!B:B,'[1]Cycle counting report'!Q:Q,"Excess")</f>
        <v>0</v>
      </c>
      <c r="E4" s="6">
        <f>COUNTIFS('[1]Cycle counting report'!B:B,'[1]Daily IRA IVA Score card'!B:B,'[1]Cycle counting report'!Q:Q,{"short"})</f>
        <v>0</v>
      </c>
      <c r="F4" s="6">
        <f>COUNTIFS('[1]Cycle counting report'!B:B,'[1]Daily IRA IVA Score card'!B:B,'[1]Cycle counting report'!Q:Q,"Tallied")</f>
        <v>0</v>
      </c>
      <c r="G4" s="7">
        <f>SUMIF('[1]Cycle counting report'!B:B,'[1]Daily IRA IVA Score card'!B:B,'[1]Cycle counting report'!P:P)</f>
        <v>0</v>
      </c>
      <c r="H4" s="8">
        <f>SUMIF('[1]Cycle counting report'!B:B,'[1]Daily IRA IVA Score card'!B:B,'[1]Cycle counting report'!K:K)</f>
        <v>0</v>
      </c>
      <c r="I4" s="8">
        <f>SUMIF('[1]Cycle counting report'!B:B,'[1]Daily IRA IVA Score card'!B:B,'[1]Cycle counting report'!M:M)</f>
        <v>0</v>
      </c>
      <c r="J4" s="8">
        <f t="shared" si="1"/>
        <v>0</v>
      </c>
      <c r="K4" s="8">
        <f t="shared" si="2"/>
        <v>0</v>
      </c>
      <c r="L4" s="9" t="str">
        <f t="shared" ref="L4:L32" si="8">IFERROR(F4/C4,"")</f>
        <v/>
      </c>
      <c r="M4" s="9" t="str">
        <f t="shared" si="3"/>
        <v/>
      </c>
      <c r="N4" s="10">
        <f t="shared" si="4"/>
        <v>0</v>
      </c>
      <c r="O4" s="11" t="str">
        <f t="shared" si="5"/>
        <v/>
      </c>
      <c r="P4" s="11" t="str">
        <f t="shared" si="6"/>
        <v/>
      </c>
      <c r="Q4" s="12" t="s">
        <v>17</v>
      </c>
    </row>
    <row r="5" spans="1:17" x14ac:dyDescent="0.25">
      <c r="A5" s="4">
        <f t="shared" si="7"/>
        <v>4</v>
      </c>
      <c r="B5" s="5">
        <v>46116</v>
      </c>
      <c r="C5" s="6">
        <f t="shared" si="0"/>
        <v>0</v>
      </c>
      <c r="D5" s="6">
        <f>COUNTIFS('[1]Cycle counting report'!B:B,'[1]Daily IRA IVA Score card'!B:B,'[1]Cycle counting report'!Q:Q,"Excess")</f>
        <v>0</v>
      </c>
      <c r="E5" s="6">
        <f>COUNTIFS('[1]Cycle counting report'!B:B,'[1]Daily IRA IVA Score card'!B:B,'[1]Cycle counting report'!Q:Q,{"short"})</f>
        <v>0</v>
      </c>
      <c r="F5" s="6">
        <f>COUNTIFS('[1]Cycle counting report'!B:B,'[1]Daily IRA IVA Score card'!B:B,'[1]Cycle counting report'!Q:Q,"Tallied")</f>
        <v>0</v>
      </c>
      <c r="G5" s="7">
        <f>SUMIF('[1]Cycle counting report'!B:B,'[1]Daily IRA IVA Score card'!B:B,'[1]Cycle counting report'!P:P)</f>
        <v>0</v>
      </c>
      <c r="H5" s="8">
        <f>SUMIF('[1]Cycle counting report'!B:B,'[1]Daily IRA IVA Score card'!B:B,'[1]Cycle counting report'!K:K)</f>
        <v>0</v>
      </c>
      <c r="I5" s="8">
        <f>SUMIF('[1]Cycle counting report'!B:B,'[1]Daily IRA IVA Score card'!B:B,'[1]Cycle counting report'!M:M)</f>
        <v>0</v>
      </c>
      <c r="J5" s="8">
        <f t="shared" si="1"/>
        <v>0</v>
      </c>
      <c r="K5" s="8">
        <f t="shared" si="2"/>
        <v>0</v>
      </c>
      <c r="L5" s="9" t="str">
        <f t="shared" si="8"/>
        <v/>
      </c>
      <c r="M5" s="9" t="str">
        <f t="shared" si="3"/>
        <v/>
      </c>
      <c r="N5" s="10">
        <f t="shared" si="4"/>
        <v>0</v>
      </c>
      <c r="O5" s="11" t="str">
        <f t="shared" si="5"/>
        <v/>
      </c>
      <c r="P5" s="11" t="str">
        <f t="shared" si="6"/>
        <v/>
      </c>
      <c r="Q5" s="12" t="s">
        <v>17</v>
      </c>
    </row>
    <row r="6" spans="1:17" x14ac:dyDescent="0.25">
      <c r="A6" s="4">
        <f t="shared" si="7"/>
        <v>5</v>
      </c>
      <c r="B6" s="5">
        <v>46117</v>
      </c>
      <c r="C6" s="6">
        <f t="shared" si="0"/>
        <v>0</v>
      </c>
      <c r="D6" s="6">
        <f>COUNTIFS('[1]Cycle counting report'!B:B,'[1]Daily IRA IVA Score card'!B:B,'[1]Cycle counting report'!Q:Q,"Excess")</f>
        <v>0</v>
      </c>
      <c r="E6" s="6">
        <f>COUNTIFS('[1]Cycle counting report'!B:B,'[1]Daily IRA IVA Score card'!B:B,'[1]Cycle counting report'!Q:Q,{"short"})</f>
        <v>0</v>
      </c>
      <c r="F6" s="6">
        <f>COUNTIFS('[1]Cycle counting report'!B:B,'[1]Daily IRA IVA Score card'!B:B,'[1]Cycle counting report'!Q:Q,"Tallied")</f>
        <v>0</v>
      </c>
      <c r="G6" s="7">
        <f>SUMIF('[1]Cycle counting report'!B:B,'[1]Daily IRA IVA Score card'!B:B,'[1]Cycle counting report'!P:P)</f>
        <v>0</v>
      </c>
      <c r="H6" s="8">
        <f>SUMIF('[1]Cycle counting report'!B:B,'[1]Daily IRA IVA Score card'!B:B,'[1]Cycle counting report'!K:K)</f>
        <v>0</v>
      </c>
      <c r="I6" s="8">
        <f>SUMIF('[1]Cycle counting report'!B:B,'[1]Daily IRA IVA Score card'!B:B,'[1]Cycle counting report'!M:M)</f>
        <v>0</v>
      </c>
      <c r="J6" s="8">
        <f t="shared" si="1"/>
        <v>0</v>
      </c>
      <c r="K6" s="8">
        <f t="shared" si="2"/>
        <v>0</v>
      </c>
      <c r="L6" s="9" t="str">
        <f t="shared" si="8"/>
        <v/>
      </c>
      <c r="M6" s="9" t="str">
        <f t="shared" si="3"/>
        <v/>
      </c>
      <c r="N6" s="10">
        <f t="shared" si="4"/>
        <v>0</v>
      </c>
      <c r="O6" s="11" t="str">
        <f t="shared" si="5"/>
        <v/>
      </c>
      <c r="P6" s="11" t="str">
        <f t="shared" si="6"/>
        <v/>
      </c>
      <c r="Q6" s="12" t="s">
        <v>17</v>
      </c>
    </row>
    <row r="7" spans="1:17" x14ac:dyDescent="0.25">
      <c r="A7" s="4">
        <f t="shared" si="7"/>
        <v>6</v>
      </c>
      <c r="B7" s="5">
        <v>46118</v>
      </c>
      <c r="C7" s="6">
        <f t="shared" si="0"/>
        <v>0</v>
      </c>
      <c r="D7" s="6">
        <f>COUNTIFS('[1]Cycle counting report'!B:B,'[1]Daily IRA IVA Score card'!B:B,'[1]Cycle counting report'!Q:Q,"Excess")</f>
        <v>0</v>
      </c>
      <c r="E7" s="6">
        <f>COUNTIFS('[1]Cycle counting report'!B:B,'[1]Daily IRA IVA Score card'!B:B,'[1]Cycle counting report'!Q:Q,{"short"})</f>
        <v>0</v>
      </c>
      <c r="F7" s="6">
        <f>COUNTIFS('[1]Cycle counting report'!B:B,'[1]Daily IRA IVA Score card'!B:B,'[1]Cycle counting report'!Q:Q,"Tallied")</f>
        <v>0</v>
      </c>
      <c r="G7" s="7">
        <f>SUMIF('[1]Cycle counting report'!B:B,'[1]Daily IRA IVA Score card'!B:B,'[1]Cycle counting report'!P:P)</f>
        <v>0</v>
      </c>
      <c r="H7" s="8">
        <f>SUMIF('[1]Cycle counting report'!B:B,'[1]Daily IRA IVA Score card'!B:B,'[1]Cycle counting report'!K:K)</f>
        <v>0</v>
      </c>
      <c r="I7" s="8">
        <f>SUMIF('[1]Cycle counting report'!B:B,'[1]Daily IRA IVA Score card'!B:B,'[1]Cycle counting report'!M:M)</f>
        <v>0</v>
      </c>
      <c r="J7" s="8">
        <f t="shared" si="1"/>
        <v>0</v>
      </c>
      <c r="K7" s="8">
        <f t="shared" si="2"/>
        <v>0</v>
      </c>
      <c r="L7" s="9" t="str">
        <f t="shared" si="8"/>
        <v/>
      </c>
      <c r="M7" s="9" t="str">
        <f t="shared" si="3"/>
        <v/>
      </c>
      <c r="N7" s="10">
        <f t="shared" si="4"/>
        <v>0</v>
      </c>
      <c r="O7" s="11" t="str">
        <f t="shared" si="5"/>
        <v/>
      </c>
      <c r="P7" s="11" t="str">
        <f t="shared" si="6"/>
        <v/>
      </c>
      <c r="Q7" s="12" t="s">
        <v>17</v>
      </c>
    </row>
    <row r="8" spans="1:17" x14ac:dyDescent="0.25">
      <c r="A8" s="4">
        <f t="shared" si="7"/>
        <v>7</v>
      </c>
      <c r="B8" s="5">
        <v>46119</v>
      </c>
      <c r="C8" s="6">
        <f>SUM(D8:F8)</f>
        <v>0</v>
      </c>
      <c r="D8" s="6">
        <f>COUNTIFS('[1]Cycle counting report'!B:B,'[1]Daily IRA IVA Score card'!B:B,'[1]Cycle counting report'!Q:Q,"Excess")</f>
        <v>0</v>
      </c>
      <c r="E8" s="6">
        <f>COUNTIFS('[1]Cycle counting report'!B:B,'[1]Daily IRA IVA Score card'!B:B,'[1]Cycle counting report'!Q:Q,{"short"})</f>
        <v>0</v>
      </c>
      <c r="F8" s="6">
        <f>COUNTIFS('[1]Cycle counting report'!B:B,'[1]Daily IRA IVA Score card'!B:B,'[1]Cycle counting report'!Q:Q,"Tallied")</f>
        <v>0</v>
      </c>
      <c r="G8" s="7">
        <f>SUMIF('[1]Cycle counting report'!B:B,'[1]Daily IRA IVA Score card'!B:B,'[1]Cycle counting report'!P:P)</f>
        <v>0</v>
      </c>
      <c r="H8" s="8">
        <f>SUMIF('[1]Cycle counting report'!B:B,'[1]Daily IRA IVA Score card'!B:B,'[1]Cycle counting report'!K:K)</f>
        <v>0</v>
      </c>
      <c r="I8" s="8">
        <f>SUMIF('[1]Cycle counting report'!B:B,'[1]Daily IRA IVA Score card'!B:B,'[1]Cycle counting report'!M:M)</f>
        <v>0</v>
      </c>
      <c r="J8" s="8">
        <f t="shared" si="1"/>
        <v>0</v>
      </c>
      <c r="K8" s="8">
        <f t="shared" si="2"/>
        <v>0</v>
      </c>
      <c r="L8" s="9" t="str">
        <f t="shared" si="8"/>
        <v/>
      </c>
      <c r="M8" s="9" t="str">
        <f t="shared" si="3"/>
        <v/>
      </c>
      <c r="N8" s="10">
        <f t="shared" si="4"/>
        <v>0</v>
      </c>
      <c r="O8" s="11" t="str">
        <f t="shared" si="5"/>
        <v/>
      </c>
      <c r="P8" s="11" t="str">
        <f t="shared" si="6"/>
        <v/>
      </c>
      <c r="Q8" s="12" t="s">
        <v>17</v>
      </c>
    </row>
    <row r="9" spans="1:17" x14ac:dyDescent="0.25">
      <c r="A9" s="4">
        <f t="shared" si="7"/>
        <v>8</v>
      </c>
      <c r="B9" s="5">
        <v>46120</v>
      </c>
      <c r="C9" s="6">
        <f t="shared" si="0"/>
        <v>0</v>
      </c>
      <c r="D9" s="6">
        <f>COUNTIFS('[1]Cycle counting report'!B:B,'[1]Daily IRA IVA Score card'!B:B,'[1]Cycle counting report'!Q:Q,"Excess")</f>
        <v>0</v>
      </c>
      <c r="E9" s="6">
        <f>COUNTIFS('[1]Cycle counting report'!B:B,'[1]Daily IRA IVA Score card'!B:B,'[1]Cycle counting report'!Q:Q,{"short"})</f>
        <v>0</v>
      </c>
      <c r="F9" s="6">
        <f>COUNTIFS('[1]Cycle counting report'!B:B,'[1]Daily IRA IVA Score card'!B:B,'[1]Cycle counting report'!Q:Q,"Tallied")</f>
        <v>0</v>
      </c>
      <c r="G9" s="7">
        <f>SUMIF('[1]Cycle counting report'!B:B,'[1]Daily IRA IVA Score card'!B:B,'[1]Cycle counting report'!P:P)</f>
        <v>0</v>
      </c>
      <c r="H9" s="8">
        <f>SUMIF('[1]Cycle counting report'!B:B,'[1]Daily IRA IVA Score card'!B:B,'[1]Cycle counting report'!K:K)</f>
        <v>0</v>
      </c>
      <c r="I9" s="8">
        <f>SUMIF('[1]Cycle counting report'!B:B,'[1]Daily IRA IVA Score card'!B:B,'[1]Cycle counting report'!M:M)</f>
        <v>0</v>
      </c>
      <c r="J9" s="8">
        <f t="shared" si="1"/>
        <v>0</v>
      </c>
      <c r="K9" s="8">
        <f t="shared" si="2"/>
        <v>0</v>
      </c>
      <c r="L9" s="9" t="str">
        <f t="shared" si="8"/>
        <v/>
      </c>
      <c r="M9" s="9" t="str">
        <f t="shared" si="3"/>
        <v/>
      </c>
      <c r="N9" s="10">
        <f t="shared" si="4"/>
        <v>0</v>
      </c>
      <c r="O9" s="11" t="str">
        <f t="shared" si="5"/>
        <v/>
      </c>
      <c r="P9" s="11" t="str">
        <f t="shared" si="6"/>
        <v/>
      </c>
      <c r="Q9" s="12" t="s">
        <v>17</v>
      </c>
    </row>
    <row r="10" spans="1:17" x14ac:dyDescent="0.25">
      <c r="A10" s="4">
        <f t="shared" si="7"/>
        <v>9</v>
      </c>
      <c r="B10" s="5">
        <v>46121</v>
      </c>
      <c r="C10" s="6">
        <f t="shared" si="0"/>
        <v>52</v>
      </c>
      <c r="D10" s="6">
        <f>COUNTIFS('[1]Cycle counting report'!B:B,'[1]Daily IRA IVA Score card'!B:B,'[1]Cycle counting report'!Q:Q,"Excess")</f>
        <v>0</v>
      </c>
      <c r="E10" s="6">
        <f>COUNTIFS('[1]Cycle counting report'!B:B,'[1]Daily IRA IVA Score card'!B:B,'[1]Cycle counting report'!Q:Q,{"short"})</f>
        <v>0</v>
      </c>
      <c r="F10" s="6">
        <f>COUNTIFS('[1]Cycle counting report'!B:B,'[1]Daily IRA IVA Score card'!B:B,'[1]Cycle counting report'!Q:Q,"Tallied")</f>
        <v>52</v>
      </c>
      <c r="G10" s="7">
        <f>SUMIF('[1]Cycle counting report'!B:B,'[1]Daily IRA IVA Score card'!B:B,'[1]Cycle counting report'!P:P)</f>
        <v>23178536.509999994</v>
      </c>
      <c r="H10" s="8">
        <f>SUMIF('[1]Cycle counting report'!B:B,'[1]Daily IRA IVA Score card'!B:B,'[1]Cycle counting report'!K:K)</f>
        <v>0</v>
      </c>
      <c r="I10" s="8">
        <f>SUMIF('[1]Cycle counting report'!B:B,'[1]Daily IRA IVA Score card'!B:B,'[1]Cycle counting report'!M:M)</f>
        <v>0</v>
      </c>
      <c r="J10" s="8">
        <f t="shared" si="1"/>
        <v>0</v>
      </c>
      <c r="K10" s="8">
        <f t="shared" si="2"/>
        <v>0</v>
      </c>
      <c r="L10" s="9">
        <f t="shared" si="8"/>
        <v>1</v>
      </c>
      <c r="M10" s="9">
        <f t="shared" si="3"/>
        <v>1</v>
      </c>
      <c r="N10" s="10">
        <f t="shared" si="4"/>
        <v>23178536.509999994</v>
      </c>
      <c r="O10" s="11">
        <f t="shared" si="5"/>
        <v>0</v>
      </c>
      <c r="P10" s="11">
        <f t="shared" si="6"/>
        <v>0</v>
      </c>
      <c r="Q10" s="12"/>
    </row>
    <row r="11" spans="1:17" x14ac:dyDescent="0.25">
      <c r="A11" s="4">
        <f t="shared" si="7"/>
        <v>10</v>
      </c>
      <c r="B11" s="5">
        <v>46122</v>
      </c>
      <c r="C11" s="6">
        <f t="shared" si="0"/>
        <v>51</v>
      </c>
      <c r="D11" s="6">
        <f>COUNTIFS('[1]Cycle counting report'!B:B,'[1]Daily IRA IVA Score card'!B:B,'[1]Cycle counting report'!Q:Q,"Excess")</f>
        <v>0</v>
      </c>
      <c r="E11" s="6">
        <f>COUNTIFS('[1]Cycle counting report'!B:B,'[1]Daily IRA IVA Score card'!B:B,'[1]Cycle counting report'!Q:Q,{"short"})</f>
        <v>0</v>
      </c>
      <c r="F11" s="6">
        <f>COUNTIFS('[1]Cycle counting report'!B:B,'[1]Daily IRA IVA Score card'!B:B,'[1]Cycle counting report'!Q:Q,"Tallied")</f>
        <v>51</v>
      </c>
      <c r="G11" s="7">
        <f>SUMIF('[1]Cycle counting report'!B:B,'[1]Daily IRA IVA Score card'!B:B,'[1]Cycle counting report'!P:P)</f>
        <v>42044251.429999992</v>
      </c>
      <c r="H11" s="8">
        <f>SUMIF('[1]Cycle counting report'!B:B,'[1]Daily IRA IVA Score card'!B:B,'[1]Cycle counting report'!K:K)</f>
        <v>0</v>
      </c>
      <c r="I11" s="8">
        <f>SUMIF('[1]Cycle counting report'!B:B,'[1]Daily IRA IVA Score card'!B:B,'[1]Cycle counting report'!M:M)</f>
        <v>0</v>
      </c>
      <c r="J11" s="8">
        <f t="shared" si="1"/>
        <v>0</v>
      </c>
      <c r="K11" s="8">
        <f t="shared" si="2"/>
        <v>0</v>
      </c>
      <c r="L11" s="9">
        <f t="shared" si="8"/>
        <v>1</v>
      </c>
      <c r="M11" s="9">
        <f t="shared" si="3"/>
        <v>1</v>
      </c>
      <c r="N11" s="10">
        <f t="shared" si="4"/>
        <v>42044251.429999992</v>
      </c>
      <c r="O11" s="11">
        <f t="shared" si="5"/>
        <v>0</v>
      </c>
      <c r="P11" s="11">
        <f t="shared" si="6"/>
        <v>0</v>
      </c>
      <c r="Q11" s="12"/>
    </row>
    <row r="12" spans="1:17" x14ac:dyDescent="0.25">
      <c r="A12" s="4">
        <f t="shared" si="7"/>
        <v>11</v>
      </c>
      <c r="B12" s="5">
        <v>46123</v>
      </c>
      <c r="C12" s="6">
        <f t="shared" si="0"/>
        <v>50</v>
      </c>
      <c r="D12" s="6">
        <f>COUNTIFS('[1]Cycle counting report'!B:B,'[1]Daily IRA IVA Score card'!B:B,'[1]Cycle counting report'!Q:Q,"Excess")</f>
        <v>0</v>
      </c>
      <c r="E12" s="6">
        <f>COUNTIFS('[1]Cycle counting report'!B:B,'[1]Daily IRA IVA Score card'!B:B,'[1]Cycle counting report'!Q:Q,{"short"})</f>
        <v>0</v>
      </c>
      <c r="F12" s="6">
        <f>COUNTIFS('[1]Cycle counting report'!B:B,'[1]Daily IRA IVA Score card'!B:B,'[1]Cycle counting report'!Q:Q,"Tallied")</f>
        <v>50</v>
      </c>
      <c r="G12" s="7">
        <f>SUMIF('[1]Cycle counting report'!B:B,'[1]Daily IRA IVA Score card'!B:B,'[1]Cycle counting report'!P:P)</f>
        <v>13243553.210000001</v>
      </c>
      <c r="H12" s="8">
        <f>SUMIF('[1]Cycle counting report'!B:B,'[1]Daily IRA IVA Score card'!B:B,'[1]Cycle counting report'!K:K)</f>
        <v>0</v>
      </c>
      <c r="I12" s="8">
        <f>SUMIF('[1]Cycle counting report'!B:B,'[1]Daily IRA IVA Score card'!B:B,'[1]Cycle counting report'!M:M)</f>
        <v>0</v>
      </c>
      <c r="J12" s="8">
        <f t="shared" si="1"/>
        <v>0</v>
      </c>
      <c r="K12" s="8">
        <f t="shared" si="2"/>
        <v>0</v>
      </c>
      <c r="L12" s="9">
        <f t="shared" si="8"/>
        <v>1</v>
      </c>
      <c r="M12" s="9">
        <f t="shared" si="3"/>
        <v>1</v>
      </c>
      <c r="N12" s="10">
        <f t="shared" si="4"/>
        <v>13243553.210000001</v>
      </c>
      <c r="O12" s="11">
        <f t="shared" si="5"/>
        <v>0</v>
      </c>
      <c r="P12" s="11">
        <f t="shared" si="6"/>
        <v>0</v>
      </c>
      <c r="Q12" s="12"/>
    </row>
    <row r="13" spans="1:17" x14ac:dyDescent="0.25">
      <c r="A13" s="4">
        <f t="shared" si="7"/>
        <v>12</v>
      </c>
      <c r="B13" s="5">
        <v>46124</v>
      </c>
      <c r="C13" s="6">
        <f t="shared" si="0"/>
        <v>0</v>
      </c>
      <c r="D13" s="6">
        <f>COUNTIFS('[1]Cycle counting report'!B:B,'[1]Daily IRA IVA Score card'!B:B,'[1]Cycle counting report'!Q:Q,"Excess")</f>
        <v>0</v>
      </c>
      <c r="E13" s="6">
        <f>COUNTIFS('[1]Cycle counting report'!B:B,'[1]Daily IRA IVA Score card'!B:B,'[1]Cycle counting report'!Q:Q,{"short"})</f>
        <v>0</v>
      </c>
      <c r="F13" s="6">
        <f>COUNTIFS('[1]Cycle counting report'!B:B,'[1]Daily IRA IVA Score card'!B:B,'[1]Cycle counting report'!Q:Q,"Tallied")</f>
        <v>0</v>
      </c>
      <c r="G13" s="7">
        <f>SUMIF('[1]Cycle counting report'!B:B,'[1]Daily IRA IVA Score card'!B:B,'[1]Cycle counting report'!P:P)</f>
        <v>0</v>
      </c>
      <c r="H13" s="8">
        <f>SUMIF('[1]Cycle counting report'!B:B,'[1]Daily IRA IVA Score card'!B:B,'[1]Cycle counting report'!K:K)</f>
        <v>0</v>
      </c>
      <c r="I13" s="8">
        <f>SUMIF('[1]Cycle counting report'!B:B,'[1]Daily IRA IVA Score card'!B:B,'[1]Cycle counting report'!M:M)</f>
        <v>0</v>
      </c>
      <c r="J13" s="8">
        <f t="shared" si="1"/>
        <v>0</v>
      </c>
      <c r="K13" s="8">
        <f t="shared" si="2"/>
        <v>0</v>
      </c>
      <c r="L13" s="9" t="str">
        <f t="shared" si="8"/>
        <v/>
      </c>
      <c r="M13" s="9" t="str">
        <f t="shared" si="3"/>
        <v/>
      </c>
      <c r="N13" s="10">
        <f t="shared" si="4"/>
        <v>0</v>
      </c>
      <c r="O13" s="11" t="str">
        <f t="shared" si="5"/>
        <v/>
      </c>
      <c r="P13" s="11" t="str">
        <f t="shared" si="6"/>
        <v/>
      </c>
      <c r="Q13" s="12" t="s">
        <v>18</v>
      </c>
    </row>
    <row r="14" spans="1:17" x14ac:dyDescent="0.25">
      <c r="A14" s="4">
        <f t="shared" si="7"/>
        <v>13</v>
      </c>
      <c r="B14" s="5">
        <v>46125</v>
      </c>
      <c r="C14" s="6">
        <f t="shared" ref="C14" si="9">SUM(D14:F14)</f>
        <v>53</v>
      </c>
      <c r="D14" s="6">
        <f>COUNTIFS('[1]Cycle counting report'!B:B,'[1]Daily IRA IVA Score card'!B:B,'[1]Cycle counting report'!Q:Q,"Excess")</f>
        <v>0</v>
      </c>
      <c r="E14" s="6">
        <f>COUNTIFS('[1]Cycle counting report'!B:B,'[1]Daily IRA IVA Score card'!B:B,'[1]Cycle counting report'!Q:Q,{"short"})</f>
        <v>0</v>
      </c>
      <c r="F14" s="6">
        <f>COUNTIFS('[1]Cycle counting report'!B:B,'[1]Daily IRA IVA Score card'!B:B,'[1]Cycle counting report'!Q:Q,"Tallied")</f>
        <v>53</v>
      </c>
      <c r="G14" s="7">
        <f>SUMIF('[1]Cycle counting report'!B:B,'[1]Daily IRA IVA Score card'!B:B,'[1]Cycle counting report'!P:P)</f>
        <v>39232606.600000001</v>
      </c>
      <c r="H14" s="8">
        <f>SUMIF('[1]Cycle counting report'!B:B,'[1]Daily IRA IVA Score card'!B:B,'[1]Cycle counting report'!K:K)</f>
        <v>0</v>
      </c>
      <c r="I14" s="8">
        <f>SUMIF('[1]Cycle counting report'!B:B,'[1]Daily IRA IVA Score card'!B:B,'[1]Cycle counting report'!M:M)</f>
        <v>0</v>
      </c>
      <c r="J14" s="8">
        <f t="shared" si="1"/>
        <v>0</v>
      </c>
      <c r="K14" s="8">
        <f t="shared" si="2"/>
        <v>0</v>
      </c>
      <c r="L14" s="9">
        <f t="shared" si="8"/>
        <v>1</v>
      </c>
      <c r="M14" s="9">
        <f t="shared" si="3"/>
        <v>1</v>
      </c>
      <c r="N14" s="10">
        <f t="shared" si="4"/>
        <v>39232606.600000001</v>
      </c>
      <c r="O14" s="11">
        <f t="shared" si="5"/>
        <v>0</v>
      </c>
      <c r="P14" s="11">
        <f t="shared" si="6"/>
        <v>0</v>
      </c>
      <c r="Q14" s="12"/>
    </row>
    <row r="15" spans="1:17" x14ac:dyDescent="0.25">
      <c r="A15" s="4">
        <f t="shared" si="7"/>
        <v>14</v>
      </c>
      <c r="B15" s="5">
        <v>46126</v>
      </c>
      <c r="C15" s="6">
        <f t="shared" si="0"/>
        <v>54</v>
      </c>
      <c r="D15" s="6">
        <f>COUNTIFS('[1]Cycle counting report'!B:B,'[1]Daily IRA IVA Score card'!B:B,'[1]Cycle counting report'!Q:Q,"Excess")</f>
        <v>0</v>
      </c>
      <c r="E15" s="6">
        <f>COUNTIFS('[1]Cycle counting report'!B:B,'[1]Daily IRA IVA Score card'!B:B,'[1]Cycle counting report'!Q:Q,{"short"})</f>
        <v>0</v>
      </c>
      <c r="F15" s="6">
        <f>COUNTIFS('[1]Cycle counting report'!B:B,'[1]Daily IRA IVA Score card'!B:B,'[1]Cycle counting report'!Q:Q,"Tallied")</f>
        <v>54</v>
      </c>
      <c r="G15" s="7">
        <f>SUMIF('[1]Cycle counting report'!B:B,'[1]Daily IRA IVA Score card'!B:B,'[1]Cycle counting report'!P:P)</f>
        <v>66335326.740000024</v>
      </c>
      <c r="H15" s="8">
        <f>SUMIF('[1]Cycle counting report'!B:B,'[1]Daily IRA IVA Score card'!B:B,'[1]Cycle counting report'!K:K)</f>
        <v>0</v>
      </c>
      <c r="I15" s="8">
        <f>SUMIF('[1]Cycle counting report'!B:B,'[1]Daily IRA IVA Score card'!B:B,'[1]Cycle counting report'!M:M)</f>
        <v>0</v>
      </c>
      <c r="J15" s="8">
        <f t="shared" si="1"/>
        <v>0</v>
      </c>
      <c r="K15" s="8">
        <f t="shared" si="2"/>
        <v>0</v>
      </c>
      <c r="L15" s="9">
        <f t="shared" si="8"/>
        <v>1</v>
      </c>
      <c r="M15" s="9">
        <f t="shared" si="3"/>
        <v>1</v>
      </c>
      <c r="N15" s="10">
        <f t="shared" si="4"/>
        <v>66335326.740000024</v>
      </c>
      <c r="O15" s="11">
        <f t="shared" si="5"/>
        <v>0</v>
      </c>
      <c r="P15" s="11">
        <f t="shared" si="6"/>
        <v>0</v>
      </c>
      <c r="Q15" s="12"/>
    </row>
    <row r="16" spans="1:17" x14ac:dyDescent="0.25">
      <c r="A16" s="4">
        <f t="shared" si="7"/>
        <v>15</v>
      </c>
      <c r="B16" s="5">
        <v>46127</v>
      </c>
      <c r="C16" s="6">
        <f t="shared" si="0"/>
        <v>50</v>
      </c>
      <c r="D16" s="6">
        <f>COUNTIFS('[1]Cycle counting report'!B:B,'[1]Daily IRA IVA Score card'!B:B,'[1]Cycle counting report'!Q:Q,"Excess")</f>
        <v>0</v>
      </c>
      <c r="E16" s="6">
        <f>COUNTIFS('[1]Cycle counting report'!B:B,'[1]Daily IRA IVA Score card'!B:B,'[1]Cycle counting report'!Q:Q,{"short"})</f>
        <v>0</v>
      </c>
      <c r="F16" s="6">
        <f>COUNTIFS('[1]Cycle counting report'!B:B,'[1]Daily IRA IVA Score card'!B:B,'[1]Cycle counting report'!Q:Q,"Tallied")</f>
        <v>50</v>
      </c>
      <c r="G16" s="7">
        <f>SUMIF('[1]Cycle counting report'!B:B,'[1]Daily IRA IVA Score card'!B:B,'[1]Cycle counting report'!P:P)</f>
        <v>73888016.959999993</v>
      </c>
      <c r="H16" s="8">
        <f>SUMIF('[1]Cycle counting report'!B:B,'[1]Daily IRA IVA Score card'!B:B,'[1]Cycle counting report'!K:K)</f>
        <v>0</v>
      </c>
      <c r="I16" s="8">
        <f>SUMIF('[1]Cycle counting report'!B:B,'[1]Daily IRA IVA Score card'!B:B,'[1]Cycle counting report'!M:M)</f>
        <v>0</v>
      </c>
      <c r="J16" s="8">
        <f t="shared" si="1"/>
        <v>0</v>
      </c>
      <c r="K16" s="8">
        <f t="shared" si="2"/>
        <v>0</v>
      </c>
      <c r="L16" s="9">
        <f t="shared" si="8"/>
        <v>1</v>
      </c>
      <c r="M16" s="9">
        <f t="shared" si="3"/>
        <v>1</v>
      </c>
      <c r="N16" s="10">
        <f t="shared" si="4"/>
        <v>73888016.959999993</v>
      </c>
      <c r="O16" s="11">
        <f t="shared" si="5"/>
        <v>0</v>
      </c>
      <c r="P16" s="11">
        <f t="shared" si="6"/>
        <v>0</v>
      </c>
      <c r="Q16" s="12"/>
    </row>
    <row r="17" spans="1:17" x14ac:dyDescent="0.25">
      <c r="A17" s="4">
        <f t="shared" si="7"/>
        <v>16</v>
      </c>
      <c r="B17" s="5">
        <v>46128</v>
      </c>
      <c r="C17" s="6">
        <f t="shared" si="0"/>
        <v>50</v>
      </c>
      <c r="D17" s="6">
        <f>COUNTIFS('[1]Cycle counting report'!B:B,'[1]Daily IRA IVA Score card'!B:B,'[1]Cycle counting report'!Q:Q,"Excess")</f>
        <v>0</v>
      </c>
      <c r="E17" s="6">
        <f>COUNTIFS('[1]Cycle counting report'!B:B,'[1]Daily IRA IVA Score card'!B:B,'[1]Cycle counting report'!Q:Q,{"short"})</f>
        <v>0</v>
      </c>
      <c r="F17" s="6">
        <f>COUNTIFS('[1]Cycle counting report'!B:B,'[1]Daily IRA IVA Score card'!B:B,'[1]Cycle counting report'!Q:Q,"Tallied")</f>
        <v>50</v>
      </c>
      <c r="G17" s="7">
        <f>SUMIF('[1]Cycle counting report'!B:B,'[1]Daily IRA IVA Score card'!B:B,'[1]Cycle counting report'!P:P)</f>
        <v>7854397.0399999991</v>
      </c>
      <c r="H17" s="8">
        <f>SUMIF('[1]Cycle counting report'!B:B,'[1]Daily IRA IVA Score card'!B:B,'[1]Cycle counting report'!K:K)</f>
        <v>0</v>
      </c>
      <c r="I17" s="8">
        <f>SUMIF('[1]Cycle counting report'!B:B,'[1]Daily IRA IVA Score card'!B:B,'[1]Cycle counting report'!M:M)</f>
        <v>0</v>
      </c>
      <c r="J17" s="8">
        <f t="shared" si="1"/>
        <v>0</v>
      </c>
      <c r="K17" s="8">
        <f t="shared" si="2"/>
        <v>0</v>
      </c>
      <c r="L17" s="9">
        <f t="shared" si="8"/>
        <v>1</v>
      </c>
      <c r="M17" s="9">
        <f t="shared" si="3"/>
        <v>1</v>
      </c>
      <c r="N17" s="10">
        <f t="shared" si="4"/>
        <v>7854397.0399999991</v>
      </c>
      <c r="O17" s="11">
        <f t="shared" si="5"/>
        <v>0</v>
      </c>
      <c r="P17" s="11">
        <f t="shared" si="6"/>
        <v>0</v>
      </c>
      <c r="Q17" s="12"/>
    </row>
    <row r="18" spans="1:17" x14ac:dyDescent="0.25">
      <c r="A18" s="4">
        <f t="shared" si="7"/>
        <v>17</v>
      </c>
      <c r="B18" s="5">
        <v>46129</v>
      </c>
      <c r="C18" s="6">
        <f t="shared" si="0"/>
        <v>50</v>
      </c>
      <c r="D18" s="6">
        <f>COUNTIFS('[1]Cycle counting report'!B:B,'[1]Daily IRA IVA Score card'!B:B,'[1]Cycle counting report'!Q:Q,"Excess")</f>
        <v>0</v>
      </c>
      <c r="E18" s="6">
        <f>COUNTIFS('[1]Cycle counting report'!B:B,'[1]Daily IRA IVA Score card'!B:B,'[1]Cycle counting report'!Q:Q,{"short"})</f>
        <v>0</v>
      </c>
      <c r="F18" s="6">
        <f>COUNTIFS('[1]Cycle counting report'!B:B,'[1]Daily IRA IVA Score card'!B:B,'[1]Cycle counting report'!Q:Q,"Tallied")</f>
        <v>50</v>
      </c>
      <c r="G18" s="7">
        <f>SUMIF('[1]Cycle counting report'!B:B,'[1]Daily IRA IVA Score card'!B:B,'[1]Cycle counting report'!P:P)</f>
        <v>35877509.419999994</v>
      </c>
      <c r="H18" s="8">
        <f>SUMIF('[1]Cycle counting report'!B:B,'[1]Daily IRA IVA Score card'!B:B,'[1]Cycle counting report'!K:K)</f>
        <v>0</v>
      </c>
      <c r="I18" s="8">
        <f>SUMIF('[1]Cycle counting report'!B:B,'[1]Daily IRA IVA Score card'!B:B,'[1]Cycle counting report'!M:M)</f>
        <v>0</v>
      </c>
      <c r="J18" s="8">
        <f t="shared" si="1"/>
        <v>0</v>
      </c>
      <c r="K18" s="8">
        <f t="shared" si="2"/>
        <v>0</v>
      </c>
      <c r="L18" s="9">
        <f t="shared" si="8"/>
        <v>1</v>
      </c>
      <c r="M18" s="9">
        <f t="shared" si="3"/>
        <v>1</v>
      </c>
      <c r="N18" s="10">
        <f t="shared" si="4"/>
        <v>35877509.419999994</v>
      </c>
      <c r="O18" s="11">
        <f t="shared" si="5"/>
        <v>0</v>
      </c>
      <c r="P18" s="11">
        <f t="shared" si="6"/>
        <v>0</v>
      </c>
      <c r="Q18" s="12"/>
    </row>
    <row r="19" spans="1:17" x14ac:dyDescent="0.25">
      <c r="A19" s="4">
        <f t="shared" si="7"/>
        <v>18</v>
      </c>
      <c r="B19" s="5">
        <v>46130</v>
      </c>
      <c r="C19" s="6">
        <f t="shared" si="0"/>
        <v>48</v>
      </c>
      <c r="D19" s="6">
        <f>COUNTIFS('[1]Cycle counting report'!B:B,'[1]Daily IRA IVA Score card'!B:B,'[1]Cycle counting report'!Q:Q,"Excess")</f>
        <v>0</v>
      </c>
      <c r="E19" s="6">
        <f>COUNTIFS('[1]Cycle counting report'!B:B,'[1]Daily IRA IVA Score card'!B:B,'[1]Cycle counting report'!Q:Q,{"short"})</f>
        <v>0</v>
      </c>
      <c r="F19" s="6">
        <f>COUNTIFS('[1]Cycle counting report'!B:B,'[1]Daily IRA IVA Score card'!B:B,'[1]Cycle counting report'!Q:Q,"Tallied")</f>
        <v>48</v>
      </c>
      <c r="G19" s="7">
        <f>SUMIF('[1]Cycle counting report'!B:B,'[1]Daily IRA IVA Score card'!B:B,'[1]Cycle counting report'!P:P)</f>
        <v>9127873.6199999992</v>
      </c>
      <c r="H19" s="8">
        <f>SUMIF('[1]Cycle counting report'!B:B,'[1]Daily IRA IVA Score card'!B:B,'[1]Cycle counting report'!K:K)</f>
        <v>0</v>
      </c>
      <c r="I19" s="8">
        <f>SUMIF('[1]Cycle counting report'!B:B,'[1]Daily IRA IVA Score card'!B:B,'[1]Cycle counting report'!M:M)</f>
        <v>0</v>
      </c>
      <c r="J19" s="8">
        <f t="shared" si="1"/>
        <v>0</v>
      </c>
      <c r="K19" s="8">
        <f t="shared" si="2"/>
        <v>0</v>
      </c>
      <c r="L19" s="9">
        <f t="shared" si="8"/>
        <v>1</v>
      </c>
      <c r="M19" s="9">
        <f t="shared" si="3"/>
        <v>1</v>
      </c>
      <c r="N19" s="10">
        <f t="shared" si="4"/>
        <v>9127873.6199999992</v>
      </c>
      <c r="O19" s="11">
        <f t="shared" si="5"/>
        <v>0</v>
      </c>
      <c r="P19" s="11">
        <f t="shared" si="6"/>
        <v>0</v>
      </c>
      <c r="Q19" s="12"/>
    </row>
    <row r="20" spans="1:17" x14ac:dyDescent="0.25">
      <c r="A20" s="4">
        <f t="shared" si="7"/>
        <v>19</v>
      </c>
      <c r="B20" s="5">
        <v>46131</v>
      </c>
      <c r="C20" s="6">
        <f t="shared" si="0"/>
        <v>0</v>
      </c>
      <c r="D20" s="6">
        <f>COUNTIFS('[1]Cycle counting report'!B:B,'[1]Daily IRA IVA Score card'!B:B,'[1]Cycle counting report'!Q:Q,"Excess")</f>
        <v>0</v>
      </c>
      <c r="E20" s="6">
        <f>COUNTIFS('[1]Cycle counting report'!B:B,'[1]Daily IRA IVA Score card'!B:B,'[1]Cycle counting report'!Q:Q,{"short"})</f>
        <v>0</v>
      </c>
      <c r="F20" s="6">
        <f>COUNTIFS('[1]Cycle counting report'!B:B,'[1]Daily IRA IVA Score card'!B:B,'[1]Cycle counting report'!Q:Q,"Tallied")</f>
        <v>0</v>
      </c>
      <c r="G20" s="7">
        <f>SUMIF('[1]Cycle counting report'!B:B,'[1]Daily IRA IVA Score card'!B:B,'[1]Cycle counting report'!P:P)</f>
        <v>0</v>
      </c>
      <c r="H20" s="8">
        <f>SUMIF('[1]Cycle counting report'!B:B,'[1]Daily IRA IVA Score card'!B:B,'[1]Cycle counting report'!K:K)</f>
        <v>0</v>
      </c>
      <c r="I20" s="8">
        <f>SUMIF('[1]Cycle counting report'!B:B,'[1]Daily IRA IVA Score card'!B:B,'[1]Cycle counting report'!M:M)</f>
        <v>0</v>
      </c>
      <c r="J20" s="8">
        <f t="shared" si="1"/>
        <v>0</v>
      </c>
      <c r="K20" s="8">
        <f t="shared" si="2"/>
        <v>0</v>
      </c>
      <c r="L20" s="9" t="str">
        <f t="shared" si="8"/>
        <v/>
      </c>
      <c r="M20" s="9" t="str">
        <f t="shared" si="3"/>
        <v/>
      </c>
      <c r="N20" s="10">
        <f t="shared" si="4"/>
        <v>0</v>
      </c>
      <c r="O20" s="11" t="str">
        <f t="shared" si="5"/>
        <v/>
      </c>
      <c r="P20" s="11" t="str">
        <f t="shared" si="6"/>
        <v/>
      </c>
      <c r="Q20" s="12" t="s">
        <v>18</v>
      </c>
    </row>
    <row r="21" spans="1:17" x14ac:dyDescent="0.25">
      <c r="A21" s="4">
        <f t="shared" si="7"/>
        <v>20</v>
      </c>
      <c r="B21" s="5">
        <v>46132</v>
      </c>
      <c r="C21" s="6">
        <f t="shared" si="0"/>
        <v>50</v>
      </c>
      <c r="D21" s="6">
        <f>COUNTIFS('[1]Cycle counting report'!B:B,'[1]Daily IRA IVA Score card'!B:B,'[1]Cycle counting report'!Q:Q,"Excess")</f>
        <v>0</v>
      </c>
      <c r="E21" s="6">
        <f>COUNTIFS('[1]Cycle counting report'!B:B,'[1]Daily IRA IVA Score card'!B:B,'[1]Cycle counting report'!Q:Q,{"short"})</f>
        <v>0</v>
      </c>
      <c r="F21" s="6">
        <f>COUNTIFS('[1]Cycle counting report'!B:B,'[1]Daily IRA IVA Score card'!B:B,'[1]Cycle counting report'!Q:Q,"Tallied")</f>
        <v>50</v>
      </c>
      <c r="G21" s="7">
        <f>SUMIF('[1]Cycle counting report'!B:B,'[1]Daily IRA IVA Score card'!B:B,'[1]Cycle counting report'!P:P)</f>
        <v>15234711.940000003</v>
      </c>
      <c r="H21" s="8">
        <f>SUMIF('[1]Cycle counting report'!B:B,'[1]Daily IRA IVA Score card'!B:B,'[1]Cycle counting report'!K:K)</f>
        <v>0</v>
      </c>
      <c r="I21" s="8">
        <f>SUMIF('[1]Cycle counting report'!B:B,'[1]Daily IRA IVA Score card'!B:B,'[1]Cycle counting report'!M:M)</f>
        <v>0</v>
      </c>
      <c r="J21" s="8">
        <f t="shared" si="1"/>
        <v>0</v>
      </c>
      <c r="K21" s="8">
        <f t="shared" si="2"/>
        <v>0</v>
      </c>
      <c r="L21" s="9">
        <f t="shared" si="8"/>
        <v>1</v>
      </c>
      <c r="M21" s="9">
        <f t="shared" si="3"/>
        <v>1</v>
      </c>
      <c r="N21" s="10">
        <f t="shared" si="4"/>
        <v>15234711.940000003</v>
      </c>
      <c r="O21" s="11">
        <f t="shared" si="5"/>
        <v>0</v>
      </c>
      <c r="P21" s="11">
        <f t="shared" si="6"/>
        <v>0</v>
      </c>
      <c r="Q21" s="12"/>
    </row>
    <row r="22" spans="1:17" x14ac:dyDescent="0.25">
      <c r="A22" s="4">
        <f t="shared" si="7"/>
        <v>21</v>
      </c>
      <c r="B22" s="5">
        <v>46133</v>
      </c>
      <c r="C22" s="6">
        <f t="shared" si="0"/>
        <v>50</v>
      </c>
      <c r="D22" s="6">
        <f>COUNTIFS('[1]Cycle counting report'!B:B,'[1]Daily IRA IVA Score card'!B:B,'[1]Cycle counting report'!Q:Q,"Excess")</f>
        <v>0</v>
      </c>
      <c r="E22" s="6">
        <f>COUNTIFS('[1]Cycle counting report'!B:B,'[1]Daily IRA IVA Score card'!B:B,'[1]Cycle counting report'!Q:Q,{"short"})</f>
        <v>0</v>
      </c>
      <c r="F22" s="6">
        <f>COUNTIFS('[1]Cycle counting report'!B:B,'[1]Daily IRA IVA Score card'!B:B,'[1]Cycle counting report'!Q:Q,"Tallied")</f>
        <v>50</v>
      </c>
      <c r="G22" s="7">
        <f>SUMIF('[1]Cycle counting report'!B:B,'[1]Daily IRA IVA Score card'!B:B,'[1]Cycle counting report'!P:P)</f>
        <v>28151599.362999991</v>
      </c>
      <c r="H22" s="8">
        <f>SUMIF('[1]Cycle counting report'!B:B,'[1]Daily IRA IVA Score card'!B:B,'[1]Cycle counting report'!K:K)</f>
        <v>0</v>
      </c>
      <c r="I22" s="8">
        <f>SUMIF('[1]Cycle counting report'!B:B,'[1]Daily IRA IVA Score card'!B:B,'[1]Cycle counting report'!M:M)</f>
        <v>0</v>
      </c>
      <c r="J22" s="8">
        <f t="shared" si="1"/>
        <v>0</v>
      </c>
      <c r="K22" s="8">
        <f t="shared" si="2"/>
        <v>0</v>
      </c>
      <c r="L22" s="9">
        <f t="shared" si="8"/>
        <v>1</v>
      </c>
      <c r="M22" s="9">
        <f t="shared" si="3"/>
        <v>1</v>
      </c>
      <c r="N22" s="10">
        <f t="shared" si="4"/>
        <v>28151599.362999991</v>
      </c>
      <c r="O22" s="11">
        <f t="shared" si="5"/>
        <v>0</v>
      </c>
      <c r="P22" s="11">
        <f t="shared" si="6"/>
        <v>0</v>
      </c>
      <c r="Q22" s="12"/>
    </row>
    <row r="23" spans="1:17" x14ac:dyDescent="0.25">
      <c r="A23" s="4">
        <f t="shared" si="7"/>
        <v>22</v>
      </c>
      <c r="B23" s="5">
        <v>46134</v>
      </c>
      <c r="C23" s="6">
        <f t="shared" si="0"/>
        <v>50</v>
      </c>
      <c r="D23" s="6">
        <f>COUNTIFS('[1]Cycle counting report'!B:B,'[1]Daily IRA IVA Score card'!B:B,'[1]Cycle counting report'!Q:Q,"Excess")</f>
        <v>0</v>
      </c>
      <c r="E23" s="6">
        <f>COUNTIFS('[1]Cycle counting report'!B:B,'[1]Daily IRA IVA Score card'!B:B,'[1]Cycle counting report'!Q:Q,{"short"})</f>
        <v>0</v>
      </c>
      <c r="F23" s="6">
        <f>COUNTIFS('[1]Cycle counting report'!B:B,'[1]Daily IRA IVA Score card'!B:B,'[1]Cycle counting report'!Q:Q,"Tallied")</f>
        <v>50</v>
      </c>
      <c r="G23" s="7">
        <f>SUMIF('[1]Cycle counting report'!B:B,'[1]Daily IRA IVA Score card'!B:B,'[1]Cycle counting report'!P:P)</f>
        <v>16645391.149999997</v>
      </c>
      <c r="H23" s="8">
        <f>SUMIF('[1]Cycle counting report'!B:B,'[1]Daily IRA IVA Score card'!B:B,'[1]Cycle counting report'!K:K)</f>
        <v>0</v>
      </c>
      <c r="I23" s="8">
        <f>SUMIF('[1]Cycle counting report'!B:B,'[1]Daily IRA IVA Score card'!B:B,'[1]Cycle counting report'!M:M)</f>
        <v>0</v>
      </c>
      <c r="J23" s="8">
        <f t="shared" si="1"/>
        <v>0</v>
      </c>
      <c r="K23" s="8">
        <f t="shared" si="2"/>
        <v>0</v>
      </c>
      <c r="L23" s="9">
        <f t="shared" si="8"/>
        <v>1</v>
      </c>
      <c r="M23" s="9">
        <f t="shared" si="3"/>
        <v>1</v>
      </c>
      <c r="N23" s="10">
        <f t="shared" si="4"/>
        <v>16645391.149999997</v>
      </c>
      <c r="O23" s="11">
        <f t="shared" si="5"/>
        <v>0</v>
      </c>
      <c r="P23" s="11">
        <f t="shared" si="6"/>
        <v>0</v>
      </c>
      <c r="Q23" s="12"/>
    </row>
    <row r="24" spans="1:17" x14ac:dyDescent="0.25">
      <c r="A24" s="4">
        <f t="shared" si="7"/>
        <v>23</v>
      </c>
      <c r="B24" s="5">
        <v>46135</v>
      </c>
      <c r="C24" s="6">
        <f t="shared" si="0"/>
        <v>50</v>
      </c>
      <c r="D24" s="6">
        <f>COUNTIFS('[1]Cycle counting report'!B:B,'[1]Daily IRA IVA Score card'!B:B,'[1]Cycle counting report'!Q:Q,"Excess")</f>
        <v>0</v>
      </c>
      <c r="E24" s="6">
        <f>COUNTIFS('[1]Cycle counting report'!B:B,'[1]Daily IRA IVA Score card'!B:B,'[1]Cycle counting report'!Q:Q,{"short"})</f>
        <v>0</v>
      </c>
      <c r="F24" s="6">
        <f>COUNTIFS('[1]Cycle counting report'!B:B,'[1]Daily IRA IVA Score card'!B:B,'[1]Cycle counting report'!Q:Q,"Tallied")</f>
        <v>50</v>
      </c>
      <c r="G24" s="7">
        <f>SUMIF('[1]Cycle counting report'!B:B,'[1]Daily IRA IVA Score card'!B:B,'[1]Cycle counting report'!P:P)</f>
        <v>32869823.069999997</v>
      </c>
      <c r="H24" s="8">
        <f>SUMIF('[1]Cycle counting report'!B:B,'[1]Daily IRA IVA Score card'!B:B,'[1]Cycle counting report'!K:K)</f>
        <v>0</v>
      </c>
      <c r="I24" s="8">
        <f>SUMIF('[1]Cycle counting report'!B:B,'[1]Daily IRA IVA Score card'!B:B,'[1]Cycle counting report'!M:M)</f>
        <v>0</v>
      </c>
      <c r="J24" s="8">
        <f t="shared" si="1"/>
        <v>0</v>
      </c>
      <c r="K24" s="8">
        <f t="shared" si="2"/>
        <v>0</v>
      </c>
      <c r="L24" s="9">
        <f t="shared" si="8"/>
        <v>1</v>
      </c>
      <c r="M24" s="9">
        <f t="shared" si="3"/>
        <v>1</v>
      </c>
      <c r="N24" s="10">
        <f t="shared" si="4"/>
        <v>32869823.069999997</v>
      </c>
      <c r="O24" s="11">
        <f t="shared" si="5"/>
        <v>0</v>
      </c>
      <c r="P24" s="11">
        <f t="shared" si="6"/>
        <v>0</v>
      </c>
      <c r="Q24" s="12"/>
    </row>
    <row r="25" spans="1:17" x14ac:dyDescent="0.25">
      <c r="A25" s="4">
        <f t="shared" si="7"/>
        <v>24</v>
      </c>
      <c r="B25" s="5">
        <v>46136</v>
      </c>
      <c r="C25" s="6">
        <f t="shared" si="0"/>
        <v>50</v>
      </c>
      <c r="D25" s="6">
        <f>COUNTIFS('[1]Cycle counting report'!B:B,'[1]Daily IRA IVA Score card'!B:B,'[1]Cycle counting report'!Q:Q,"Excess")</f>
        <v>0</v>
      </c>
      <c r="E25" s="6">
        <f>COUNTIFS('[1]Cycle counting report'!B:B,'[1]Daily IRA IVA Score card'!B:B,'[1]Cycle counting report'!Q:Q,{"short"})</f>
        <v>0</v>
      </c>
      <c r="F25" s="6">
        <f>COUNTIFS('[1]Cycle counting report'!B:B,'[1]Daily IRA IVA Score card'!B:B,'[1]Cycle counting report'!Q:Q,"Tallied")</f>
        <v>50</v>
      </c>
      <c r="G25" s="7">
        <f>SUMIF('[1]Cycle counting report'!B:B,'[1]Daily IRA IVA Score card'!B:B,'[1]Cycle counting report'!P:P)</f>
        <v>14043116.010000002</v>
      </c>
      <c r="H25" s="8">
        <f>SUMIF('[1]Cycle counting report'!B:B,'[1]Daily IRA IVA Score card'!B:B,'[1]Cycle counting report'!K:K)</f>
        <v>0</v>
      </c>
      <c r="I25" s="8">
        <f>SUMIF('[1]Cycle counting report'!B:B,'[1]Daily IRA IVA Score card'!B:B,'[1]Cycle counting report'!M:M)</f>
        <v>0</v>
      </c>
      <c r="J25" s="8">
        <f t="shared" si="1"/>
        <v>0</v>
      </c>
      <c r="K25" s="8">
        <f t="shared" si="2"/>
        <v>0</v>
      </c>
      <c r="L25" s="9">
        <f t="shared" si="8"/>
        <v>1</v>
      </c>
      <c r="M25" s="9">
        <f t="shared" si="3"/>
        <v>1</v>
      </c>
      <c r="N25" s="10">
        <f t="shared" si="4"/>
        <v>14043116.010000002</v>
      </c>
      <c r="O25" s="11">
        <f t="shared" si="5"/>
        <v>0</v>
      </c>
      <c r="P25" s="11">
        <f t="shared" si="6"/>
        <v>0</v>
      </c>
      <c r="Q25" s="12"/>
    </row>
    <row r="26" spans="1:17" x14ac:dyDescent="0.25">
      <c r="A26" s="4">
        <f t="shared" si="7"/>
        <v>25</v>
      </c>
      <c r="B26" s="5">
        <v>46137</v>
      </c>
      <c r="C26" s="6">
        <f t="shared" si="0"/>
        <v>50</v>
      </c>
      <c r="D26" s="6">
        <f>COUNTIFS('[1]Cycle counting report'!B:B,'[1]Daily IRA IVA Score card'!B:B,'[1]Cycle counting report'!Q:Q,"Excess")</f>
        <v>0</v>
      </c>
      <c r="E26" s="6">
        <f>COUNTIFS('[1]Cycle counting report'!B:B,'[1]Daily IRA IVA Score card'!B:B,'[1]Cycle counting report'!Q:Q,{"short"})</f>
        <v>0</v>
      </c>
      <c r="F26" s="6">
        <f>COUNTIFS('[1]Cycle counting report'!B:B,'[1]Daily IRA IVA Score card'!B:B,'[1]Cycle counting report'!Q:Q,"Tallied")</f>
        <v>50</v>
      </c>
      <c r="G26" s="7">
        <f>SUMIF('[1]Cycle counting report'!B:B,'[1]Daily IRA IVA Score card'!B:B,'[1]Cycle counting report'!P:P)</f>
        <v>3584671.5300000007</v>
      </c>
      <c r="H26" s="8">
        <f>SUMIF('[1]Cycle counting report'!B:B,'[1]Daily IRA IVA Score card'!B:B,'[1]Cycle counting report'!K:K)</f>
        <v>0</v>
      </c>
      <c r="I26" s="8">
        <f>SUMIF('[1]Cycle counting report'!B:B,'[1]Daily IRA IVA Score card'!B:B,'[1]Cycle counting report'!M:M)</f>
        <v>0</v>
      </c>
      <c r="J26" s="8">
        <f t="shared" si="1"/>
        <v>0</v>
      </c>
      <c r="K26" s="8">
        <f t="shared" si="2"/>
        <v>0</v>
      </c>
      <c r="L26" s="9">
        <f t="shared" si="8"/>
        <v>1</v>
      </c>
      <c r="M26" s="9">
        <f t="shared" si="3"/>
        <v>1</v>
      </c>
      <c r="N26" s="10">
        <f t="shared" si="4"/>
        <v>3584671.5300000007</v>
      </c>
      <c r="O26" s="11">
        <f t="shared" si="5"/>
        <v>0</v>
      </c>
      <c r="P26" s="11">
        <f t="shared" si="6"/>
        <v>0</v>
      </c>
      <c r="Q26" s="12"/>
    </row>
    <row r="27" spans="1:17" x14ac:dyDescent="0.25">
      <c r="A27" s="4">
        <f t="shared" si="7"/>
        <v>26</v>
      </c>
      <c r="B27" s="5">
        <v>46138</v>
      </c>
      <c r="C27" s="6">
        <f t="shared" si="0"/>
        <v>0</v>
      </c>
      <c r="D27" s="6">
        <f>COUNTIFS('[1]Cycle counting report'!B:B,'[1]Daily IRA IVA Score card'!B:B,'[1]Cycle counting report'!Q:Q,"Excess")</f>
        <v>0</v>
      </c>
      <c r="E27" s="6">
        <f>COUNTIFS('[1]Cycle counting report'!B:B,'[1]Daily IRA IVA Score card'!B:B,'[1]Cycle counting report'!Q:Q,{"short"})</f>
        <v>0</v>
      </c>
      <c r="F27" s="6">
        <f>COUNTIFS('[1]Cycle counting report'!B:B,'[1]Daily IRA IVA Score card'!B:B,'[1]Cycle counting report'!Q:Q,"Tallied")</f>
        <v>0</v>
      </c>
      <c r="G27" s="7">
        <f>SUMIF('[1]Cycle counting report'!B:B,'[1]Daily IRA IVA Score card'!B:B,'[1]Cycle counting report'!P:P)</f>
        <v>0</v>
      </c>
      <c r="H27" s="8">
        <f>SUMIF('[1]Cycle counting report'!B:B,'[1]Daily IRA IVA Score card'!B:B,'[1]Cycle counting report'!K:K)</f>
        <v>0</v>
      </c>
      <c r="I27" s="8">
        <f>SUMIF('[1]Cycle counting report'!B:B,'[1]Daily IRA IVA Score card'!B:B,'[1]Cycle counting report'!M:M)</f>
        <v>0</v>
      </c>
      <c r="J27" s="8">
        <f t="shared" si="1"/>
        <v>0</v>
      </c>
      <c r="K27" s="8">
        <f t="shared" si="2"/>
        <v>0</v>
      </c>
      <c r="L27" s="9" t="str">
        <f t="shared" si="8"/>
        <v/>
      </c>
      <c r="M27" s="9" t="str">
        <f t="shared" si="3"/>
        <v/>
      </c>
      <c r="N27" s="10">
        <f t="shared" si="4"/>
        <v>0</v>
      </c>
      <c r="O27" s="11" t="str">
        <f t="shared" si="5"/>
        <v/>
      </c>
      <c r="P27" s="11" t="str">
        <f t="shared" si="6"/>
        <v/>
      </c>
      <c r="Q27" s="12" t="s">
        <v>18</v>
      </c>
    </row>
    <row r="28" spans="1:17" x14ac:dyDescent="0.25">
      <c r="A28" s="4">
        <f t="shared" si="7"/>
        <v>27</v>
      </c>
      <c r="B28" s="5">
        <v>46139</v>
      </c>
      <c r="C28" s="6">
        <f t="shared" si="0"/>
        <v>51</v>
      </c>
      <c r="D28" s="6">
        <f>COUNTIFS('[1]Cycle counting report'!B:B,'[1]Daily IRA IVA Score card'!B:B,'[1]Cycle counting report'!Q:Q,"Excess")</f>
        <v>0</v>
      </c>
      <c r="E28" s="6">
        <f>COUNTIFS('[1]Cycle counting report'!B:B,'[1]Daily IRA IVA Score card'!B:B,'[1]Cycle counting report'!Q:Q,{"short"})</f>
        <v>0</v>
      </c>
      <c r="F28" s="6">
        <f>COUNTIFS('[1]Cycle counting report'!B:B,'[1]Daily IRA IVA Score card'!B:B,'[1]Cycle counting report'!Q:Q,"Tallied")</f>
        <v>51</v>
      </c>
      <c r="G28" s="7">
        <f>SUMIF('[1]Cycle counting report'!B:B,'[1]Daily IRA IVA Score card'!B:B,'[1]Cycle counting report'!P:P)</f>
        <v>4314942.87</v>
      </c>
      <c r="H28" s="8">
        <f>SUMIF('[1]Cycle counting report'!B:B,'[1]Daily IRA IVA Score card'!B:B,'[1]Cycle counting report'!K:K)</f>
        <v>0</v>
      </c>
      <c r="I28" s="8">
        <f>SUMIF('[1]Cycle counting report'!B:B,'[1]Daily IRA IVA Score card'!B:B,'[1]Cycle counting report'!M:M)</f>
        <v>0</v>
      </c>
      <c r="J28" s="8">
        <f t="shared" si="1"/>
        <v>0</v>
      </c>
      <c r="K28" s="8">
        <f t="shared" si="2"/>
        <v>0</v>
      </c>
      <c r="L28" s="9">
        <f t="shared" si="8"/>
        <v>1</v>
      </c>
      <c r="M28" s="9">
        <f t="shared" si="3"/>
        <v>1</v>
      </c>
      <c r="N28" s="10">
        <f t="shared" si="4"/>
        <v>4314942.87</v>
      </c>
      <c r="O28" s="11">
        <f t="shared" si="5"/>
        <v>0</v>
      </c>
      <c r="P28" s="11">
        <f t="shared" si="6"/>
        <v>0</v>
      </c>
      <c r="Q28" s="12"/>
    </row>
    <row r="29" spans="1:17" x14ac:dyDescent="0.25">
      <c r="A29" s="4">
        <f t="shared" si="7"/>
        <v>28</v>
      </c>
      <c r="B29" s="5">
        <v>46140</v>
      </c>
      <c r="C29" s="6">
        <f t="shared" si="0"/>
        <v>50</v>
      </c>
      <c r="D29" s="6">
        <f>COUNTIFS('[1]Cycle counting report'!B:B,'[1]Daily IRA IVA Score card'!B:B,'[1]Cycle counting report'!Q:Q,"Excess")</f>
        <v>0</v>
      </c>
      <c r="E29" s="6">
        <f>COUNTIFS('[1]Cycle counting report'!B:B,'[1]Daily IRA IVA Score card'!B:B,'[1]Cycle counting report'!Q:Q,{"short"})</f>
        <v>0</v>
      </c>
      <c r="F29" s="6">
        <f>COUNTIFS('[1]Cycle counting report'!B:B,'[1]Daily IRA IVA Score card'!B:B,'[1]Cycle counting report'!Q:Q,"Tallied")</f>
        <v>50</v>
      </c>
      <c r="G29" s="7">
        <f>SUMIF('[1]Cycle counting report'!B:B,'[1]Daily IRA IVA Score card'!B:B,'[1]Cycle counting report'!P:P)</f>
        <v>3416746.7800000003</v>
      </c>
      <c r="H29" s="8">
        <f>SUMIF('[1]Cycle counting report'!B:B,'[1]Daily IRA IVA Score card'!B:B,'[1]Cycle counting report'!K:K)</f>
        <v>0</v>
      </c>
      <c r="I29" s="8">
        <f>SUMIF('[1]Cycle counting report'!B:B,'[1]Daily IRA IVA Score card'!B:B,'[1]Cycle counting report'!M:M)</f>
        <v>0</v>
      </c>
      <c r="J29" s="8">
        <f t="shared" si="1"/>
        <v>0</v>
      </c>
      <c r="K29" s="8">
        <f t="shared" si="2"/>
        <v>0</v>
      </c>
      <c r="L29" s="9">
        <f t="shared" si="8"/>
        <v>1</v>
      </c>
      <c r="M29" s="9">
        <f t="shared" si="3"/>
        <v>1</v>
      </c>
      <c r="N29" s="10">
        <f t="shared" si="4"/>
        <v>3416746.7800000003</v>
      </c>
      <c r="O29" s="11">
        <f t="shared" si="5"/>
        <v>0</v>
      </c>
      <c r="P29" s="11">
        <f t="shared" si="6"/>
        <v>0</v>
      </c>
      <c r="Q29" s="12"/>
    </row>
    <row r="30" spans="1:17" x14ac:dyDescent="0.25">
      <c r="A30" s="4">
        <f t="shared" si="7"/>
        <v>29</v>
      </c>
      <c r="B30" s="5">
        <v>46141</v>
      </c>
      <c r="C30" s="6">
        <f t="shared" si="0"/>
        <v>53</v>
      </c>
      <c r="D30" s="6">
        <f>COUNTIFS('[1]Cycle counting report'!B:B,'[1]Daily IRA IVA Score card'!B:B,'[1]Cycle counting report'!Q:Q,"Excess")</f>
        <v>0</v>
      </c>
      <c r="E30" s="6">
        <f>COUNTIFS('[1]Cycle counting report'!B:B,'[1]Daily IRA IVA Score card'!B:B,'[1]Cycle counting report'!Q:Q,{"short"})</f>
        <v>0</v>
      </c>
      <c r="F30" s="6">
        <f>COUNTIFS('[1]Cycle counting report'!B:B,'[1]Daily IRA IVA Score card'!B:B,'[1]Cycle counting report'!Q:Q,"Tallied")</f>
        <v>53</v>
      </c>
      <c r="G30" s="7">
        <f>SUMIF('[1]Cycle counting report'!B:B,'[1]Daily IRA IVA Score card'!B:B,'[1]Cycle counting report'!P:P)</f>
        <v>21158631.419999998</v>
      </c>
      <c r="H30" s="8">
        <f>SUMIF('[1]Cycle counting report'!B:B,'[1]Daily IRA IVA Score card'!B:B,'[1]Cycle counting report'!K:K)</f>
        <v>0</v>
      </c>
      <c r="I30" s="8">
        <f>SUMIF('[1]Cycle counting report'!B:B,'[1]Daily IRA IVA Score card'!B:B,'[1]Cycle counting report'!M:M)</f>
        <v>0</v>
      </c>
      <c r="J30" s="8">
        <f t="shared" si="1"/>
        <v>0</v>
      </c>
      <c r="K30" s="8">
        <f t="shared" si="2"/>
        <v>0</v>
      </c>
      <c r="L30" s="9">
        <f t="shared" si="8"/>
        <v>1</v>
      </c>
      <c r="M30" s="9">
        <f t="shared" si="3"/>
        <v>1</v>
      </c>
      <c r="N30" s="10">
        <f t="shared" si="4"/>
        <v>21158631.419999998</v>
      </c>
      <c r="O30" s="11">
        <f t="shared" si="5"/>
        <v>0</v>
      </c>
      <c r="P30" s="11">
        <f t="shared" si="6"/>
        <v>0</v>
      </c>
      <c r="Q30" s="12"/>
    </row>
    <row r="31" spans="1:17" x14ac:dyDescent="0.25">
      <c r="A31" s="4">
        <f t="shared" si="7"/>
        <v>30</v>
      </c>
      <c r="B31" s="5">
        <v>46142</v>
      </c>
      <c r="C31" s="6">
        <f t="shared" si="0"/>
        <v>51</v>
      </c>
      <c r="D31" s="6">
        <f>COUNTIFS('[1]Cycle counting report'!B:B,'[1]Daily IRA IVA Score card'!B:B,'[1]Cycle counting report'!Q:Q,"Excess")</f>
        <v>0</v>
      </c>
      <c r="E31" s="6">
        <f>COUNTIFS('[1]Cycle counting report'!B:B,'[1]Daily IRA IVA Score card'!B:B,'[1]Cycle counting report'!Q:Q,{"short"})</f>
        <v>0</v>
      </c>
      <c r="F31" s="6">
        <f>COUNTIFS('[1]Cycle counting report'!B:B,'[1]Daily IRA IVA Score card'!B:B,'[1]Cycle counting report'!Q:Q,"Tallied")</f>
        <v>51</v>
      </c>
      <c r="G31" s="7">
        <f>SUMIF('[1]Cycle counting report'!B:B,'[1]Daily IRA IVA Score card'!B:B,'[1]Cycle counting report'!P:P)</f>
        <v>7105802.2599999998</v>
      </c>
      <c r="H31" s="8">
        <f>SUMIF('[1]Cycle counting report'!B:B,'[1]Daily IRA IVA Score card'!B:B,'[1]Cycle counting report'!K:K)</f>
        <v>0</v>
      </c>
      <c r="I31" s="8">
        <f>SUMIF('[1]Cycle counting report'!B:B,'[1]Daily IRA IVA Score card'!B:B,'[1]Cycle counting report'!M:M)</f>
        <v>0</v>
      </c>
      <c r="J31" s="8">
        <f t="shared" si="1"/>
        <v>0</v>
      </c>
      <c r="K31" s="8">
        <f t="shared" si="2"/>
        <v>0</v>
      </c>
      <c r="L31" s="9">
        <f t="shared" si="8"/>
        <v>1</v>
      </c>
      <c r="M31" s="9">
        <f t="shared" si="3"/>
        <v>1</v>
      </c>
      <c r="N31" s="10">
        <f t="shared" si="4"/>
        <v>7105802.2599999998</v>
      </c>
      <c r="O31" s="11">
        <f t="shared" si="5"/>
        <v>0</v>
      </c>
      <c r="P31" s="11">
        <f t="shared" si="6"/>
        <v>0</v>
      </c>
      <c r="Q31" s="12"/>
    </row>
    <row r="32" spans="1:17" x14ac:dyDescent="0.25">
      <c r="A32" s="4" t="s">
        <v>19</v>
      </c>
      <c r="B32" s="5"/>
      <c r="C32" s="6">
        <f t="shared" si="0"/>
        <v>0</v>
      </c>
      <c r="D32" s="6">
        <f>COUNTIFS('[1]Cycle counting report'!B:B,'[1]Daily IRA IVA Score card'!B:B,'[1]Cycle counting report'!Q:Q,"Excess")</f>
        <v>0</v>
      </c>
      <c r="E32" s="6">
        <f>COUNTIFS('[1]Cycle counting report'!B:B,'[1]Daily IRA IVA Score card'!B:B,'[1]Cycle counting report'!Q:Q,{"short"})</f>
        <v>0</v>
      </c>
      <c r="F32" s="6">
        <f>COUNTIFS('[1]Cycle counting report'!B:B,'[1]Daily IRA IVA Score card'!B:B,'[1]Cycle counting report'!Q:Q,"Tallied")</f>
        <v>0</v>
      </c>
      <c r="G32" s="7">
        <f>SUMIF('[1]Cycle counting report'!B:B,'[1]Daily IRA IVA Score card'!B:B,'[1]Cycle counting report'!P:P)</f>
        <v>0</v>
      </c>
      <c r="H32" s="8">
        <f>SUMIF('[1]Cycle counting report'!B:B,'[1]Daily IRA IVA Score card'!B:B,'[1]Cycle counting report'!K:K)</f>
        <v>0</v>
      </c>
      <c r="I32" s="8">
        <f>SUMIF('[1]Cycle counting report'!B:B,'[1]Daily IRA IVA Score card'!B:B,'[1]Cycle counting report'!M:M)</f>
        <v>0</v>
      </c>
      <c r="J32" s="8">
        <f t="shared" si="1"/>
        <v>0</v>
      </c>
      <c r="K32" s="8">
        <f t="shared" si="2"/>
        <v>0</v>
      </c>
      <c r="L32" s="9" t="str">
        <f t="shared" si="8"/>
        <v/>
      </c>
      <c r="M32" s="9" t="str">
        <f t="shared" si="3"/>
        <v/>
      </c>
      <c r="N32" s="10">
        <f t="shared" si="4"/>
        <v>0</v>
      </c>
      <c r="O32" s="11" t="str">
        <f t="shared" si="5"/>
        <v/>
      </c>
      <c r="P32" s="11" t="str">
        <f t="shared" si="6"/>
        <v/>
      </c>
      <c r="Q32" s="13"/>
    </row>
    <row r="33" spans="1:17" ht="15.75" x14ac:dyDescent="0.25">
      <c r="A33" s="14" t="s">
        <v>20</v>
      </c>
      <c r="B33" s="14" t="s">
        <v>20</v>
      </c>
      <c r="C33" s="14">
        <f t="shared" ref="C33:K33" si="10">SUM(C2:C32)</f>
        <v>963</v>
      </c>
      <c r="D33" s="14">
        <f t="shared" si="10"/>
        <v>0</v>
      </c>
      <c r="E33" s="14">
        <f t="shared" si="10"/>
        <v>0</v>
      </c>
      <c r="F33" s="14">
        <f t="shared" si="10"/>
        <v>963</v>
      </c>
      <c r="G33" s="15">
        <f t="shared" si="10"/>
        <v>457307507.92299986</v>
      </c>
      <c r="H33" s="14">
        <f t="shared" si="10"/>
        <v>0</v>
      </c>
      <c r="I33" s="14">
        <f t="shared" si="10"/>
        <v>0</v>
      </c>
      <c r="J33" s="14">
        <f t="shared" si="10"/>
        <v>0</v>
      </c>
      <c r="K33" s="14">
        <f t="shared" si="10"/>
        <v>0</v>
      </c>
      <c r="L33" s="16">
        <f>AVERAGE(L2:L32)</f>
        <v>1</v>
      </c>
      <c r="M33" s="16">
        <f>AVERAGE(M2:M32)</f>
        <v>1</v>
      </c>
      <c r="N33" s="15">
        <f>SUM(N2:N32)</f>
        <v>457307507.92299986</v>
      </c>
      <c r="O33" s="16">
        <f t="shared" ref="O33:P33" si="11">AVERAGE(O2:O32)</f>
        <v>0</v>
      </c>
      <c r="P33" s="16">
        <f t="shared" si="11"/>
        <v>0</v>
      </c>
      <c r="Q33" s="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topLeftCell="A19" workbookViewId="0">
      <selection activeCell="H36" sqref="H36"/>
    </sheetView>
  </sheetViews>
  <sheetFormatPr defaultRowHeight="15" x14ac:dyDescent="0.25"/>
  <cols>
    <col min="2" max="2" width="10.140625" bestFit="1" customWidth="1"/>
    <col min="7" max="7" width="19" bestFit="1" customWidth="1"/>
    <col min="14" max="14" width="19" bestFit="1" customWidth="1"/>
    <col min="17" max="17" width="25.5703125" bestFit="1" customWidth="1"/>
  </cols>
  <sheetData>
    <row r="1" spans="1:17" s="3" customFormat="1" ht="4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>
        <v>1</v>
      </c>
      <c r="B2" s="5">
        <v>46143</v>
      </c>
      <c r="C2" s="6">
        <f>SUM(D2:F2)</f>
        <v>0</v>
      </c>
      <c r="D2" s="6">
        <f>COUNTIFS('[2]Cycle counting report'!B:B,'[2]Daily IRA IVA Score card'!B:B,'[2]Cycle counting report'!Q:Q,"Excess")</f>
        <v>0</v>
      </c>
      <c r="E2" s="6">
        <f>COUNTIFS('[2]Cycle counting report'!B:B,'[2]Daily IRA IVA Score card'!B:B,'[2]Cycle counting report'!Q:Q,{"short"})</f>
        <v>0</v>
      </c>
      <c r="F2" s="6">
        <f>COUNTIFS('[2]Cycle counting report'!B:B,'[2]Daily IRA IVA Score card'!B:B,'[2]Cycle counting report'!Q:Q,"Tallied")</f>
        <v>0</v>
      </c>
      <c r="G2" s="7">
        <f>SUMIF('[2]Cycle counting report'!B:B,'[2]Daily IRA IVA Score card'!B:B,'[2]Cycle counting report'!P:P)</f>
        <v>0</v>
      </c>
      <c r="H2" s="8">
        <f>SUMIF('[2]Cycle counting report'!B:B,'[2]Daily IRA IVA Score card'!B:B,'[2]Cycle counting report'!K:K)</f>
        <v>0</v>
      </c>
      <c r="I2" s="8">
        <f>SUMIF('[2]Cycle counting report'!B:B,'[2]Daily IRA IVA Score card'!B:B,'[2]Cycle counting report'!M:M)</f>
        <v>0</v>
      </c>
      <c r="J2" s="8">
        <f>I2+H2</f>
        <v>0</v>
      </c>
      <c r="K2" s="8">
        <f>H2-I2</f>
        <v>0</v>
      </c>
      <c r="L2" s="9" t="str">
        <f>IFERROR(F2/C2,"")</f>
        <v/>
      </c>
      <c r="M2" s="9" t="str">
        <f>IFERROR(1-(J2/G2),"")</f>
        <v/>
      </c>
      <c r="N2" s="10">
        <f>G2-I2</f>
        <v>0</v>
      </c>
      <c r="O2" s="11" t="str">
        <f>IFERROR(I2/G2,"")</f>
        <v/>
      </c>
      <c r="P2" s="11" t="str">
        <f>IFERROR(H2/G2,"")</f>
        <v/>
      </c>
      <c r="Q2" s="17" t="s">
        <v>22</v>
      </c>
    </row>
    <row r="3" spans="1:17" x14ac:dyDescent="0.25">
      <c r="A3" s="4">
        <f>+A2+1</f>
        <v>2</v>
      </c>
      <c r="B3" s="5">
        <v>46144</v>
      </c>
      <c r="C3" s="6">
        <f t="shared" ref="C3:C32" si="0">SUM(D3:F3)</f>
        <v>51</v>
      </c>
      <c r="D3" s="6">
        <f>COUNTIFS('[2]Cycle counting report'!B:B,'[2]Daily IRA IVA Score card'!B:B,'[2]Cycle counting report'!Q:Q,"Excess")</f>
        <v>0</v>
      </c>
      <c r="E3" s="6">
        <f>COUNTIFS('[2]Cycle counting report'!B:B,'[2]Daily IRA IVA Score card'!B:B,'[2]Cycle counting report'!Q:Q,{"short"})</f>
        <v>0</v>
      </c>
      <c r="F3" s="6">
        <f>COUNTIFS('[2]Cycle counting report'!B:B,'[2]Daily IRA IVA Score card'!B:B,'[2]Cycle counting report'!Q:Q,"Tallied")</f>
        <v>51</v>
      </c>
      <c r="G3" s="7">
        <f>SUMIF('[2]Cycle counting report'!B:B,'[2]Daily IRA IVA Score card'!B:B,'[2]Cycle counting report'!P:P)</f>
        <v>1192990648.6800005</v>
      </c>
      <c r="H3" s="8">
        <f>SUMIF('[2]Cycle counting report'!B:B,'[2]Daily IRA IVA Score card'!B:B,'[2]Cycle counting report'!K:K)</f>
        <v>0</v>
      </c>
      <c r="I3" s="8">
        <f>SUMIF('[2]Cycle counting report'!B:B,'[2]Daily IRA IVA Score card'!B:B,'[2]Cycle counting report'!M:M)</f>
        <v>0</v>
      </c>
      <c r="J3" s="8">
        <f t="shared" ref="J3:J32" si="1">I3+H3</f>
        <v>0</v>
      </c>
      <c r="K3" s="8">
        <f t="shared" ref="K3:K32" si="2">H3-I3</f>
        <v>0</v>
      </c>
      <c r="L3" s="9">
        <f>IFERROR(F3/C3,"")</f>
        <v>1</v>
      </c>
      <c r="M3" s="9">
        <f t="shared" ref="M3:M32" si="3">IFERROR(1-(J3/G3),"")</f>
        <v>1</v>
      </c>
      <c r="N3" s="10">
        <f t="shared" ref="N3:N32" si="4">G3-I3</f>
        <v>1192990648.6800005</v>
      </c>
      <c r="O3" s="11">
        <f t="shared" ref="O3:O32" si="5">IFERROR(I3/G3,"")</f>
        <v>0</v>
      </c>
      <c r="P3" s="11">
        <f t="shared" ref="P3:P32" si="6">IFERROR(H3/G3,"")</f>
        <v>0</v>
      </c>
      <c r="Q3" s="12"/>
    </row>
    <row r="4" spans="1:17" x14ac:dyDescent="0.25">
      <c r="A4" s="4">
        <f t="shared" ref="A4:A31" si="7">+A3+1</f>
        <v>3</v>
      </c>
      <c r="B4" s="5">
        <v>46145</v>
      </c>
      <c r="C4" s="6">
        <f t="shared" si="0"/>
        <v>0</v>
      </c>
      <c r="D4" s="6">
        <f>COUNTIFS('[2]Cycle counting report'!B:B,'[2]Daily IRA IVA Score card'!B:B,'[2]Cycle counting report'!Q:Q,"Excess")</f>
        <v>0</v>
      </c>
      <c r="E4" s="6">
        <f>COUNTIFS('[2]Cycle counting report'!B:B,'[2]Daily IRA IVA Score card'!B:B,'[2]Cycle counting report'!Q:Q,{"short"})</f>
        <v>0</v>
      </c>
      <c r="F4" s="6">
        <f>COUNTIFS('[2]Cycle counting report'!B:B,'[2]Daily IRA IVA Score card'!B:B,'[2]Cycle counting report'!Q:Q,"Tallied")</f>
        <v>0</v>
      </c>
      <c r="G4" s="7">
        <f>SUMIF('[2]Cycle counting report'!B:B,'[2]Daily IRA IVA Score card'!B:B,'[2]Cycle counting report'!P:P)</f>
        <v>0</v>
      </c>
      <c r="H4" s="8">
        <f>SUMIF('[2]Cycle counting report'!B:B,'[2]Daily IRA IVA Score card'!B:B,'[2]Cycle counting report'!K:K)</f>
        <v>0</v>
      </c>
      <c r="I4" s="8">
        <f>SUMIF('[2]Cycle counting report'!B:B,'[2]Daily IRA IVA Score card'!B:B,'[2]Cycle counting report'!M:M)</f>
        <v>0</v>
      </c>
      <c r="J4" s="8">
        <f t="shared" si="1"/>
        <v>0</v>
      </c>
      <c r="K4" s="8">
        <f t="shared" si="2"/>
        <v>0</v>
      </c>
      <c r="L4" s="9" t="str">
        <f t="shared" ref="L4:L32" si="8">IFERROR(F4/C4,"")</f>
        <v/>
      </c>
      <c r="M4" s="9" t="str">
        <f t="shared" si="3"/>
        <v/>
      </c>
      <c r="N4" s="10">
        <f t="shared" si="4"/>
        <v>0</v>
      </c>
      <c r="O4" s="11" t="str">
        <f t="shared" si="5"/>
        <v/>
      </c>
      <c r="P4" s="11" t="str">
        <f t="shared" si="6"/>
        <v/>
      </c>
      <c r="Q4" s="12" t="s">
        <v>18</v>
      </c>
    </row>
    <row r="5" spans="1:17" x14ac:dyDescent="0.25">
      <c r="A5" s="4">
        <f t="shared" si="7"/>
        <v>4</v>
      </c>
      <c r="B5" s="5">
        <v>46146</v>
      </c>
      <c r="C5" s="6">
        <f t="shared" si="0"/>
        <v>51</v>
      </c>
      <c r="D5" s="6">
        <f>COUNTIFS('[2]Cycle counting report'!B:B,'[2]Daily IRA IVA Score card'!B:B,'[2]Cycle counting report'!Q:Q,"Excess")</f>
        <v>0</v>
      </c>
      <c r="E5" s="6">
        <f>COUNTIFS('[2]Cycle counting report'!B:B,'[2]Daily IRA IVA Score card'!B:B,'[2]Cycle counting report'!Q:Q,{"short"})</f>
        <v>0</v>
      </c>
      <c r="F5" s="6">
        <f>COUNTIFS('[2]Cycle counting report'!B:B,'[2]Daily IRA IVA Score card'!B:B,'[2]Cycle counting report'!Q:Q,"Tallied")</f>
        <v>51</v>
      </c>
      <c r="G5" s="7">
        <f>SUMIF('[2]Cycle counting report'!B:B,'[2]Daily IRA IVA Score card'!B:B,'[2]Cycle counting report'!P:P)</f>
        <v>3479763303.0900002</v>
      </c>
      <c r="H5" s="8">
        <f>SUMIF('[2]Cycle counting report'!B:B,'[2]Daily IRA IVA Score card'!B:B,'[2]Cycle counting report'!K:K)</f>
        <v>0</v>
      </c>
      <c r="I5" s="8">
        <f>SUMIF('[2]Cycle counting report'!B:B,'[2]Daily IRA IVA Score card'!B:B,'[2]Cycle counting report'!M:M)</f>
        <v>0</v>
      </c>
      <c r="J5" s="8">
        <f t="shared" si="1"/>
        <v>0</v>
      </c>
      <c r="K5" s="8">
        <f t="shared" si="2"/>
        <v>0</v>
      </c>
      <c r="L5" s="9">
        <f t="shared" si="8"/>
        <v>1</v>
      </c>
      <c r="M5" s="9">
        <f t="shared" si="3"/>
        <v>1</v>
      </c>
      <c r="N5" s="10">
        <f t="shared" si="4"/>
        <v>3479763303.0900002</v>
      </c>
      <c r="O5" s="11">
        <f t="shared" si="5"/>
        <v>0</v>
      </c>
      <c r="P5" s="11">
        <f t="shared" si="6"/>
        <v>0</v>
      </c>
      <c r="Q5" s="12"/>
    </row>
    <row r="6" spans="1:17" x14ac:dyDescent="0.25">
      <c r="A6" s="4">
        <f t="shared" si="7"/>
        <v>5</v>
      </c>
      <c r="B6" s="5">
        <v>46147</v>
      </c>
      <c r="C6" s="6">
        <f t="shared" si="0"/>
        <v>53</v>
      </c>
      <c r="D6" s="6">
        <f>COUNTIFS('[2]Cycle counting report'!B:B,'[2]Daily IRA IVA Score card'!B:B,'[2]Cycle counting report'!Q:Q,"Excess")</f>
        <v>0</v>
      </c>
      <c r="E6" s="6">
        <f>COUNTIFS('[2]Cycle counting report'!B:B,'[2]Daily IRA IVA Score card'!B:B,'[2]Cycle counting report'!Q:Q,{"short"})</f>
        <v>0</v>
      </c>
      <c r="F6" s="6">
        <f>COUNTIFS('[2]Cycle counting report'!B:B,'[2]Daily IRA IVA Score card'!B:B,'[2]Cycle counting report'!Q:Q,"Tallied")</f>
        <v>53</v>
      </c>
      <c r="G6" s="7">
        <f>SUMIF('[2]Cycle counting report'!B:B,'[2]Daily IRA IVA Score card'!B:B,'[2]Cycle counting report'!P:P)</f>
        <v>1018077982.8699999</v>
      </c>
      <c r="H6" s="8">
        <f>SUMIF('[2]Cycle counting report'!B:B,'[2]Daily IRA IVA Score card'!B:B,'[2]Cycle counting report'!K:K)</f>
        <v>0</v>
      </c>
      <c r="I6" s="8">
        <f>SUMIF('[2]Cycle counting report'!B:B,'[2]Daily IRA IVA Score card'!B:B,'[2]Cycle counting report'!M:M)</f>
        <v>0</v>
      </c>
      <c r="J6" s="8">
        <f t="shared" si="1"/>
        <v>0</v>
      </c>
      <c r="K6" s="8">
        <f t="shared" si="2"/>
        <v>0</v>
      </c>
      <c r="L6" s="9">
        <f t="shared" si="8"/>
        <v>1</v>
      </c>
      <c r="M6" s="9">
        <f t="shared" si="3"/>
        <v>1</v>
      </c>
      <c r="N6" s="10">
        <f t="shared" si="4"/>
        <v>1018077982.8699999</v>
      </c>
      <c r="O6" s="11">
        <f t="shared" si="5"/>
        <v>0</v>
      </c>
      <c r="P6" s="11">
        <f t="shared" si="6"/>
        <v>0</v>
      </c>
      <c r="Q6" s="12"/>
    </row>
    <row r="7" spans="1:17" x14ac:dyDescent="0.25">
      <c r="A7" s="4">
        <f t="shared" si="7"/>
        <v>6</v>
      </c>
      <c r="B7" s="5">
        <v>46148</v>
      </c>
      <c r="C7" s="6">
        <f t="shared" si="0"/>
        <v>55</v>
      </c>
      <c r="D7" s="6">
        <f>COUNTIFS('[2]Cycle counting report'!B:B,'[2]Daily IRA IVA Score card'!B:B,'[2]Cycle counting report'!Q:Q,"Excess")</f>
        <v>0</v>
      </c>
      <c r="E7" s="6">
        <f>COUNTIFS('[2]Cycle counting report'!B:B,'[2]Daily IRA IVA Score card'!B:B,'[2]Cycle counting report'!Q:Q,{"short"})</f>
        <v>0</v>
      </c>
      <c r="F7" s="6">
        <f>COUNTIFS('[2]Cycle counting report'!B:B,'[2]Daily IRA IVA Score card'!B:B,'[2]Cycle counting report'!Q:Q,"Tallied")</f>
        <v>55</v>
      </c>
      <c r="G7" s="7">
        <f>SUMIF('[2]Cycle counting report'!B:B,'[2]Daily IRA IVA Score card'!B:B,'[2]Cycle counting report'!P:P)</f>
        <v>1776213631.2500017</v>
      </c>
      <c r="H7" s="8">
        <f>SUMIF('[2]Cycle counting report'!B:B,'[2]Daily IRA IVA Score card'!B:B,'[2]Cycle counting report'!K:K)</f>
        <v>0</v>
      </c>
      <c r="I7" s="8">
        <f>SUMIF('[2]Cycle counting report'!B:B,'[2]Daily IRA IVA Score card'!B:B,'[2]Cycle counting report'!M:M)</f>
        <v>0</v>
      </c>
      <c r="J7" s="8">
        <f t="shared" si="1"/>
        <v>0</v>
      </c>
      <c r="K7" s="8">
        <f t="shared" si="2"/>
        <v>0</v>
      </c>
      <c r="L7" s="9">
        <f t="shared" si="8"/>
        <v>1</v>
      </c>
      <c r="M7" s="9">
        <f t="shared" si="3"/>
        <v>1</v>
      </c>
      <c r="N7" s="10">
        <f t="shared" si="4"/>
        <v>1776213631.2500017</v>
      </c>
      <c r="O7" s="11">
        <f t="shared" si="5"/>
        <v>0</v>
      </c>
      <c r="P7" s="11">
        <f t="shared" si="6"/>
        <v>0</v>
      </c>
      <c r="Q7" s="12"/>
    </row>
    <row r="8" spans="1:17" x14ac:dyDescent="0.25">
      <c r="A8" s="4">
        <f t="shared" si="7"/>
        <v>7</v>
      </c>
      <c r="B8" s="5">
        <v>46149</v>
      </c>
      <c r="C8" s="6">
        <f>SUM(D8:F8)</f>
        <v>49</v>
      </c>
      <c r="D8" s="6">
        <f>COUNTIFS('[2]Cycle counting report'!B:B,'[2]Daily IRA IVA Score card'!B:B,'[2]Cycle counting report'!Q:Q,"Excess")</f>
        <v>0</v>
      </c>
      <c r="E8" s="6">
        <f>COUNTIFS('[2]Cycle counting report'!B:B,'[2]Daily IRA IVA Score card'!B:B,'[2]Cycle counting report'!Q:Q,{"short"})</f>
        <v>0</v>
      </c>
      <c r="F8" s="6">
        <f>COUNTIFS('[2]Cycle counting report'!B:B,'[2]Daily IRA IVA Score card'!B:B,'[2]Cycle counting report'!Q:Q,"Tallied")</f>
        <v>49</v>
      </c>
      <c r="G8" s="7">
        <f>SUMIF('[2]Cycle counting report'!B:B,'[2]Daily IRA IVA Score card'!B:B,'[2]Cycle counting report'!P:P)</f>
        <v>576357340.59999967</v>
      </c>
      <c r="H8" s="8">
        <f>SUMIF('[2]Cycle counting report'!B:B,'[2]Daily IRA IVA Score card'!B:B,'[2]Cycle counting report'!K:K)</f>
        <v>0</v>
      </c>
      <c r="I8" s="8">
        <f>SUMIF('[2]Cycle counting report'!B:B,'[2]Daily IRA IVA Score card'!B:B,'[2]Cycle counting report'!M:M)</f>
        <v>0</v>
      </c>
      <c r="J8" s="8">
        <f t="shared" si="1"/>
        <v>0</v>
      </c>
      <c r="K8" s="8">
        <f t="shared" si="2"/>
        <v>0</v>
      </c>
      <c r="L8" s="9">
        <f t="shared" si="8"/>
        <v>1</v>
      </c>
      <c r="M8" s="9">
        <f t="shared" si="3"/>
        <v>1</v>
      </c>
      <c r="N8" s="10">
        <f t="shared" si="4"/>
        <v>576357340.59999967</v>
      </c>
      <c r="O8" s="11">
        <f t="shared" si="5"/>
        <v>0</v>
      </c>
      <c r="P8" s="11">
        <f t="shared" si="6"/>
        <v>0</v>
      </c>
      <c r="Q8" s="12"/>
    </row>
    <row r="9" spans="1:17" x14ac:dyDescent="0.25">
      <c r="A9" s="4">
        <f t="shared" si="7"/>
        <v>8</v>
      </c>
      <c r="B9" s="5">
        <v>46150</v>
      </c>
      <c r="C9" s="6">
        <f t="shared" si="0"/>
        <v>52</v>
      </c>
      <c r="D9" s="6">
        <f>COUNTIFS('[2]Cycle counting report'!B:B,'[2]Daily IRA IVA Score card'!B:B,'[2]Cycle counting report'!Q:Q,"Excess")</f>
        <v>0</v>
      </c>
      <c r="E9" s="6">
        <f>COUNTIFS('[2]Cycle counting report'!B:B,'[2]Daily IRA IVA Score card'!B:B,'[2]Cycle counting report'!Q:Q,{"short"})</f>
        <v>0</v>
      </c>
      <c r="F9" s="6">
        <f>COUNTIFS('[2]Cycle counting report'!B:B,'[2]Daily IRA IVA Score card'!B:B,'[2]Cycle counting report'!Q:Q,"Tallied")</f>
        <v>52</v>
      </c>
      <c r="G9" s="7">
        <f>SUMIF('[2]Cycle counting report'!B:B,'[2]Daily IRA IVA Score card'!B:B,'[2]Cycle counting report'!P:P)</f>
        <v>123193190.31999998</v>
      </c>
      <c r="H9" s="8">
        <f>SUMIF('[2]Cycle counting report'!B:B,'[2]Daily IRA IVA Score card'!B:B,'[2]Cycle counting report'!K:K)</f>
        <v>0</v>
      </c>
      <c r="I9" s="8">
        <f>SUMIF('[2]Cycle counting report'!B:B,'[2]Daily IRA IVA Score card'!B:B,'[2]Cycle counting report'!M:M)</f>
        <v>0</v>
      </c>
      <c r="J9" s="8">
        <f t="shared" si="1"/>
        <v>0</v>
      </c>
      <c r="K9" s="8">
        <f t="shared" si="2"/>
        <v>0</v>
      </c>
      <c r="L9" s="9">
        <f t="shared" si="8"/>
        <v>1</v>
      </c>
      <c r="M9" s="9">
        <f t="shared" si="3"/>
        <v>1</v>
      </c>
      <c r="N9" s="10">
        <f t="shared" si="4"/>
        <v>123193190.31999998</v>
      </c>
      <c r="O9" s="11">
        <f t="shared" si="5"/>
        <v>0</v>
      </c>
      <c r="P9" s="11">
        <f t="shared" si="6"/>
        <v>0</v>
      </c>
      <c r="Q9" s="12"/>
    </row>
    <row r="10" spans="1:17" x14ac:dyDescent="0.25">
      <c r="A10" s="4">
        <f t="shared" si="7"/>
        <v>9</v>
      </c>
      <c r="B10" s="5">
        <v>46151</v>
      </c>
      <c r="C10" s="6">
        <f t="shared" si="0"/>
        <v>53</v>
      </c>
      <c r="D10" s="6">
        <f>COUNTIFS('[2]Cycle counting report'!B:B,'[2]Daily IRA IVA Score card'!B:B,'[2]Cycle counting report'!Q:Q,"Excess")</f>
        <v>0</v>
      </c>
      <c r="E10" s="6">
        <f>COUNTIFS('[2]Cycle counting report'!B:B,'[2]Daily IRA IVA Score card'!B:B,'[2]Cycle counting report'!Q:Q,{"short"})</f>
        <v>0</v>
      </c>
      <c r="F10" s="6">
        <f>COUNTIFS('[2]Cycle counting report'!B:B,'[2]Daily IRA IVA Score card'!B:B,'[2]Cycle counting report'!Q:Q,"Tallied")</f>
        <v>53</v>
      </c>
      <c r="G10" s="7">
        <f>SUMIF('[2]Cycle counting report'!B:B,'[2]Daily IRA IVA Score card'!B:B,'[2]Cycle counting report'!P:P)</f>
        <v>282083200.56000012</v>
      </c>
      <c r="H10" s="8">
        <f>SUMIF('[2]Cycle counting report'!B:B,'[2]Daily IRA IVA Score card'!B:B,'[2]Cycle counting report'!K:K)</f>
        <v>0</v>
      </c>
      <c r="I10" s="8">
        <f>SUMIF('[2]Cycle counting report'!B:B,'[2]Daily IRA IVA Score card'!B:B,'[2]Cycle counting report'!M:M)</f>
        <v>0</v>
      </c>
      <c r="J10" s="8">
        <f t="shared" si="1"/>
        <v>0</v>
      </c>
      <c r="K10" s="8">
        <f t="shared" si="2"/>
        <v>0</v>
      </c>
      <c r="L10" s="9">
        <f t="shared" si="8"/>
        <v>1</v>
      </c>
      <c r="M10" s="9">
        <f t="shared" si="3"/>
        <v>1</v>
      </c>
      <c r="N10" s="10">
        <f t="shared" si="4"/>
        <v>282083200.56000012</v>
      </c>
      <c r="O10" s="11">
        <f t="shared" si="5"/>
        <v>0</v>
      </c>
      <c r="P10" s="11">
        <f t="shared" si="6"/>
        <v>0</v>
      </c>
      <c r="Q10" s="12"/>
    </row>
    <row r="11" spans="1:17" x14ac:dyDescent="0.25">
      <c r="A11" s="4">
        <f t="shared" si="7"/>
        <v>10</v>
      </c>
      <c r="B11" s="5">
        <v>46152</v>
      </c>
      <c r="C11" s="6">
        <f t="shared" si="0"/>
        <v>0</v>
      </c>
      <c r="D11" s="6">
        <f>COUNTIFS('[2]Cycle counting report'!B:B,'[2]Daily IRA IVA Score card'!B:B,'[2]Cycle counting report'!Q:Q,"Excess")</f>
        <v>0</v>
      </c>
      <c r="E11" s="6">
        <f>COUNTIFS('[2]Cycle counting report'!B:B,'[2]Daily IRA IVA Score card'!B:B,'[2]Cycle counting report'!Q:Q,{"short"})</f>
        <v>0</v>
      </c>
      <c r="F11" s="6">
        <f>COUNTIFS('[2]Cycle counting report'!B:B,'[2]Daily IRA IVA Score card'!B:B,'[2]Cycle counting report'!Q:Q,"Tallied")</f>
        <v>0</v>
      </c>
      <c r="G11" s="7">
        <f>SUMIF('[2]Cycle counting report'!B:B,'[2]Daily IRA IVA Score card'!B:B,'[2]Cycle counting report'!P:P)</f>
        <v>0</v>
      </c>
      <c r="H11" s="8">
        <f>SUMIF('[2]Cycle counting report'!B:B,'[2]Daily IRA IVA Score card'!B:B,'[2]Cycle counting report'!K:K)</f>
        <v>0</v>
      </c>
      <c r="I11" s="8">
        <f>SUMIF('[2]Cycle counting report'!B:B,'[2]Daily IRA IVA Score card'!B:B,'[2]Cycle counting report'!M:M)</f>
        <v>0</v>
      </c>
      <c r="J11" s="8">
        <f t="shared" si="1"/>
        <v>0</v>
      </c>
      <c r="K11" s="8">
        <f t="shared" si="2"/>
        <v>0</v>
      </c>
      <c r="L11" s="9" t="str">
        <f t="shared" si="8"/>
        <v/>
      </c>
      <c r="M11" s="9" t="str">
        <f t="shared" si="3"/>
        <v/>
      </c>
      <c r="N11" s="10">
        <f t="shared" si="4"/>
        <v>0</v>
      </c>
      <c r="O11" s="11" t="str">
        <f t="shared" si="5"/>
        <v/>
      </c>
      <c r="P11" s="11" t="str">
        <f t="shared" si="6"/>
        <v/>
      </c>
      <c r="Q11" s="12" t="s">
        <v>18</v>
      </c>
    </row>
    <row r="12" spans="1:17" x14ac:dyDescent="0.25">
      <c r="A12" s="4">
        <f t="shared" si="7"/>
        <v>11</v>
      </c>
      <c r="B12" s="5">
        <v>46153</v>
      </c>
      <c r="C12" s="6">
        <f t="shared" si="0"/>
        <v>52</v>
      </c>
      <c r="D12" s="6">
        <f>COUNTIFS('[2]Cycle counting report'!B:B,'[2]Daily IRA IVA Score card'!B:B,'[2]Cycle counting report'!Q:Q,"Excess")</f>
        <v>0</v>
      </c>
      <c r="E12" s="6">
        <f>COUNTIFS('[2]Cycle counting report'!B:B,'[2]Daily IRA IVA Score card'!B:B,'[2]Cycle counting report'!Q:Q,{"short"})</f>
        <v>0</v>
      </c>
      <c r="F12" s="6">
        <f>COUNTIFS('[2]Cycle counting report'!B:B,'[2]Daily IRA IVA Score card'!B:B,'[2]Cycle counting report'!Q:Q,"Tallied")</f>
        <v>52</v>
      </c>
      <c r="G12" s="7">
        <f>SUMIF('[2]Cycle counting report'!B:B,'[2]Daily IRA IVA Score card'!B:B,'[2]Cycle counting report'!P:P)</f>
        <v>62977332.139999993</v>
      </c>
      <c r="H12" s="8">
        <f>SUMIF('[2]Cycle counting report'!B:B,'[2]Daily IRA IVA Score card'!B:B,'[2]Cycle counting report'!K:K)</f>
        <v>0</v>
      </c>
      <c r="I12" s="8">
        <f>SUMIF('[2]Cycle counting report'!B:B,'[2]Daily IRA IVA Score card'!B:B,'[2]Cycle counting report'!M:M)</f>
        <v>0</v>
      </c>
      <c r="J12" s="8">
        <f t="shared" si="1"/>
        <v>0</v>
      </c>
      <c r="K12" s="8">
        <f t="shared" si="2"/>
        <v>0</v>
      </c>
      <c r="L12" s="9">
        <f t="shared" si="8"/>
        <v>1</v>
      </c>
      <c r="M12" s="9">
        <f t="shared" si="3"/>
        <v>1</v>
      </c>
      <c r="N12" s="10">
        <f t="shared" si="4"/>
        <v>62977332.139999993</v>
      </c>
      <c r="O12" s="11">
        <f t="shared" si="5"/>
        <v>0</v>
      </c>
      <c r="P12" s="11">
        <f t="shared" si="6"/>
        <v>0</v>
      </c>
      <c r="Q12" s="12"/>
    </row>
    <row r="13" spans="1:17" x14ac:dyDescent="0.25">
      <c r="A13" s="4">
        <f t="shared" si="7"/>
        <v>12</v>
      </c>
      <c r="B13" s="5">
        <v>46154</v>
      </c>
      <c r="C13" s="6">
        <f t="shared" si="0"/>
        <v>50</v>
      </c>
      <c r="D13" s="6">
        <f>COUNTIFS('[2]Cycle counting report'!B:B,'[2]Daily IRA IVA Score card'!B:B,'[2]Cycle counting report'!Q:Q,"Excess")</f>
        <v>0</v>
      </c>
      <c r="E13" s="6">
        <f>COUNTIFS('[2]Cycle counting report'!B:B,'[2]Daily IRA IVA Score card'!B:B,'[2]Cycle counting report'!Q:Q,{"short"})</f>
        <v>0</v>
      </c>
      <c r="F13" s="6">
        <f>COUNTIFS('[2]Cycle counting report'!B:B,'[2]Daily IRA IVA Score card'!B:B,'[2]Cycle counting report'!Q:Q,"Tallied")</f>
        <v>50</v>
      </c>
      <c r="G13" s="7">
        <f>SUMIF('[2]Cycle counting report'!B:B,'[2]Daily IRA IVA Score card'!B:B,'[2]Cycle counting report'!P:P)</f>
        <v>45457910.270000003</v>
      </c>
      <c r="H13" s="8">
        <f>SUMIF('[2]Cycle counting report'!B:B,'[2]Daily IRA IVA Score card'!B:B,'[2]Cycle counting report'!K:K)</f>
        <v>0</v>
      </c>
      <c r="I13" s="8">
        <f>SUMIF('[2]Cycle counting report'!B:B,'[2]Daily IRA IVA Score card'!B:B,'[2]Cycle counting report'!M:M)</f>
        <v>0</v>
      </c>
      <c r="J13" s="8">
        <f t="shared" si="1"/>
        <v>0</v>
      </c>
      <c r="K13" s="8">
        <f t="shared" si="2"/>
        <v>0</v>
      </c>
      <c r="L13" s="9">
        <f t="shared" si="8"/>
        <v>1</v>
      </c>
      <c r="M13" s="9">
        <f t="shared" si="3"/>
        <v>1</v>
      </c>
      <c r="N13" s="10">
        <f t="shared" si="4"/>
        <v>45457910.270000003</v>
      </c>
      <c r="O13" s="11">
        <f t="shared" si="5"/>
        <v>0</v>
      </c>
      <c r="P13" s="11">
        <f t="shared" si="6"/>
        <v>0</v>
      </c>
      <c r="Q13" s="12"/>
    </row>
    <row r="14" spans="1:17" x14ac:dyDescent="0.25">
      <c r="A14" s="4">
        <f t="shared" si="7"/>
        <v>13</v>
      </c>
      <c r="B14" s="5">
        <v>46155</v>
      </c>
      <c r="C14" s="6">
        <f t="shared" ref="C14" si="9">SUM(D14:F14)</f>
        <v>49</v>
      </c>
      <c r="D14" s="6">
        <f>COUNTIFS('[2]Cycle counting report'!B:B,'[2]Daily IRA IVA Score card'!B:B,'[2]Cycle counting report'!Q:Q,"Excess")</f>
        <v>0</v>
      </c>
      <c r="E14" s="6">
        <f>COUNTIFS('[2]Cycle counting report'!B:B,'[2]Daily IRA IVA Score card'!B:B,'[2]Cycle counting report'!Q:Q,{"short"})</f>
        <v>0</v>
      </c>
      <c r="F14" s="6">
        <f>COUNTIFS('[2]Cycle counting report'!B:B,'[2]Daily IRA IVA Score card'!B:B,'[2]Cycle counting report'!Q:Q,"Tallied")</f>
        <v>49</v>
      </c>
      <c r="G14" s="7">
        <f>SUMIF('[2]Cycle counting report'!B:B,'[2]Daily IRA IVA Score card'!B:B,'[2]Cycle counting report'!P:P)</f>
        <v>101055084.61000003</v>
      </c>
      <c r="H14" s="8">
        <f>SUMIF('[2]Cycle counting report'!B:B,'[2]Daily IRA IVA Score card'!B:B,'[2]Cycle counting report'!K:K)</f>
        <v>0</v>
      </c>
      <c r="I14" s="8">
        <f>SUMIF('[2]Cycle counting report'!B:B,'[2]Daily IRA IVA Score card'!B:B,'[2]Cycle counting report'!M:M)</f>
        <v>0</v>
      </c>
      <c r="J14" s="8">
        <f t="shared" si="1"/>
        <v>0</v>
      </c>
      <c r="K14" s="8">
        <f t="shared" si="2"/>
        <v>0</v>
      </c>
      <c r="L14" s="9">
        <f t="shared" si="8"/>
        <v>1</v>
      </c>
      <c r="M14" s="9">
        <f t="shared" si="3"/>
        <v>1</v>
      </c>
      <c r="N14" s="10">
        <f t="shared" si="4"/>
        <v>101055084.61000003</v>
      </c>
      <c r="O14" s="11">
        <f t="shared" si="5"/>
        <v>0</v>
      </c>
      <c r="P14" s="11">
        <f t="shared" si="6"/>
        <v>0</v>
      </c>
      <c r="Q14" s="12"/>
    </row>
    <row r="15" spans="1:17" x14ac:dyDescent="0.25">
      <c r="A15" s="4">
        <f t="shared" si="7"/>
        <v>14</v>
      </c>
      <c r="B15" s="5">
        <v>46156</v>
      </c>
      <c r="C15" s="6">
        <f t="shared" si="0"/>
        <v>50</v>
      </c>
      <c r="D15" s="6">
        <f>COUNTIFS('[2]Cycle counting report'!B:B,'[2]Daily IRA IVA Score card'!B:B,'[2]Cycle counting report'!Q:Q,"Excess")</f>
        <v>0</v>
      </c>
      <c r="E15" s="6">
        <f>COUNTIFS('[2]Cycle counting report'!B:B,'[2]Daily IRA IVA Score card'!B:B,'[2]Cycle counting report'!Q:Q,{"short"})</f>
        <v>0</v>
      </c>
      <c r="F15" s="6">
        <f>COUNTIFS('[2]Cycle counting report'!B:B,'[2]Daily IRA IVA Score card'!B:B,'[2]Cycle counting report'!Q:Q,"Tallied")</f>
        <v>50</v>
      </c>
      <c r="G15" s="7">
        <f>SUMIF('[2]Cycle counting report'!B:B,'[2]Daily IRA IVA Score card'!B:B,'[2]Cycle counting report'!P:P)</f>
        <v>78579121.649999991</v>
      </c>
      <c r="H15" s="8">
        <f>SUMIF('[2]Cycle counting report'!B:B,'[2]Daily IRA IVA Score card'!B:B,'[2]Cycle counting report'!K:K)</f>
        <v>0</v>
      </c>
      <c r="I15" s="8">
        <f>SUMIF('[2]Cycle counting report'!B:B,'[2]Daily IRA IVA Score card'!B:B,'[2]Cycle counting report'!M:M)</f>
        <v>0</v>
      </c>
      <c r="J15" s="8">
        <f t="shared" si="1"/>
        <v>0</v>
      </c>
      <c r="K15" s="8">
        <f t="shared" si="2"/>
        <v>0</v>
      </c>
      <c r="L15" s="9">
        <f t="shared" si="8"/>
        <v>1</v>
      </c>
      <c r="M15" s="9">
        <f t="shared" si="3"/>
        <v>1</v>
      </c>
      <c r="N15" s="10">
        <f t="shared" si="4"/>
        <v>78579121.649999991</v>
      </c>
      <c r="O15" s="11">
        <f t="shared" si="5"/>
        <v>0</v>
      </c>
      <c r="P15" s="11">
        <f t="shared" si="6"/>
        <v>0</v>
      </c>
      <c r="Q15" s="12"/>
    </row>
    <row r="16" spans="1:17" x14ac:dyDescent="0.25">
      <c r="A16" s="4">
        <f t="shared" si="7"/>
        <v>15</v>
      </c>
      <c r="B16" s="5">
        <v>46157</v>
      </c>
      <c r="C16" s="6">
        <f t="shared" si="0"/>
        <v>50</v>
      </c>
      <c r="D16" s="6">
        <f>COUNTIFS('[2]Cycle counting report'!B:B,'[2]Daily IRA IVA Score card'!B:B,'[2]Cycle counting report'!Q:Q,"Excess")</f>
        <v>0</v>
      </c>
      <c r="E16" s="6">
        <f>COUNTIFS('[2]Cycle counting report'!B:B,'[2]Daily IRA IVA Score card'!B:B,'[2]Cycle counting report'!Q:Q,{"short"})</f>
        <v>0</v>
      </c>
      <c r="F16" s="6">
        <f>COUNTIFS('[2]Cycle counting report'!B:B,'[2]Daily IRA IVA Score card'!B:B,'[2]Cycle counting report'!Q:Q,"Tallied")</f>
        <v>50</v>
      </c>
      <c r="G16" s="7">
        <f>SUMIF('[2]Cycle counting report'!B:B,'[2]Daily IRA IVA Score card'!B:B,'[2]Cycle counting report'!P:P)</f>
        <v>608169200.06000006</v>
      </c>
      <c r="H16" s="8">
        <f>SUMIF('[2]Cycle counting report'!B:B,'[2]Daily IRA IVA Score card'!B:B,'[2]Cycle counting report'!K:K)</f>
        <v>0</v>
      </c>
      <c r="I16" s="8">
        <f>SUMIF('[2]Cycle counting report'!B:B,'[2]Daily IRA IVA Score card'!B:B,'[2]Cycle counting report'!M:M)</f>
        <v>0</v>
      </c>
      <c r="J16" s="8">
        <f t="shared" si="1"/>
        <v>0</v>
      </c>
      <c r="K16" s="8">
        <f t="shared" si="2"/>
        <v>0</v>
      </c>
      <c r="L16" s="9">
        <f t="shared" si="8"/>
        <v>1</v>
      </c>
      <c r="M16" s="9">
        <f t="shared" si="3"/>
        <v>1</v>
      </c>
      <c r="N16" s="10">
        <f t="shared" si="4"/>
        <v>608169200.06000006</v>
      </c>
      <c r="O16" s="11">
        <f t="shared" si="5"/>
        <v>0</v>
      </c>
      <c r="P16" s="11">
        <f t="shared" si="6"/>
        <v>0</v>
      </c>
      <c r="Q16" s="12"/>
    </row>
    <row r="17" spans="1:17" x14ac:dyDescent="0.25">
      <c r="A17" s="4">
        <f t="shared" si="7"/>
        <v>16</v>
      </c>
      <c r="B17" s="5">
        <v>46158</v>
      </c>
      <c r="C17" s="6">
        <f t="shared" si="0"/>
        <v>52</v>
      </c>
      <c r="D17" s="6">
        <f>COUNTIFS('[2]Cycle counting report'!B:B,'[2]Daily IRA IVA Score card'!B:B,'[2]Cycle counting report'!Q:Q,"Excess")</f>
        <v>0</v>
      </c>
      <c r="E17" s="6">
        <f>COUNTIFS('[2]Cycle counting report'!B:B,'[2]Daily IRA IVA Score card'!B:B,'[2]Cycle counting report'!Q:Q,{"short"})</f>
        <v>0</v>
      </c>
      <c r="F17" s="6">
        <f>COUNTIFS('[2]Cycle counting report'!B:B,'[2]Daily IRA IVA Score card'!B:B,'[2]Cycle counting report'!Q:Q,"Tallied")</f>
        <v>52</v>
      </c>
      <c r="G17" s="7">
        <f>SUMIF('[2]Cycle counting report'!B:B,'[2]Daily IRA IVA Score card'!B:B,'[2]Cycle counting report'!P:P)</f>
        <v>65755013.060000002</v>
      </c>
      <c r="H17" s="8">
        <f>SUMIF('[2]Cycle counting report'!B:B,'[2]Daily IRA IVA Score card'!B:B,'[2]Cycle counting report'!K:K)</f>
        <v>0</v>
      </c>
      <c r="I17" s="8">
        <f>SUMIF('[2]Cycle counting report'!B:B,'[2]Daily IRA IVA Score card'!B:B,'[2]Cycle counting report'!M:M)</f>
        <v>0</v>
      </c>
      <c r="J17" s="8">
        <f t="shared" si="1"/>
        <v>0</v>
      </c>
      <c r="K17" s="8">
        <f t="shared" si="2"/>
        <v>0</v>
      </c>
      <c r="L17" s="9">
        <f t="shared" si="8"/>
        <v>1</v>
      </c>
      <c r="M17" s="9">
        <f t="shared" si="3"/>
        <v>1</v>
      </c>
      <c r="N17" s="10">
        <f t="shared" si="4"/>
        <v>65755013.060000002</v>
      </c>
      <c r="O17" s="11">
        <f t="shared" si="5"/>
        <v>0</v>
      </c>
      <c r="P17" s="11">
        <f t="shared" si="6"/>
        <v>0</v>
      </c>
      <c r="Q17" s="12"/>
    </row>
    <row r="18" spans="1:17" x14ac:dyDescent="0.25">
      <c r="A18" s="4">
        <f t="shared" si="7"/>
        <v>17</v>
      </c>
      <c r="B18" s="5">
        <v>46159</v>
      </c>
      <c r="C18" s="6">
        <f t="shared" si="0"/>
        <v>0</v>
      </c>
      <c r="D18" s="6">
        <f>COUNTIFS('[2]Cycle counting report'!B:B,'[2]Daily IRA IVA Score card'!B:B,'[2]Cycle counting report'!Q:Q,"Excess")</f>
        <v>0</v>
      </c>
      <c r="E18" s="6">
        <f>COUNTIFS('[2]Cycle counting report'!B:B,'[2]Daily IRA IVA Score card'!B:B,'[2]Cycle counting report'!Q:Q,{"short"})</f>
        <v>0</v>
      </c>
      <c r="F18" s="6">
        <f>COUNTIFS('[2]Cycle counting report'!B:B,'[2]Daily IRA IVA Score card'!B:B,'[2]Cycle counting report'!Q:Q,"Tallied")</f>
        <v>0</v>
      </c>
      <c r="G18" s="7">
        <f>SUMIF('[2]Cycle counting report'!B:B,'[2]Daily IRA IVA Score card'!B:B,'[2]Cycle counting report'!P:P)</f>
        <v>0</v>
      </c>
      <c r="H18" s="8">
        <f>SUMIF('[2]Cycle counting report'!B:B,'[2]Daily IRA IVA Score card'!B:B,'[2]Cycle counting report'!K:K)</f>
        <v>0</v>
      </c>
      <c r="I18" s="8">
        <f>SUMIF('[2]Cycle counting report'!B:B,'[2]Daily IRA IVA Score card'!B:B,'[2]Cycle counting report'!M:M)</f>
        <v>0</v>
      </c>
      <c r="J18" s="8">
        <f t="shared" si="1"/>
        <v>0</v>
      </c>
      <c r="K18" s="8">
        <f t="shared" si="2"/>
        <v>0</v>
      </c>
      <c r="L18" s="9" t="str">
        <f t="shared" si="8"/>
        <v/>
      </c>
      <c r="M18" s="9" t="str">
        <f t="shared" si="3"/>
        <v/>
      </c>
      <c r="N18" s="10">
        <f t="shared" si="4"/>
        <v>0</v>
      </c>
      <c r="O18" s="11" t="str">
        <f t="shared" si="5"/>
        <v/>
      </c>
      <c r="P18" s="11" t="str">
        <f t="shared" si="6"/>
        <v/>
      </c>
      <c r="Q18" s="12" t="s">
        <v>18</v>
      </c>
    </row>
    <row r="19" spans="1:17" x14ac:dyDescent="0.25">
      <c r="A19" s="4">
        <f t="shared" si="7"/>
        <v>18</v>
      </c>
      <c r="B19" s="5">
        <v>46160</v>
      </c>
      <c r="C19" s="6">
        <f t="shared" si="0"/>
        <v>50</v>
      </c>
      <c r="D19" s="6">
        <f>COUNTIFS('[2]Cycle counting report'!B:B,'[2]Daily IRA IVA Score card'!B:B,'[2]Cycle counting report'!Q:Q,"Excess")</f>
        <v>0</v>
      </c>
      <c r="E19" s="6">
        <f>COUNTIFS('[2]Cycle counting report'!B:B,'[2]Daily IRA IVA Score card'!B:B,'[2]Cycle counting report'!Q:Q,{"short"})</f>
        <v>0</v>
      </c>
      <c r="F19" s="6">
        <f>COUNTIFS('[2]Cycle counting report'!B:B,'[2]Daily IRA IVA Score card'!B:B,'[2]Cycle counting report'!Q:Q,"Tallied")</f>
        <v>50</v>
      </c>
      <c r="G19" s="7">
        <f>SUMIF('[2]Cycle counting report'!B:B,'[2]Daily IRA IVA Score card'!B:B,'[2]Cycle counting report'!P:P)</f>
        <v>89550357.799999937</v>
      </c>
      <c r="H19" s="8">
        <f>SUMIF('[2]Cycle counting report'!B:B,'[2]Daily IRA IVA Score card'!B:B,'[2]Cycle counting report'!K:K)</f>
        <v>0</v>
      </c>
      <c r="I19" s="8">
        <f>SUMIF('[2]Cycle counting report'!B:B,'[2]Daily IRA IVA Score card'!B:B,'[2]Cycle counting report'!M:M)</f>
        <v>0</v>
      </c>
      <c r="J19" s="8">
        <f t="shared" si="1"/>
        <v>0</v>
      </c>
      <c r="K19" s="8">
        <f t="shared" si="2"/>
        <v>0</v>
      </c>
      <c r="L19" s="9">
        <f t="shared" si="8"/>
        <v>1</v>
      </c>
      <c r="M19" s="9">
        <f t="shared" si="3"/>
        <v>1</v>
      </c>
      <c r="N19" s="10">
        <f t="shared" si="4"/>
        <v>89550357.799999937</v>
      </c>
      <c r="O19" s="11">
        <f t="shared" si="5"/>
        <v>0</v>
      </c>
      <c r="P19" s="11">
        <f t="shared" si="6"/>
        <v>0</v>
      </c>
      <c r="Q19" s="12"/>
    </row>
    <row r="20" spans="1:17" x14ac:dyDescent="0.25">
      <c r="A20" s="4">
        <f t="shared" si="7"/>
        <v>19</v>
      </c>
      <c r="B20" s="5">
        <v>46161</v>
      </c>
      <c r="C20" s="6">
        <f t="shared" si="0"/>
        <v>50</v>
      </c>
      <c r="D20" s="6">
        <f>COUNTIFS('[2]Cycle counting report'!B:B,'[2]Daily IRA IVA Score card'!B:B,'[2]Cycle counting report'!Q:Q,"Excess")</f>
        <v>0</v>
      </c>
      <c r="E20" s="6">
        <f>COUNTIFS('[2]Cycle counting report'!B:B,'[2]Daily IRA IVA Score card'!B:B,'[2]Cycle counting report'!Q:Q,{"short"})</f>
        <v>0</v>
      </c>
      <c r="F20" s="6">
        <f>COUNTIFS('[2]Cycle counting report'!B:B,'[2]Daily IRA IVA Score card'!B:B,'[2]Cycle counting report'!Q:Q,"Tallied")</f>
        <v>50</v>
      </c>
      <c r="G20" s="7">
        <f>SUMIF('[2]Cycle counting report'!B:B,'[2]Daily IRA IVA Score card'!B:B,'[2]Cycle counting report'!P:P)</f>
        <v>110099084.96000001</v>
      </c>
      <c r="H20" s="8">
        <f>SUMIF('[2]Cycle counting report'!B:B,'[2]Daily IRA IVA Score card'!B:B,'[2]Cycle counting report'!K:K)</f>
        <v>0</v>
      </c>
      <c r="I20" s="8">
        <f>SUMIF('[2]Cycle counting report'!B:B,'[2]Daily IRA IVA Score card'!B:B,'[2]Cycle counting report'!M:M)</f>
        <v>0</v>
      </c>
      <c r="J20" s="8">
        <f t="shared" si="1"/>
        <v>0</v>
      </c>
      <c r="K20" s="8">
        <f t="shared" si="2"/>
        <v>0</v>
      </c>
      <c r="L20" s="9">
        <f t="shared" si="8"/>
        <v>1</v>
      </c>
      <c r="M20" s="9">
        <f t="shared" si="3"/>
        <v>1</v>
      </c>
      <c r="N20" s="10">
        <f t="shared" si="4"/>
        <v>110099084.96000001</v>
      </c>
      <c r="O20" s="11">
        <f t="shared" si="5"/>
        <v>0</v>
      </c>
      <c r="P20" s="11">
        <f t="shared" si="6"/>
        <v>0</v>
      </c>
      <c r="Q20" s="12"/>
    </row>
    <row r="21" spans="1:17" x14ac:dyDescent="0.25">
      <c r="A21" s="4">
        <f t="shared" si="7"/>
        <v>20</v>
      </c>
      <c r="B21" s="5">
        <v>46162</v>
      </c>
      <c r="C21" s="6">
        <f t="shared" si="0"/>
        <v>50</v>
      </c>
      <c r="D21" s="6">
        <f>COUNTIFS('[2]Cycle counting report'!B:B,'[2]Daily IRA IVA Score card'!B:B,'[2]Cycle counting report'!Q:Q,"Excess")</f>
        <v>0</v>
      </c>
      <c r="E21" s="6">
        <f>COUNTIFS('[2]Cycle counting report'!B:B,'[2]Daily IRA IVA Score card'!B:B,'[2]Cycle counting report'!Q:Q,{"short"})</f>
        <v>0</v>
      </c>
      <c r="F21" s="6">
        <f>COUNTIFS('[2]Cycle counting report'!B:B,'[2]Daily IRA IVA Score card'!B:B,'[2]Cycle counting report'!Q:Q,"Tallied")</f>
        <v>50</v>
      </c>
      <c r="G21" s="7">
        <f>SUMIF('[2]Cycle counting report'!B:B,'[2]Daily IRA IVA Score card'!B:B,'[2]Cycle counting report'!P:P)</f>
        <v>208440855.38000005</v>
      </c>
      <c r="H21" s="8">
        <f>SUMIF('[2]Cycle counting report'!B:B,'[2]Daily IRA IVA Score card'!B:B,'[2]Cycle counting report'!K:K)</f>
        <v>0</v>
      </c>
      <c r="I21" s="8">
        <f>SUMIF('[2]Cycle counting report'!B:B,'[2]Daily IRA IVA Score card'!B:B,'[2]Cycle counting report'!M:M)</f>
        <v>0</v>
      </c>
      <c r="J21" s="8">
        <f t="shared" si="1"/>
        <v>0</v>
      </c>
      <c r="K21" s="8">
        <f t="shared" si="2"/>
        <v>0</v>
      </c>
      <c r="L21" s="9">
        <f t="shared" si="8"/>
        <v>1</v>
      </c>
      <c r="M21" s="9">
        <f t="shared" si="3"/>
        <v>1</v>
      </c>
      <c r="N21" s="10">
        <f t="shared" si="4"/>
        <v>208440855.38000005</v>
      </c>
      <c r="O21" s="11">
        <f t="shared" si="5"/>
        <v>0</v>
      </c>
      <c r="P21" s="11">
        <f t="shared" si="6"/>
        <v>0</v>
      </c>
      <c r="Q21" s="12"/>
    </row>
    <row r="22" spans="1:17" x14ac:dyDescent="0.25">
      <c r="A22" s="4">
        <f t="shared" si="7"/>
        <v>21</v>
      </c>
      <c r="B22" s="5">
        <v>46163</v>
      </c>
      <c r="C22" s="6">
        <f t="shared" si="0"/>
        <v>48</v>
      </c>
      <c r="D22" s="6">
        <f>COUNTIFS('[2]Cycle counting report'!B:B,'[2]Daily IRA IVA Score card'!B:B,'[2]Cycle counting report'!Q:Q,"Excess")</f>
        <v>0</v>
      </c>
      <c r="E22" s="6">
        <f>COUNTIFS('[2]Cycle counting report'!B:B,'[2]Daily IRA IVA Score card'!B:B,'[2]Cycle counting report'!Q:Q,{"short"})</f>
        <v>0</v>
      </c>
      <c r="F22" s="6">
        <f>COUNTIFS('[2]Cycle counting report'!B:B,'[2]Daily IRA IVA Score card'!B:B,'[2]Cycle counting report'!Q:Q,"Tallied")</f>
        <v>48</v>
      </c>
      <c r="G22" s="7">
        <f>SUMIF('[2]Cycle counting report'!B:B,'[2]Daily IRA IVA Score card'!B:B,'[2]Cycle counting report'!P:P)</f>
        <v>433194358.06999999</v>
      </c>
      <c r="H22" s="8">
        <f>SUMIF('[2]Cycle counting report'!B:B,'[2]Daily IRA IVA Score card'!B:B,'[2]Cycle counting report'!K:K)</f>
        <v>0</v>
      </c>
      <c r="I22" s="8">
        <f>SUMIF('[2]Cycle counting report'!B:B,'[2]Daily IRA IVA Score card'!B:B,'[2]Cycle counting report'!M:M)</f>
        <v>0</v>
      </c>
      <c r="J22" s="8">
        <f t="shared" si="1"/>
        <v>0</v>
      </c>
      <c r="K22" s="8">
        <f t="shared" si="2"/>
        <v>0</v>
      </c>
      <c r="L22" s="9">
        <f t="shared" si="8"/>
        <v>1</v>
      </c>
      <c r="M22" s="9">
        <f t="shared" si="3"/>
        <v>1</v>
      </c>
      <c r="N22" s="10">
        <f t="shared" si="4"/>
        <v>433194358.06999999</v>
      </c>
      <c r="O22" s="11">
        <f t="shared" si="5"/>
        <v>0</v>
      </c>
      <c r="P22" s="11">
        <f t="shared" si="6"/>
        <v>0</v>
      </c>
      <c r="Q22" s="12"/>
    </row>
    <row r="23" spans="1:17" x14ac:dyDescent="0.25">
      <c r="A23" s="4">
        <f t="shared" si="7"/>
        <v>22</v>
      </c>
      <c r="B23" s="5">
        <v>46164</v>
      </c>
      <c r="C23" s="6">
        <f t="shared" si="0"/>
        <v>52</v>
      </c>
      <c r="D23" s="6">
        <f>COUNTIFS('[2]Cycle counting report'!B:B,'[2]Daily IRA IVA Score card'!B:B,'[2]Cycle counting report'!Q:Q,"Excess")</f>
        <v>0</v>
      </c>
      <c r="E23" s="6">
        <f>COUNTIFS('[2]Cycle counting report'!B:B,'[2]Daily IRA IVA Score card'!B:B,'[2]Cycle counting report'!Q:Q,{"short"})</f>
        <v>0</v>
      </c>
      <c r="F23" s="6">
        <f>COUNTIFS('[2]Cycle counting report'!B:B,'[2]Daily IRA IVA Score card'!B:B,'[2]Cycle counting report'!Q:Q,"Tallied")</f>
        <v>52</v>
      </c>
      <c r="G23" s="7">
        <f>SUMIF('[2]Cycle counting report'!B:B,'[2]Daily IRA IVA Score card'!B:B,'[2]Cycle counting report'!P:P)</f>
        <v>57073017.989999995</v>
      </c>
      <c r="H23" s="8">
        <f>SUMIF('[2]Cycle counting report'!B:B,'[2]Daily IRA IVA Score card'!B:B,'[2]Cycle counting report'!K:K)</f>
        <v>0</v>
      </c>
      <c r="I23" s="8">
        <f>SUMIF('[2]Cycle counting report'!B:B,'[2]Daily IRA IVA Score card'!B:B,'[2]Cycle counting report'!M:M)</f>
        <v>0</v>
      </c>
      <c r="J23" s="8">
        <f t="shared" si="1"/>
        <v>0</v>
      </c>
      <c r="K23" s="8">
        <f t="shared" si="2"/>
        <v>0</v>
      </c>
      <c r="L23" s="9">
        <f t="shared" si="8"/>
        <v>1</v>
      </c>
      <c r="M23" s="9">
        <f t="shared" si="3"/>
        <v>1</v>
      </c>
      <c r="N23" s="10">
        <f t="shared" si="4"/>
        <v>57073017.989999995</v>
      </c>
      <c r="O23" s="11">
        <f t="shared" si="5"/>
        <v>0</v>
      </c>
      <c r="P23" s="11">
        <f t="shared" si="6"/>
        <v>0</v>
      </c>
      <c r="Q23" s="12"/>
    </row>
    <row r="24" spans="1:17" x14ac:dyDescent="0.25">
      <c r="A24" s="4">
        <f t="shared" si="7"/>
        <v>23</v>
      </c>
      <c r="B24" s="5">
        <v>46165</v>
      </c>
      <c r="C24" s="6">
        <f t="shared" si="0"/>
        <v>54</v>
      </c>
      <c r="D24" s="6">
        <f>COUNTIFS('[2]Cycle counting report'!B:B,'[2]Daily IRA IVA Score card'!B:B,'[2]Cycle counting report'!Q:Q,"Excess")</f>
        <v>0</v>
      </c>
      <c r="E24" s="6">
        <f>COUNTIFS('[2]Cycle counting report'!B:B,'[2]Daily IRA IVA Score card'!B:B,'[2]Cycle counting report'!Q:Q,{"short"})</f>
        <v>0</v>
      </c>
      <c r="F24" s="6">
        <f>COUNTIFS('[2]Cycle counting report'!B:B,'[2]Daily IRA IVA Score card'!B:B,'[2]Cycle counting report'!Q:Q,"Tallied")</f>
        <v>54</v>
      </c>
      <c r="G24" s="7">
        <f>SUMIF('[2]Cycle counting report'!B:B,'[2]Daily IRA IVA Score card'!B:B,'[2]Cycle counting report'!P:P)</f>
        <v>81004879.899999991</v>
      </c>
      <c r="H24" s="8">
        <f>SUMIF('[2]Cycle counting report'!B:B,'[2]Daily IRA IVA Score card'!B:B,'[2]Cycle counting report'!K:K)</f>
        <v>0</v>
      </c>
      <c r="I24" s="8">
        <f>SUMIF('[2]Cycle counting report'!B:B,'[2]Daily IRA IVA Score card'!B:B,'[2]Cycle counting report'!M:M)</f>
        <v>0</v>
      </c>
      <c r="J24" s="8">
        <f t="shared" si="1"/>
        <v>0</v>
      </c>
      <c r="K24" s="8">
        <f t="shared" si="2"/>
        <v>0</v>
      </c>
      <c r="L24" s="9">
        <f t="shared" si="8"/>
        <v>1</v>
      </c>
      <c r="M24" s="9">
        <f t="shared" si="3"/>
        <v>1</v>
      </c>
      <c r="N24" s="10">
        <f t="shared" si="4"/>
        <v>81004879.899999991</v>
      </c>
      <c r="O24" s="11">
        <f t="shared" si="5"/>
        <v>0</v>
      </c>
      <c r="P24" s="11">
        <f t="shared" si="6"/>
        <v>0</v>
      </c>
      <c r="Q24" s="12"/>
    </row>
    <row r="25" spans="1:17" x14ac:dyDescent="0.25">
      <c r="A25" s="4">
        <f t="shared" si="7"/>
        <v>24</v>
      </c>
      <c r="B25" s="5">
        <v>46166</v>
      </c>
      <c r="C25" s="6">
        <f t="shared" si="0"/>
        <v>0</v>
      </c>
      <c r="D25" s="6">
        <f>COUNTIFS('[2]Cycle counting report'!B:B,'[2]Daily IRA IVA Score card'!B:B,'[2]Cycle counting report'!Q:Q,"Excess")</f>
        <v>0</v>
      </c>
      <c r="E25" s="6">
        <f>COUNTIFS('[2]Cycle counting report'!B:B,'[2]Daily IRA IVA Score card'!B:B,'[2]Cycle counting report'!Q:Q,{"short"})</f>
        <v>0</v>
      </c>
      <c r="F25" s="6">
        <f>COUNTIFS('[2]Cycle counting report'!B:B,'[2]Daily IRA IVA Score card'!B:B,'[2]Cycle counting report'!Q:Q,"Tallied")</f>
        <v>0</v>
      </c>
      <c r="G25" s="7">
        <f>SUMIF('[2]Cycle counting report'!B:B,'[2]Daily IRA IVA Score card'!B:B,'[2]Cycle counting report'!P:P)</f>
        <v>0</v>
      </c>
      <c r="H25" s="8">
        <f>SUMIF('[2]Cycle counting report'!B:B,'[2]Daily IRA IVA Score card'!B:B,'[2]Cycle counting report'!K:K)</f>
        <v>0</v>
      </c>
      <c r="I25" s="8">
        <f>SUMIF('[2]Cycle counting report'!B:B,'[2]Daily IRA IVA Score card'!B:B,'[2]Cycle counting report'!M:M)</f>
        <v>0</v>
      </c>
      <c r="J25" s="8">
        <f t="shared" si="1"/>
        <v>0</v>
      </c>
      <c r="K25" s="8">
        <f t="shared" si="2"/>
        <v>0</v>
      </c>
      <c r="L25" s="9" t="str">
        <f t="shared" si="8"/>
        <v/>
      </c>
      <c r="M25" s="9" t="str">
        <f t="shared" si="3"/>
        <v/>
      </c>
      <c r="N25" s="10">
        <f t="shared" si="4"/>
        <v>0</v>
      </c>
      <c r="O25" s="11" t="str">
        <f t="shared" si="5"/>
        <v/>
      </c>
      <c r="P25" s="11" t="str">
        <f t="shared" si="6"/>
        <v/>
      </c>
      <c r="Q25" s="12" t="s">
        <v>18</v>
      </c>
    </row>
    <row r="26" spans="1:17" x14ac:dyDescent="0.25">
      <c r="A26" s="4">
        <f t="shared" si="7"/>
        <v>25</v>
      </c>
      <c r="B26" s="5">
        <v>46167</v>
      </c>
      <c r="C26" s="6">
        <f t="shared" si="0"/>
        <v>50</v>
      </c>
      <c r="D26" s="6">
        <f>COUNTIFS('[2]Cycle counting report'!B:B,'[2]Daily IRA IVA Score card'!B:B,'[2]Cycle counting report'!Q:Q,"Excess")</f>
        <v>0</v>
      </c>
      <c r="E26" s="6">
        <f>COUNTIFS('[2]Cycle counting report'!B:B,'[2]Daily IRA IVA Score card'!B:B,'[2]Cycle counting report'!Q:Q,{"short"})</f>
        <v>0</v>
      </c>
      <c r="F26" s="6">
        <f>COUNTIFS('[2]Cycle counting report'!B:B,'[2]Daily IRA IVA Score card'!B:B,'[2]Cycle counting report'!Q:Q,"Tallied")</f>
        <v>50</v>
      </c>
      <c r="G26" s="7">
        <f>SUMIF('[2]Cycle counting report'!B:B,'[2]Daily IRA IVA Score card'!B:B,'[2]Cycle counting report'!P:P)</f>
        <v>236307651.36000001</v>
      </c>
      <c r="H26" s="8">
        <f>SUMIF('[2]Cycle counting report'!B:B,'[2]Daily IRA IVA Score card'!B:B,'[2]Cycle counting report'!K:K)</f>
        <v>0</v>
      </c>
      <c r="I26" s="8">
        <f>SUMIF('[2]Cycle counting report'!B:B,'[2]Daily IRA IVA Score card'!B:B,'[2]Cycle counting report'!M:M)</f>
        <v>0</v>
      </c>
      <c r="J26" s="8">
        <f t="shared" si="1"/>
        <v>0</v>
      </c>
      <c r="K26" s="8">
        <f t="shared" si="2"/>
        <v>0</v>
      </c>
      <c r="L26" s="9">
        <f t="shared" si="8"/>
        <v>1</v>
      </c>
      <c r="M26" s="9">
        <f t="shared" si="3"/>
        <v>1</v>
      </c>
      <c r="N26" s="10">
        <f t="shared" si="4"/>
        <v>236307651.36000001</v>
      </c>
      <c r="O26" s="11">
        <f t="shared" si="5"/>
        <v>0</v>
      </c>
      <c r="P26" s="11">
        <f t="shared" si="6"/>
        <v>0</v>
      </c>
      <c r="Q26" s="12"/>
    </row>
    <row r="27" spans="1:17" x14ac:dyDescent="0.25">
      <c r="A27" s="4">
        <f t="shared" si="7"/>
        <v>26</v>
      </c>
      <c r="B27" s="5">
        <v>46168</v>
      </c>
      <c r="C27" s="6">
        <f t="shared" si="0"/>
        <v>50</v>
      </c>
      <c r="D27" s="6">
        <f>COUNTIFS('[2]Cycle counting report'!B:B,'[2]Daily IRA IVA Score card'!B:B,'[2]Cycle counting report'!Q:Q,"Excess")</f>
        <v>0</v>
      </c>
      <c r="E27" s="6">
        <f>COUNTIFS('[2]Cycle counting report'!B:B,'[2]Daily IRA IVA Score card'!B:B,'[2]Cycle counting report'!Q:Q,{"short"})</f>
        <v>0</v>
      </c>
      <c r="F27" s="6">
        <f>COUNTIFS('[2]Cycle counting report'!B:B,'[2]Daily IRA IVA Score card'!B:B,'[2]Cycle counting report'!Q:Q,"Tallied")</f>
        <v>50</v>
      </c>
      <c r="G27" s="7">
        <f>SUMIF('[2]Cycle counting report'!B:B,'[2]Daily IRA IVA Score card'!B:B,'[2]Cycle counting report'!P:P)</f>
        <v>2604346349.8400002</v>
      </c>
      <c r="H27" s="8">
        <f>SUMIF('[2]Cycle counting report'!B:B,'[2]Daily IRA IVA Score card'!B:B,'[2]Cycle counting report'!K:K)</f>
        <v>0</v>
      </c>
      <c r="I27" s="8">
        <f>SUMIF('[2]Cycle counting report'!B:B,'[2]Daily IRA IVA Score card'!B:B,'[2]Cycle counting report'!M:M)</f>
        <v>0</v>
      </c>
      <c r="J27" s="8">
        <f t="shared" si="1"/>
        <v>0</v>
      </c>
      <c r="K27" s="8">
        <f t="shared" si="2"/>
        <v>0</v>
      </c>
      <c r="L27" s="9">
        <f t="shared" si="8"/>
        <v>1</v>
      </c>
      <c r="M27" s="9">
        <f t="shared" si="3"/>
        <v>1</v>
      </c>
      <c r="N27" s="10">
        <f t="shared" si="4"/>
        <v>2604346349.8400002</v>
      </c>
      <c r="O27" s="11">
        <f t="shared" si="5"/>
        <v>0</v>
      </c>
      <c r="P27" s="11">
        <f t="shared" si="6"/>
        <v>0</v>
      </c>
      <c r="Q27" s="12"/>
    </row>
    <row r="28" spans="1:17" x14ac:dyDescent="0.25">
      <c r="A28" s="4">
        <f t="shared" si="7"/>
        <v>27</v>
      </c>
      <c r="B28" s="5">
        <v>46169</v>
      </c>
      <c r="C28" s="6">
        <f t="shared" si="0"/>
        <v>49</v>
      </c>
      <c r="D28" s="6">
        <f>COUNTIFS('[2]Cycle counting report'!B:B,'[2]Daily IRA IVA Score card'!B:B,'[2]Cycle counting report'!Q:Q,"Excess")</f>
        <v>0</v>
      </c>
      <c r="E28" s="6">
        <f>COUNTIFS('[2]Cycle counting report'!B:B,'[2]Daily IRA IVA Score card'!B:B,'[2]Cycle counting report'!Q:Q,{"short"})</f>
        <v>0</v>
      </c>
      <c r="F28" s="6">
        <f>COUNTIFS('[2]Cycle counting report'!B:B,'[2]Daily IRA IVA Score card'!B:B,'[2]Cycle counting report'!Q:Q,"Tallied")</f>
        <v>49</v>
      </c>
      <c r="G28" s="7">
        <f>SUMIF('[2]Cycle counting report'!B:B,'[2]Daily IRA IVA Score card'!B:B,'[2]Cycle counting report'!P:P)</f>
        <v>1290236796.4300005</v>
      </c>
      <c r="H28" s="8">
        <f>SUMIF('[2]Cycle counting report'!B:B,'[2]Daily IRA IVA Score card'!B:B,'[2]Cycle counting report'!K:K)</f>
        <v>0</v>
      </c>
      <c r="I28" s="8">
        <f>SUMIF('[2]Cycle counting report'!B:B,'[2]Daily IRA IVA Score card'!B:B,'[2]Cycle counting report'!M:M)</f>
        <v>0</v>
      </c>
      <c r="J28" s="8">
        <f t="shared" si="1"/>
        <v>0</v>
      </c>
      <c r="K28" s="8">
        <f t="shared" si="2"/>
        <v>0</v>
      </c>
      <c r="L28" s="9">
        <f t="shared" si="8"/>
        <v>1</v>
      </c>
      <c r="M28" s="9">
        <f t="shared" si="3"/>
        <v>1</v>
      </c>
      <c r="N28" s="10">
        <f t="shared" si="4"/>
        <v>1290236796.4300005</v>
      </c>
      <c r="O28" s="11">
        <f t="shared" si="5"/>
        <v>0</v>
      </c>
      <c r="P28" s="11">
        <f t="shared" si="6"/>
        <v>0</v>
      </c>
      <c r="Q28" s="12"/>
    </row>
    <row r="29" spans="1:17" x14ac:dyDescent="0.25">
      <c r="A29" s="4">
        <f t="shared" si="7"/>
        <v>28</v>
      </c>
      <c r="B29" s="5">
        <v>46170</v>
      </c>
      <c r="C29" s="6">
        <f t="shared" si="0"/>
        <v>50</v>
      </c>
      <c r="D29" s="6">
        <f>COUNTIFS('[2]Cycle counting report'!B:B,'[2]Daily IRA IVA Score card'!B:B,'[2]Cycle counting report'!Q:Q,"Excess")</f>
        <v>0</v>
      </c>
      <c r="E29" s="6">
        <f>COUNTIFS('[2]Cycle counting report'!B:B,'[2]Daily IRA IVA Score card'!B:B,'[2]Cycle counting report'!Q:Q,{"short"})</f>
        <v>0</v>
      </c>
      <c r="F29" s="6">
        <f>COUNTIFS('[2]Cycle counting report'!B:B,'[2]Daily IRA IVA Score card'!B:B,'[2]Cycle counting report'!Q:Q,"Tallied")</f>
        <v>50</v>
      </c>
      <c r="G29" s="7">
        <f>SUMIF('[2]Cycle counting report'!B:B,'[2]Daily IRA IVA Score card'!B:B,'[2]Cycle counting report'!P:P)</f>
        <v>1255259913.0500002</v>
      </c>
      <c r="H29" s="8">
        <f>SUMIF('[2]Cycle counting report'!B:B,'[2]Daily IRA IVA Score card'!B:B,'[2]Cycle counting report'!K:K)</f>
        <v>0</v>
      </c>
      <c r="I29" s="8">
        <f>SUMIF('[2]Cycle counting report'!B:B,'[2]Daily IRA IVA Score card'!B:B,'[2]Cycle counting report'!M:M)</f>
        <v>0</v>
      </c>
      <c r="J29" s="8">
        <f t="shared" si="1"/>
        <v>0</v>
      </c>
      <c r="K29" s="8">
        <f t="shared" si="2"/>
        <v>0</v>
      </c>
      <c r="L29" s="9">
        <f t="shared" si="8"/>
        <v>1</v>
      </c>
      <c r="M29" s="9">
        <f t="shared" si="3"/>
        <v>1</v>
      </c>
      <c r="N29" s="10">
        <f t="shared" si="4"/>
        <v>1255259913.0500002</v>
      </c>
      <c r="O29" s="11">
        <f t="shared" si="5"/>
        <v>0</v>
      </c>
      <c r="P29" s="11">
        <f t="shared" si="6"/>
        <v>0</v>
      </c>
      <c r="Q29" s="12"/>
    </row>
    <row r="30" spans="1:17" x14ac:dyDescent="0.25">
      <c r="A30" s="4">
        <f t="shared" si="7"/>
        <v>29</v>
      </c>
      <c r="B30" s="5">
        <v>46171</v>
      </c>
      <c r="C30" s="6">
        <f t="shared" si="0"/>
        <v>50</v>
      </c>
      <c r="D30" s="6">
        <f>COUNTIFS('[2]Cycle counting report'!B:B,'[2]Daily IRA IVA Score card'!B:B,'[2]Cycle counting report'!Q:Q,"Excess")</f>
        <v>0</v>
      </c>
      <c r="E30" s="6">
        <f>COUNTIFS('[2]Cycle counting report'!B:B,'[2]Daily IRA IVA Score card'!B:B,'[2]Cycle counting report'!Q:Q,{"short"})</f>
        <v>0</v>
      </c>
      <c r="F30" s="6">
        <f>COUNTIFS('[2]Cycle counting report'!B:B,'[2]Daily IRA IVA Score card'!B:B,'[2]Cycle counting report'!Q:Q,"Tallied")</f>
        <v>50</v>
      </c>
      <c r="G30" s="7">
        <f>SUMIF('[2]Cycle counting report'!B:B,'[2]Daily IRA IVA Score card'!B:B,'[2]Cycle counting report'!P:P)</f>
        <v>490591500.50000006</v>
      </c>
      <c r="H30" s="8">
        <f>SUMIF('[2]Cycle counting report'!B:B,'[2]Daily IRA IVA Score card'!B:B,'[2]Cycle counting report'!K:K)</f>
        <v>0</v>
      </c>
      <c r="I30" s="8">
        <f>SUMIF('[2]Cycle counting report'!B:B,'[2]Daily IRA IVA Score card'!B:B,'[2]Cycle counting report'!M:M)</f>
        <v>0</v>
      </c>
      <c r="J30" s="8">
        <f t="shared" si="1"/>
        <v>0</v>
      </c>
      <c r="K30" s="8">
        <f t="shared" si="2"/>
        <v>0</v>
      </c>
      <c r="L30" s="9">
        <f t="shared" si="8"/>
        <v>1</v>
      </c>
      <c r="M30" s="9">
        <f t="shared" si="3"/>
        <v>1</v>
      </c>
      <c r="N30" s="10">
        <f t="shared" si="4"/>
        <v>490591500.50000006</v>
      </c>
      <c r="O30" s="11">
        <f t="shared" si="5"/>
        <v>0</v>
      </c>
      <c r="P30" s="11">
        <f t="shared" si="6"/>
        <v>0</v>
      </c>
      <c r="Q30" s="12"/>
    </row>
    <row r="31" spans="1:17" x14ac:dyDescent="0.25">
      <c r="A31" s="4">
        <f t="shared" si="7"/>
        <v>30</v>
      </c>
      <c r="B31" s="5">
        <v>46172</v>
      </c>
      <c r="C31" s="6">
        <f t="shared" si="0"/>
        <v>50</v>
      </c>
      <c r="D31" s="6">
        <f>COUNTIFS('[2]Cycle counting report'!B:B,'[2]Daily IRA IVA Score card'!B:B,'[2]Cycle counting report'!Q:Q,"Excess")</f>
        <v>0</v>
      </c>
      <c r="E31" s="6">
        <f>COUNTIFS('[2]Cycle counting report'!B:B,'[2]Daily IRA IVA Score card'!B:B,'[2]Cycle counting report'!Q:Q,{"short"})</f>
        <v>0</v>
      </c>
      <c r="F31" s="6">
        <f>COUNTIFS('[2]Cycle counting report'!B:B,'[2]Daily IRA IVA Score card'!B:B,'[2]Cycle counting report'!Q:Q,"Tallied")</f>
        <v>50</v>
      </c>
      <c r="G31" s="7">
        <f>SUMIF('[2]Cycle counting report'!B:B,'[2]Daily IRA IVA Score card'!B:B,'[2]Cycle counting report'!P:P)</f>
        <v>158447765.77999997</v>
      </c>
      <c r="H31" s="8">
        <f>SUMIF('[2]Cycle counting report'!B:B,'[2]Daily IRA IVA Score card'!B:B,'[2]Cycle counting report'!K:K)</f>
        <v>0</v>
      </c>
      <c r="I31" s="8">
        <f>SUMIF('[2]Cycle counting report'!B:B,'[2]Daily IRA IVA Score card'!B:B,'[2]Cycle counting report'!M:M)</f>
        <v>0</v>
      </c>
      <c r="J31" s="8">
        <f t="shared" si="1"/>
        <v>0</v>
      </c>
      <c r="K31" s="8">
        <f t="shared" si="2"/>
        <v>0</v>
      </c>
      <c r="L31" s="9">
        <f t="shared" si="8"/>
        <v>1</v>
      </c>
      <c r="M31" s="9">
        <f t="shared" si="3"/>
        <v>1</v>
      </c>
      <c r="N31" s="10">
        <f t="shared" si="4"/>
        <v>158447765.77999997</v>
      </c>
      <c r="O31" s="11">
        <f t="shared" si="5"/>
        <v>0</v>
      </c>
      <c r="P31" s="11">
        <f t="shared" si="6"/>
        <v>0</v>
      </c>
      <c r="Q31" s="12"/>
    </row>
    <row r="32" spans="1:17" x14ac:dyDescent="0.25">
      <c r="A32" s="4">
        <v>31</v>
      </c>
      <c r="B32" s="5">
        <v>46173</v>
      </c>
      <c r="C32" s="6">
        <f t="shared" si="0"/>
        <v>0</v>
      </c>
      <c r="D32" s="6">
        <f>COUNTIFS('[2]Cycle counting report'!B:B,'[2]Daily IRA IVA Score card'!B:B,'[2]Cycle counting report'!Q:Q,"Excess")</f>
        <v>0</v>
      </c>
      <c r="E32" s="6">
        <f>COUNTIFS('[2]Cycle counting report'!B:B,'[2]Daily IRA IVA Score card'!B:B,'[2]Cycle counting report'!Q:Q,{"short"})</f>
        <v>0</v>
      </c>
      <c r="F32" s="6">
        <f>COUNTIFS('[2]Cycle counting report'!B:B,'[2]Daily IRA IVA Score card'!B:B,'[2]Cycle counting report'!Q:Q,"Tallied")</f>
        <v>0</v>
      </c>
      <c r="G32" s="7">
        <f>SUMIF('[2]Cycle counting report'!B:B,'[2]Daily IRA IVA Score card'!B:B,'[2]Cycle counting report'!P:P)</f>
        <v>0</v>
      </c>
      <c r="H32" s="8">
        <f>SUMIF('[2]Cycle counting report'!B:B,'[2]Daily IRA IVA Score card'!B:B,'[2]Cycle counting report'!K:K)</f>
        <v>0</v>
      </c>
      <c r="I32" s="8">
        <f>SUMIF('[2]Cycle counting report'!B:B,'[2]Daily IRA IVA Score card'!B:B,'[2]Cycle counting report'!M:M)</f>
        <v>0</v>
      </c>
      <c r="J32" s="8">
        <f t="shared" si="1"/>
        <v>0</v>
      </c>
      <c r="K32" s="8">
        <f t="shared" si="2"/>
        <v>0</v>
      </c>
      <c r="L32" s="9" t="str">
        <f t="shared" si="8"/>
        <v/>
      </c>
      <c r="M32" s="9" t="str">
        <f t="shared" si="3"/>
        <v/>
      </c>
      <c r="N32" s="10">
        <f t="shared" si="4"/>
        <v>0</v>
      </c>
      <c r="O32" s="11" t="str">
        <f t="shared" si="5"/>
        <v/>
      </c>
      <c r="P32" s="11" t="str">
        <f t="shared" si="6"/>
        <v/>
      </c>
      <c r="Q32" s="12" t="s">
        <v>18</v>
      </c>
    </row>
    <row r="33" spans="1:17" ht="15.75" x14ac:dyDescent="0.25">
      <c r="A33" s="14" t="s">
        <v>20</v>
      </c>
      <c r="B33" s="14" t="s">
        <v>20</v>
      </c>
      <c r="C33" s="14">
        <f t="shared" ref="C33:K33" si="10">SUM(C2:C32)</f>
        <v>1270</v>
      </c>
      <c r="D33" s="14">
        <f t="shared" si="10"/>
        <v>0</v>
      </c>
      <c r="E33" s="14">
        <f t="shared" si="10"/>
        <v>0</v>
      </c>
      <c r="F33" s="14">
        <f t="shared" si="10"/>
        <v>1270</v>
      </c>
      <c r="G33" s="15">
        <f t="shared" si="10"/>
        <v>16425225490.219999</v>
      </c>
      <c r="H33" s="14">
        <f t="shared" si="10"/>
        <v>0</v>
      </c>
      <c r="I33" s="14">
        <f t="shared" si="10"/>
        <v>0</v>
      </c>
      <c r="J33" s="14">
        <f t="shared" si="10"/>
        <v>0</v>
      </c>
      <c r="K33" s="14">
        <f t="shared" si="10"/>
        <v>0</v>
      </c>
      <c r="L33" s="16">
        <f>AVERAGE(L2:L32)</f>
        <v>1</v>
      </c>
      <c r="M33" s="16">
        <f>AVERAGE(M2:M32)</f>
        <v>1</v>
      </c>
      <c r="N33" s="15">
        <f>SUM(N2:N32)</f>
        <v>16425225490.219999</v>
      </c>
      <c r="O33" s="16">
        <f t="shared" ref="O33:P33" si="11">AVERAGE(O2:O32)</f>
        <v>0</v>
      </c>
      <c r="P33" s="16">
        <f t="shared" si="11"/>
        <v>0</v>
      </c>
      <c r="Q33" s="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April-26</vt:lpstr>
      <vt:lpstr>May-2026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Siemens Admin</dc:creator>
  <cp:lastModifiedBy>Siemens Admin</cp:lastModifiedBy>
  <dcterms:created xsi:type="dcterms:W3CDTF">2026-06-25T06:28:08Z</dcterms:created>
  <dcterms:modified xsi:type="dcterms:W3CDTF">2026-06-25T06:31:41Z</dcterms:modified>
</cp:coreProperties>
</file>