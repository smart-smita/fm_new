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emens.Admin\Desktop\OE Audit\Siemens Industry\"/>
    </mc:Choice>
  </mc:AlternateContent>
  <bookViews>
    <workbookView xWindow="0" yWindow="0" windowWidth="20490" windowHeight="6750" activeTab="1"/>
  </bookViews>
  <sheets>
    <sheet name="April-26" sheetId="1" r:id="rId1"/>
    <sheet name="May-2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13" i="2" l="1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G77" i="2"/>
  <c r="AF77" i="2"/>
  <c r="AE77" i="2"/>
  <c r="AD77" i="2"/>
  <c r="AB77" i="2"/>
  <c r="AA77" i="2"/>
  <c r="Y77" i="2"/>
  <c r="X77" i="2"/>
  <c r="W77" i="2"/>
  <c r="V77" i="2"/>
  <c r="T77" i="2"/>
  <c r="S77" i="2"/>
  <c r="R77" i="2"/>
  <c r="Q77" i="2"/>
  <c r="P77" i="2"/>
  <c r="O77" i="2"/>
  <c r="N77" i="2"/>
  <c r="M77" i="2"/>
  <c r="K77" i="2"/>
  <c r="J77" i="2"/>
  <c r="I77" i="2"/>
  <c r="H77" i="2"/>
  <c r="G77" i="2"/>
  <c r="F77" i="2"/>
  <c r="D77" i="2"/>
  <c r="C77" i="2"/>
  <c r="AG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58" i="2"/>
  <c r="C58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53" i="2"/>
  <c r="C53" i="2"/>
  <c r="AG48" i="2"/>
  <c r="C48" i="2"/>
  <c r="AG46" i="2"/>
  <c r="AG53" i="2" s="1"/>
  <c r="AF46" i="2"/>
  <c r="AF48" i="2" s="1"/>
  <c r="E46" i="2"/>
  <c r="E53" i="2" s="1"/>
  <c r="AG44" i="2"/>
  <c r="C44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D39" i="2"/>
  <c r="C39" i="2"/>
  <c r="AG34" i="2"/>
  <c r="C34" i="2"/>
  <c r="AG32" i="2"/>
  <c r="AG39" i="2" s="1"/>
  <c r="AF32" i="2"/>
  <c r="AF34" i="2" s="1"/>
  <c r="E32" i="2"/>
  <c r="E34" i="2" s="1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D25" i="2"/>
  <c r="D28" i="2" s="1"/>
  <c r="E25" i="2" s="1"/>
  <c r="E28" i="2" s="1"/>
  <c r="F25" i="2" s="1"/>
  <c r="F28" i="2" s="1"/>
  <c r="G25" i="2" s="1"/>
  <c r="G28" i="2" s="1"/>
  <c r="H25" i="2" s="1"/>
  <c r="H28" i="2" s="1"/>
  <c r="I25" i="2" s="1"/>
  <c r="I28" i="2" s="1"/>
  <c r="J25" i="2" s="1"/>
  <c r="J28" i="2" s="1"/>
  <c r="K25" i="2" s="1"/>
  <c r="K28" i="2" s="1"/>
  <c r="L25" i="2" s="1"/>
  <c r="L28" i="2" s="1"/>
  <c r="M25" i="2" s="1"/>
  <c r="M28" i="2" s="1"/>
  <c r="N25" i="2" s="1"/>
  <c r="N28" i="2" s="1"/>
  <c r="O25" i="2" s="1"/>
  <c r="O28" i="2" s="1"/>
  <c r="P25" i="2" s="1"/>
  <c r="P28" i="2" s="1"/>
  <c r="Q25" i="2" s="1"/>
  <c r="Q28" i="2" s="1"/>
  <c r="R25" i="2" s="1"/>
  <c r="R28" i="2" s="1"/>
  <c r="S25" i="2" s="1"/>
  <c r="S28" i="2" s="1"/>
  <c r="T25" i="2" s="1"/>
  <c r="T28" i="2" s="1"/>
  <c r="U25" i="2" s="1"/>
  <c r="U28" i="2" s="1"/>
  <c r="V25" i="2" s="1"/>
  <c r="V28" i="2" s="1"/>
  <c r="W25" i="2" s="1"/>
  <c r="W28" i="2" s="1"/>
  <c r="X25" i="2" s="1"/>
  <c r="X28" i="2" s="1"/>
  <c r="Y25" i="2" s="1"/>
  <c r="Y28" i="2" s="1"/>
  <c r="Z25" i="2" s="1"/>
  <c r="Z28" i="2" s="1"/>
  <c r="AA25" i="2" s="1"/>
  <c r="AA28" i="2" s="1"/>
  <c r="AB25" i="2" s="1"/>
  <c r="AB28" i="2" s="1"/>
  <c r="AC25" i="2" s="1"/>
  <c r="AC28" i="2" s="1"/>
  <c r="AD25" i="2" s="1"/>
  <c r="AD28" i="2" s="1"/>
  <c r="AE25" i="2" s="1"/>
  <c r="AE28" i="2" s="1"/>
  <c r="AF25" i="2" s="1"/>
  <c r="AF28" i="2" s="1"/>
  <c r="AG25" i="2" s="1"/>
  <c r="AG28" i="2" s="1"/>
  <c r="L24" i="2"/>
  <c r="L23" i="2"/>
  <c r="K23" i="2"/>
  <c r="K22" i="2"/>
  <c r="D18" i="2"/>
  <c r="D21" i="2" s="1"/>
  <c r="E18" i="2" s="1"/>
  <c r="E21" i="2" s="1"/>
  <c r="F18" i="2" s="1"/>
  <c r="F21" i="2" s="1"/>
  <c r="G18" i="2" s="1"/>
  <c r="G21" i="2" s="1"/>
  <c r="H18" i="2" s="1"/>
  <c r="H21" i="2" s="1"/>
  <c r="I18" i="2" s="1"/>
  <c r="I21" i="2" s="1"/>
  <c r="J18" i="2" s="1"/>
  <c r="J21" i="2" s="1"/>
  <c r="K18" i="2" s="1"/>
  <c r="K21" i="2" s="1"/>
  <c r="L18" i="2" s="1"/>
  <c r="L21" i="2" s="1"/>
  <c r="M18" i="2" s="1"/>
  <c r="M21" i="2" s="1"/>
  <c r="N18" i="2" s="1"/>
  <c r="N21" i="2" s="1"/>
  <c r="O18" i="2" s="1"/>
  <c r="O21" i="2" s="1"/>
  <c r="P18" i="2" s="1"/>
  <c r="P21" i="2" s="1"/>
  <c r="Q18" i="2" s="1"/>
  <c r="Q21" i="2" s="1"/>
  <c r="R18" i="2" s="1"/>
  <c r="R21" i="2" s="1"/>
  <c r="S18" i="2" s="1"/>
  <c r="S21" i="2" s="1"/>
  <c r="T18" i="2" s="1"/>
  <c r="T21" i="2" s="1"/>
  <c r="U18" i="2" s="1"/>
  <c r="U21" i="2" s="1"/>
  <c r="V18" i="2" s="1"/>
  <c r="V21" i="2" s="1"/>
  <c r="W18" i="2" s="1"/>
  <c r="W21" i="2" s="1"/>
  <c r="X18" i="2" s="1"/>
  <c r="X21" i="2" s="1"/>
  <c r="Y18" i="2" s="1"/>
  <c r="Y21" i="2" s="1"/>
  <c r="Z18" i="2" s="1"/>
  <c r="Z21" i="2" s="1"/>
  <c r="AA18" i="2" s="1"/>
  <c r="AA21" i="2" s="1"/>
  <c r="AB18" i="2" s="1"/>
  <c r="AB21" i="2" s="1"/>
  <c r="AC18" i="2" s="1"/>
  <c r="AC21" i="2" s="1"/>
  <c r="AD18" i="2" s="1"/>
  <c r="AD21" i="2" s="1"/>
  <c r="AE18" i="2" s="1"/>
  <c r="AE21" i="2" s="1"/>
  <c r="AF18" i="2" s="1"/>
  <c r="AF21" i="2" s="1"/>
  <c r="AG18" i="2" s="1"/>
  <c r="AG21" i="2" s="1"/>
  <c r="C17" i="2"/>
  <c r="D14" i="2"/>
  <c r="D17" i="2" s="1"/>
  <c r="E14" i="2" s="1"/>
  <c r="E17" i="2" s="1"/>
  <c r="F14" i="2" s="1"/>
  <c r="F17" i="2" s="1"/>
  <c r="G14" i="2" s="1"/>
  <c r="G17" i="2" s="1"/>
  <c r="H14" i="2" s="1"/>
  <c r="H17" i="2" s="1"/>
  <c r="I14" i="2" s="1"/>
  <c r="I17" i="2" s="1"/>
  <c r="J14" i="2" s="1"/>
  <c r="J17" i="2" s="1"/>
  <c r="K14" i="2" s="1"/>
  <c r="K17" i="2" s="1"/>
  <c r="L14" i="2" s="1"/>
  <c r="L17" i="2" s="1"/>
  <c r="M14" i="2" s="1"/>
  <c r="M17" i="2" s="1"/>
  <c r="N14" i="2" s="1"/>
  <c r="N17" i="2" s="1"/>
  <c r="O14" i="2" s="1"/>
  <c r="O17" i="2" s="1"/>
  <c r="P14" i="2" s="1"/>
  <c r="P17" i="2" s="1"/>
  <c r="Q14" i="2" s="1"/>
  <c r="Q17" i="2" s="1"/>
  <c r="R14" i="2" s="1"/>
  <c r="R17" i="2" s="1"/>
  <c r="S14" i="2" s="1"/>
  <c r="S17" i="2" s="1"/>
  <c r="T14" i="2" s="1"/>
  <c r="T17" i="2" s="1"/>
  <c r="U14" i="2" s="1"/>
  <c r="U17" i="2" s="1"/>
  <c r="V14" i="2" s="1"/>
  <c r="V17" i="2" s="1"/>
  <c r="W14" i="2" s="1"/>
  <c r="W17" i="2" s="1"/>
  <c r="X14" i="2" s="1"/>
  <c r="X17" i="2" s="1"/>
  <c r="Y14" i="2" s="1"/>
  <c r="Y17" i="2" s="1"/>
  <c r="Z14" i="2" s="1"/>
  <c r="Z17" i="2" s="1"/>
  <c r="AA14" i="2" s="1"/>
  <c r="AA17" i="2" s="1"/>
  <c r="AB14" i="2" s="1"/>
  <c r="AB17" i="2" s="1"/>
  <c r="AC14" i="2" s="1"/>
  <c r="AC17" i="2" s="1"/>
  <c r="AD14" i="2" s="1"/>
  <c r="AD17" i="2" s="1"/>
  <c r="AE14" i="2" s="1"/>
  <c r="AE17" i="2" s="1"/>
  <c r="AF14" i="2" s="1"/>
  <c r="AF17" i="2" s="1"/>
  <c r="AG14" i="2" s="1"/>
  <c r="AG17" i="2" s="1"/>
  <c r="D10" i="2"/>
  <c r="D13" i="2" s="1"/>
  <c r="E10" i="2" s="1"/>
  <c r="E13" i="2" s="1"/>
  <c r="F10" i="2" s="1"/>
  <c r="F13" i="2" s="1"/>
  <c r="G10" i="2" s="1"/>
  <c r="G13" i="2" s="1"/>
  <c r="H10" i="2" s="1"/>
  <c r="H13" i="2" s="1"/>
  <c r="I10" i="2" s="1"/>
  <c r="I13" i="2" s="1"/>
  <c r="J10" i="2" s="1"/>
  <c r="J13" i="2" s="1"/>
  <c r="K10" i="2" s="1"/>
  <c r="K13" i="2" s="1"/>
  <c r="L10" i="2" s="1"/>
  <c r="L13" i="2" s="1"/>
  <c r="M10" i="2" s="1"/>
  <c r="M13" i="2" s="1"/>
  <c r="N10" i="2" s="1"/>
  <c r="N13" i="2" s="1"/>
  <c r="O10" i="2" s="1"/>
  <c r="O13" i="2" s="1"/>
  <c r="P10" i="2" s="1"/>
  <c r="P13" i="2" s="1"/>
  <c r="Q10" i="2" s="1"/>
  <c r="Q13" i="2" s="1"/>
  <c r="R10" i="2" s="1"/>
  <c r="R13" i="2" s="1"/>
  <c r="S10" i="2" s="1"/>
  <c r="S13" i="2" s="1"/>
  <c r="T10" i="2" s="1"/>
  <c r="T13" i="2" s="1"/>
  <c r="U10" i="2" s="1"/>
  <c r="U13" i="2" s="1"/>
  <c r="V10" i="2" s="1"/>
  <c r="V13" i="2" s="1"/>
  <c r="W10" i="2" s="1"/>
  <c r="W13" i="2" s="1"/>
  <c r="X10" i="2" s="1"/>
  <c r="X13" i="2" s="1"/>
  <c r="Y10" i="2" s="1"/>
  <c r="Y13" i="2" s="1"/>
  <c r="Z10" i="2" s="1"/>
  <c r="Z13" i="2" s="1"/>
  <c r="AA10" i="2" s="1"/>
  <c r="AA13" i="2" s="1"/>
  <c r="AB10" i="2" s="1"/>
  <c r="AB13" i="2" s="1"/>
  <c r="AC10" i="2" s="1"/>
  <c r="AC13" i="2" s="1"/>
  <c r="AD10" i="2" s="1"/>
  <c r="AD13" i="2" s="1"/>
  <c r="AE10" i="2" s="1"/>
  <c r="AE13" i="2" s="1"/>
  <c r="AF10" i="2" s="1"/>
  <c r="AF13" i="2" s="1"/>
  <c r="AG10" i="2" s="1"/>
  <c r="AG13" i="2" s="1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E39" i="2" l="1"/>
  <c r="AF39" i="2"/>
  <c r="E48" i="2"/>
  <c r="AF53" i="2"/>
  <c r="AF113" i="1" l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AB77" i="1"/>
  <c r="AA77" i="1"/>
  <c r="Y77" i="1"/>
  <c r="X77" i="1"/>
  <c r="W77" i="1"/>
  <c r="T77" i="1"/>
  <c r="S77" i="1"/>
  <c r="R77" i="1"/>
  <c r="P77" i="1"/>
  <c r="O77" i="1"/>
  <c r="N77" i="1"/>
  <c r="K77" i="1"/>
  <c r="I77" i="1"/>
  <c r="H77" i="1"/>
  <c r="G77" i="1"/>
  <c r="F77" i="1"/>
  <c r="D77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AD72" i="1"/>
  <c r="AD77" i="1" s="1"/>
  <c r="X72" i="1"/>
  <c r="Q72" i="1"/>
  <c r="Q77" i="1" s="1"/>
  <c r="AF71" i="1"/>
  <c r="AF72" i="1" s="1"/>
  <c r="AF77" i="1" s="1"/>
  <c r="AE71" i="1"/>
  <c r="AE72" i="1" s="1"/>
  <c r="AE77" i="1" s="1"/>
  <c r="AD71" i="1"/>
  <c r="AC71" i="1"/>
  <c r="AB71" i="1"/>
  <c r="AA71" i="1"/>
  <c r="Z71" i="1"/>
  <c r="Y71" i="1"/>
  <c r="X71" i="1"/>
  <c r="W71" i="1"/>
  <c r="V71" i="1"/>
  <c r="V72" i="1" s="1"/>
  <c r="V77" i="1" s="1"/>
  <c r="U71" i="1"/>
  <c r="T71" i="1"/>
  <c r="S71" i="1"/>
  <c r="R71" i="1"/>
  <c r="Q71" i="1"/>
  <c r="P71" i="1"/>
  <c r="O71" i="1"/>
  <c r="N71" i="1"/>
  <c r="M71" i="1"/>
  <c r="M72" i="1" s="1"/>
  <c r="M77" i="1" s="1"/>
  <c r="L71" i="1"/>
  <c r="K71" i="1"/>
  <c r="J71" i="1"/>
  <c r="J72" i="1" s="1"/>
  <c r="J77" i="1" s="1"/>
  <c r="I71" i="1"/>
  <c r="H71" i="1"/>
  <c r="G71" i="1"/>
  <c r="F71" i="1"/>
  <c r="E71" i="1"/>
  <c r="D71" i="1"/>
  <c r="C71" i="1"/>
  <c r="C72" i="1" s="1"/>
  <c r="C77" i="1" s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H53" i="1"/>
  <c r="F53" i="1"/>
  <c r="E53" i="1"/>
  <c r="D53" i="1"/>
  <c r="C53" i="1"/>
  <c r="AF48" i="1"/>
  <c r="G48" i="1"/>
  <c r="C48" i="1"/>
  <c r="AF46" i="1"/>
  <c r="I46" i="1"/>
  <c r="I53" i="1" s="1"/>
  <c r="G46" i="1"/>
  <c r="G53" i="1" s="1"/>
  <c r="AF44" i="1"/>
  <c r="AE44" i="1"/>
  <c r="AD44" i="1"/>
  <c r="AC44" i="1"/>
  <c r="AB44" i="1"/>
  <c r="AA44" i="1"/>
  <c r="Z44" i="1"/>
  <c r="Y44" i="1"/>
  <c r="X44" i="1"/>
  <c r="W44" i="1"/>
  <c r="V44" i="1"/>
  <c r="U44" i="1"/>
  <c r="V32" i="1" s="1"/>
  <c r="V39" i="1" s="1"/>
  <c r="T44" i="1"/>
  <c r="S44" i="1"/>
  <c r="R44" i="1"/>
  <c r="Q44" i="1"/>
  <c r="P44" i="1"/>
  <c r="Q32" i="1" s="1"/>
  <c r="Q39" i="1" s="1"/>
  <c r="O44" i="1"/>
  <c r="N44" i="1"/>
  <c r="M44" i="1"/>
  <c r="N32" i="1" s="1"/>
  <c r="N39" i="1" s="1"/>
  <c r="L44" i="1"/>
  <c r="K44" i="1"/>
  <c r="J44" i="1"/>
  <c r="I44" i="1"/>
  <c r="H44" i="1"/>
  <c r="I32" i="1" s="1"/>
  <c r="G44" i="1"/>
  <c r="F44" i="1"/>
  <c r="E44" i="1"/>
  <c r="D44" i="1"/>
  <c r="C44" i="1"/>
  <c r="AE39" i="1"/>
  <c r="AD39" i="1"/>
  <c r="AC39" i="1"/>
  <c r="AB39" i="1"/>
  <c r="AA39" i="1"/>
  <c r="Z39" i="1"/>
  <c r="Y39" i="1"/>
  <c r="X39" i="1"/>
  <c r="S39" i="1"/>
  <c r="K39" i="1"/>
  <c r="J39" i="1"/>
  <c r="H39" i="1"/>
  <c r="F39" i="1"/>
  <c r="E39" i="1"/>
  <c r="D39" i="1"/>
  <c r="C39" i="1"/>
  <c r="C34" i="1"/>
  <c r="AF32" i="1"/>
  <c r="AF39" i="1" s="1"/>
  <c r="W32" i="1"/>
  <c r="W39" i="1" s="1"/>
  <c r="U32" i="1"/>
  <c r="U39" i="1" s="1"/>
  <c r="T32" i="1"/>
  <c r="T39" i="1" s="1"/>
  <c r="S32" i="1"/>
  <c r="R32" i="1"/>
  <c r="R39" i="1" s="1"/>
  <c r="P32" i="1"/>
  <c r="P39" i="1" s="1"/>
  <c r="O32" i="1"/>
  <c r="O39" i="1" s="1"/>
  <c r="M32" i="1"/>
  <c r="M39" i="1" s="1"/>
  <c r="L32" i="1"/>
  <c r="L39" i="1" s="1"/>
  <c r="G32" i="1"/>
  <c r="G34" i="1" s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D25" i="1"/>
  <c r="D28" i="1" s="1"/>
  <c r="E25" i="1" s="1"/>
  <c r="E28" i="1" s="1"/>
  <c r="F25" i="1" s="1"/>
  <c r="F28" i="1" s="1"/>
  <c r="G25" i="1" s="1"/>
  <c r="G28" i="1" s="1"/>
  <c r="H25" i="1" s="1"/>
  <c r="H28" i="1" s="1"/>
  <c r="I25" i="1" s="1"/>
  <c r="I28" i="1" s="1"/>
  <c r="J25" i="1" s="1"/>
  <c r="J28" i="1" s="1"/>
  <c r="K25" i="1" s="1"/>
  <c r="K28" i="1" s="1"/>
  <c r="L25" i="1" s="1"/>
  <c r="L28" i="1" s="1"/>
  <c r="M25" i="1" s="1"/>
  <c r="M28" i="1" s="1"/>
  <c r="N25" i="1" s="1"/>
  <c r="N28" i="1" s="1"/>
  <c r="O25" i="1" s="1"/>
  <c r="O28" i="1" s="1"/>
  <c r="P25" i="1" s="1"/>
  <c r="P28" i="1" s="1"/>
  <c r="Q25" i="1" s="1"/>
  <c r="Q28" i="1" s="1"/>
  <c r="R25" i="1" s="1"/>
  <c r="R28" i="1" s="1"/>
  <c r="S25" i="1" s="1"/>
  <c r="S28" i="1" s="1"/>
  <c r="T25" i="1" s="1"/>
  <c r="T28" i="1" s="1"/>
  <c r="U25" i="1" s="1"/>
  <c r="U28" i="1" s="1"/>
  <c r="V25" i="1" s="1"/>
  <c r="V28" i="1" s="1"/>
  <c r="W25" i="1" s="1"/>
  <c r="W28" i="1" s="1"/>
  <c r="X25" i="1" s="1"/>
  <c r="X28" i="1" s="1"/>
  <c r="Y25" i="1" s="1"/>
  <c r="Y28" i="1" s="1"/>
  <c r="Z25" i="1" s="1"/>
  <c r="Z28" i="1" s="1"/>
  <c r="AA25" i="1" s="1"/>
  <c r="AA28" i="1" s="1"/>
  <c r="AB25" i="1" s="1"/>
  <c r="AB28" i="1" s="1"/>
  <c r="AC25" i="1" s="1"/>
  <c r="AC28" i="1" s="1"/>
  <c r="AD25" i="1" s="1"/>
  <c r="AD28" i="1" s="1"/>
  <c r="AE25" i="1" s="1"/>
  <c r="AE28" i="1" s="1"/>
  <c r="AF25" i="1" s="1"/>
  <c r="AF28" i="1" s="1"/>
  <c r="U23" i="1"/>
  <c r="D18" i="1"/>
  <c r="D21" i="1" s="1"/>
  <c r="E18" i="1" s="1"/>
  <c r="E21" i="1" s="1"/>
  <c r="F18" i="1" s="1"/>
  <c r="F21" i="1" s="1"/>
  <c r="G18" i="1" s="1"/>
  <c r="G21" i="1" s="1"/>
  <c r="H18" i="1" s="1"/>
  <c r="H21" i="1" s="1"/>
  <c r="I18" i="1" s="1"/>
  <c r="I21" i="1" s="1"/>
  <c r="J18" i="1" s="1"/>
  <c r="J21" i="1" s="1"/>
  <c r="K18" i="1" s="1"/>
  <c r="K21" i="1" s="1"/>
  <c r="L18" i="1" s="1"/>
  <c r="L21" i="1" s="1"/>
  <c r="M18" i="1" s="1"/>
  <c r="M21" i="1" s="1"/>
  <c r="N18" i="1" s="1"/>
  <c r="N21" i="1" s="1"/>
  <c r="O18" i="1" s="1"/>
  <c r="O21" i="1" s="1"/>
  <c r="P18" i="1" s="1"/>
  <c r="P21" i="1" s="1"/>
  <c r="Q18" i="1" s="1"/>
  <c r="Q21" i="1" s="1"/>
  <c r="R18" i="1" s="1"/>
  <c r="R21" i="1" s="1"/>
  <c r="S18" i="1" s="1"/>
  <c r="S21" i="1" s="1"/>
  <c r="T18" i="1" s="1"/>
  <c r="T21" i="1" s="1"/>
  <c r="U18" i="1" s="1"/>
  <c r="U21" i="1" s="1"/>
  <c r="V18" i="1" s="1"/>
  <c r="V21" i="1" s="1"/>
  <c r="W18" i="1" s="1"/>
  <c r="W21" i="1" s="1"/>
  <c r="X18" i="1" s="1"/>
  <c r="X21" i="1" s="1"/>
  <c r="Y18" i="1" s="1"/>
  <c r="Y21" i="1" s="1"/>
  <c r="Z18" i="1" s="1"/>
  <c r="Z21" i="1" s="1"/>
  <c r="AA18" i="1" s="1"/>
  <c r="AA21" i="1" s="1"/>
  <c r="AB18" i="1" s="1"/>
  <c r="AB21" i="1" s="1"/>
  <c r="AC18" i="1" s="1"/>
  <c r="AC21" i="1" s="1"/>
  <c r="AD18" i="1" s="1"/>
  <c r="AD21" i="1" s="1"/>
  <c r="AE18" i="1" s="1"/>
  <c r="AE21" i="1" s="1"/>
  <c r="AF18" i="1" s="1"/>
  <c r="AF21" i="1" s="1"/>
  <c r="C17" i="1"/>
  <c r="D14" i="1"/>
  <c r="D17" i="1" s="1"/>
  <c r="E14" i="1" s="1"/>
  <c r="E17" i="1" s="1"/>
  <c r="F14" i="1" s="1"/>
  <c r="F17" i="1" s="1"/>
  <c r="G14" i="1" s="1"/>
  <c r="G17" i="1" s="1"/>
  <c r="H14" i="1" s="1"/>
  <c r="H17" i="1" s="1"/>
  <c r="I14" i="1" s="1"/>
  <c r="I17" i="1" s="1"/>
  <c r="J14" i="1" s="1"/>
  <c r="J17" i="1" s="1"/>
  <c r="K14" i="1" s="1"/>
  <c r="K17" i="1" s="1"/>
  <c r="L14" i="1" s="1"/>
  <c r="L17" i="1" s="1"/>
  <c r="M14" i="1" s="1"/>
  <c r="M17" i="1" s="1"/>
  <c r="N14" i="1" s="1"/>
  <c r="N17" i="1" s="1"/>
  <c r="O14" i="1" s="1"/>
  <c r="O17" i="1" s="1"/>
  <c r="P14" i="1" s="1"/>
  <c r="P17" i="1" s="1"/>
  <c r="Q14" i="1" s="1"/>
  <c r="Q17" i="1" s="1"/>
  <c r="R14" i="1" s="1"/>
  <c r="R17" i="1" s="1"/>
  <c r="S14" i="1" s="1"/>
  <c r="S17" i="1" s="1"/>
  <c r="T14" i="1" s="1"/>
  <c r="T17" i="1" s="1"/>
  <c r="U14" i="1" s="1"/>
  <c r="U17" i="1" s="1"/>
  <c r="V14" i="1" s="1"/>
  <c r="V17" i="1" s="1"/>
  <c r="W14" i="1" s="1"/>
  <c r="W17" i="1" s="1"/>
  <c r="X14" i="1" s="1"/>
  <c r="X17" i="1" s="1"/>
  <c r="Y14" i="1" s="1"/>
  <c r="Y17" i="1" s="1"/>
  <c r="Z14" i="1" s="1"/>
  <c r="Z17" i="1" s="1"/>
  <c r="AA14" i="1" s="1"/>
  <c r="AA17" i="1" s="1"/>
  <c r="AB14" i="1" s="1"/>
  <c r="AB17" i="1" s="1"/>
  <c r="AC14" i="1" s="1"/>
  <c r="AC17" i="1" s="1"/>
  <c r="AD14" i="1" s="1"/>
  <c r="AD17" i="1" s="1"/>
  <c r="AE14" i="1" s="1"/>
  <c r="AE17" i="1" s="1"/>
  <c r="AF14" i="1" s="1"/>
  <c r="AF17" i="1" s="1"/>
  <c r="D10" i="1"/>
  <c r="D13" i="1" s="1"/>
  <c r="E10" i="1" s="1"/>
  <c r="E13" i="1" s="1"/>
  <c r="F10" i="1" s="1"/>
  <c r="F13" i="1" s="1"/>
  <c r="G10" i="1" s="1"/>
  <c r="G13" i="1" s="1"/>
  <c r="H10" i="1" s="1"/>
  <c r="H13" i="1" s="1"/>
  <c r="I10" i="1" s="1"/>
  <c r="I13" i="1" s="1"/>
  <c r="J10" i="1" s="1"/>
  <c r="J13" i="1" s="1"/>
  <c r="K10" i="1" s="1"/>
  <c r="K13" i="1" s="1"/>
  <c r="L10" i="1" s="1"/>
  <c r="L13" i="1" s="1"/>
  <c r="M10" i="1" s="1"/>
  <c r="M13" i="1" s="1"/>
  <c r="N10" i="1" s="1"/>
  <c r="N13" i="1" s="1"/>
  <c r="O10" i="1" s="1"/>
  <c r="O13" i="1" s="1"/>
  <c r="P10" i="1" s="1"/>
  <c r="P13" i="1" s="1"/>
  <c r="Q10" i="1" s="1"/>
  <c r="Q13" i="1" s="1"/>
  <c r="R10" i="1" s="1"/>
  <c r="R13" i="1" s="1"/>
  <c r="S10" i="1" s="1"/>
  <c r="S13" i="1" s="1"/>
  <c r="T10" i="1" s="1"/>
  <c r="T13" i="1" s="1"/>
  <c r="U10" i="1" s="1"/>
  <c r="U13" i="1" s="1"/>
  <c r="V10" i="1" s="1"/>
  <c r="V13" i="1" s="1"/>
  <c r="W10" i="1" s="1"/>
  <c r="W13" i="1" s="1"/>
  <c r="X10" i="1" s="1"/>
  <c r="X13" i="1" s="1"/>
  <c r="Y10" i="1" s="1"/>
  <c r="Y13" i="1" s="1"/>
  <c r="Z10" i="1" s="1"/>
  <c r="Z13" i="1" s="1"/>
  <c r="AA10" i="1" s="1"/>
  <c r="AA13" i="1" s="1"/>
  <c r="AB10" i="1" s="1"/>
  <c r="AB13" i="1" s="1"/>
  <c r="AC10" i="1" s="1"/>
  <c r="AC13" i="1" s="1"/>
  <c r="AD10" i="1" s="1"/>
  <c r="AD13" i="1" s="1"/>
  <c r="AE10" i="1" s="1"/>
  <c r="AE13" i="1" s="1"/>
  <c r="AF10" i="1" s="1"/>
  <c r="AF13" i="1" s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I39" i="1" l="1"/>
  <c r="I34" i="1"/>
  <c r="AF34" i="1"/>
  <c r="I48" i="1"/>
  <c r="G39" i="1"/>
</calcChain>
</file>

<file path=xl/sharedStrings.xml><?xml version="1.0" encoding="utf-8"?>
<sst xmlns="http://schemas.openxmlformats.org/spreadsheetml/2006/main" count="239" uniqueCount="100">
  <si>
    <t>Function</t>
  </si>
  <si>
    <t>Particulars</t>
  </si>
  <si>
    <t>Vehicles Unloaded</t>
  </si>
  <si>
    <t>Geeta Shipping</t>
  </si>
  <si>
    <t>Capricorn</t>
  </si>
  <si>
    <t>Siemens Kalwa</t>
  </si>
  <si>
    <t>Aurangabad</t>
  </si>
  <si>
    <t xml:space="preserve">Technofour </t>
  </si>
  <si>
    <t>DB'S</t>
  </si>
  <si>
    <t xml:space="preserve"> </t>
  </si>
  <si>
    <t>Other's</t>
  </si>
  <si>
    <t xml:space="preserve">Total Vehicle </t>
  </si>
  <si>
    <t>INWARD</t>
  </si>
  <si>
    <t xml:space="preserve">Previous Pending Invoices </t>
  </si>
  <si>
    <t>No of Invoices received</t>
  </si>
  <si>
    <t>No of Invoices Opened</t>
  </si>
  <si>
    <t>No of Invoices Pending</t>
  </si>
  <si>
    <t>Previous Pending Box's</t>
  </si>
  <si>
    <t xml:space="preserve">No of boxes received </t>
  </si>
  <si>
    <t>No of boxes open/binned</t>
  </si>
  <si>
    <t>No of boxes Pending</t>
  </si>
  <si>
    <t>Previous Pending Items</t>
  </si>
  <si>
    <t>Items Received</t>
  </si>
  <si>
    <t>Items Binned</t>
  </si>
  <si>
    <t xml:space="preserve">Items Pending for Binning  </t>
  </si>
  <si>
    <t>1 Day Pending</t>
  </si>
  <si>
    <t>2 Day Pending</t>
  </si>
  <si>
    <t>Above2 Day Pending</t>
  </si>
  <si>
    <t>Previous Pending Qty</t>
  </si>
  <si>
    <t>Received Qty</t>
  </si>
  <si>
    <t>Hash Qty Binned</t>
  </si>
  <si>
    <t>No of Qty Pending</t>
  </si>
  <si>
    <t>Target</t>
  </si>
  <si>
    <t>Percentage</t>
  </si>
  <si>
    <t>SI Div Outword Packing</t>
  </si>
  <si>
    <t>Opening Balance</t>
  </si>
  <si>
    <t>line Received</t>
  </si>
  <si>
    <t>Total Line items</t>
  </si>
  <si>
    <t>urgent delivery</t>
  </si>
  <si>
    <t>Quantity in</t>
  </si>
  <si>
    <t>Quantity out</t>
  </si>
  <si>
    <t>line Packed</t>
  </si>
  <si>
    <t>Lines Pending</t>
  </si>
  <si>
    <t>0 Day Pending</t>
  </si>
  <si>
    <t>Above 3 Day Pending</t>
  </si>
  <si>
    <t>Total  Pending</t>
  </si>
  <si>
    <t>DI Div Outword Packing</t>
  </si>
  <si>
    <t>DI Opening Balance</t>
  </si>
  <si>
    <t>DI 0 Day Pending</t>
  </si>
  <si>
    <t>Loading Sheet / Transport</t>
  </si>
  <si>
    <t>No of Loading sheet Generate</t>
  </si>
  <si>
    <t>No of Box for Loading</t>
  </si>
  <si>
    <t>For Local (TCI FREIGHT)</t>
  </si>
  <si>
    <t>For  MLL</t>
  </si>
  <si>
    <t>Allcargo Logistics Limited</t>
  </si>
  <si>
    <t>BLUE DART</t>
  </si>
  <si>
    <t>HYPHEN SCS</t>
  </si>
  <si>
    <t>SAFE-EXPRESS</t>
  </si>
  <si>
    <t>Cycle Count / Binning Audit</t>
  </si>
  <si>
    <t>No of Line item Check</t>
  </si>
  <si>
    <t xml:space="preserve">Items  Error </t>
  </si>
  <si>
    <t xml:space="preserve">Items Match </t>
  </si>
  <si>
    <t># Qty Check</t>
  </si>
  <si>
    <t>match Qty</t>
  </si>
  <si>
    <t>Miss match Qty</t>
  </si>
  <si>
    <t>No of Line Item Corrected</t>
  </si>
  <si>
    <t>previous line item pending</t>
  </si>
  <si>
    <t>Accuracy %</t>
  </si>
  <si>
    <t>Target %</t>
  </si>
  <si>
    <t>Invocing</t>
  </si>
  <si>
    <t>Total No of Invoice created</t>
  </si>
  <si>
    <t>No of Lines</t>
  </si>
  <si>
    <t># Qty</t>
  </si>
  <si>
    <t>Invoice Value</t>
  </si>
  <si>
    <t>SI Invocing</t>
  </si>
  <si>
    <t>DI Invocing</t>
  </si>
  <si>
    <t>Customer Compliant</t>
  </si>
  <si>
    <t>No of Comp. Register</t>
  </si>
  <si>
    <t>No of Comp. accept</t>
  </si>
  <si>
    <t>No of Comp. Reject</t>
  </si>
  <si>
    <t>Open Case</t>
  </si>
  <si>
    <t>Completely Missing Line Item</t>
  </si>
  <si>
    <t>Under Delivery (Less Qty Supplied)</t>
  </si>
  <si>
    <t>Over Delivery</t>
  </si>
  <si>
    <t>Wrong MLFB Supplied</t>
  </si>
  <si>
    <t>Transport Damage</t>
  </si>
  <si>
    <t>Quality issues</t>
  </si>
  <si>
    <t>Manpower</t>
  </si>
  <si>
    <t>Senction Manpower</t>
  </si>
  <si>
    <t>Actula Manpower</t>
  </si>
  <si>
    <t>FM Staff</t>
  </si>
  <si>
    <t>FM Worker</t>
  </si>
  <si>
    <t>Contractor Worker</t>
  </si>
  <si>
    <t>Total No of Worker</t>
  </si>
  <si>
    <t>FM Worker OT</t>
  </si>
  <si>
    <t>Contract Worker OT</t>
  </si>
  <si>
    <t>Total OT Hrs</t>
  </si>
  <si>
    <t>Senction OT</t>
  </si>
  <si>
    <t>Security Guard</t>
  </si>
  <si>
    <t>L P (m j logistics)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</si>
</sst>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409]d\-mmm\-yy"/>
    <numFmt numFmtId="166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2"/>
      <color rgb="FF000000"/>
      <name val="Tahoma"/>
      <family val="2"/>
    </font>
    <font>
      <sz val="11"/>
      <color rgb="FF000000"/>
      <name val="Tahoma"/>
      <family val="2"/>
    </font>
    <font>
      <sz val="12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u/>
      <sz val="10"/>
      <color theme="1"/>
      <name val="Calibri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theme="1" tint="0.34998626667073579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0"/>
      <color rgb="FF000000"/>
      <name val="Tahoma"/>
      <family val="2"/>
    </font>
    <font>
      <sz val="10"/>
      <name val="Calibri"/>
      <family val="2"/>
      <scheme val="minor"/>
    </font>
    <font>
      <sz val="10"/>
      <name val="Calibri"/>
      <family val="2"/>
    </font>
    <font>
      <u/>
      <sz val="10"/>
      <color theme="1"/>
      <name val="Calibri"/>
      <family val="2"/>
    </font>
    <font>
      <sz val="8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9CCFF"/>
        <bgColor rgb="FF99CCFF"/>
      </patternFill>
    </fill>
    <fill>
      <patternFill patternType="solid">
        <fgColor rgb="FFFBE4D5"/>
        <bgColor rgb="FFFBE4D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0"/>
        <bgColor rgb="FFFEF2CB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CCFFFF"/>
      </patternFill>
    </fill>
    <fill>
      <patternFill patternType="solid">
        <fgColor rgb="FFFFFF00"/>
        <bgColor rgb="FFCCFFFF"/>
      </patternFill>
    </fill>
  </fills>
  <borders count="6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</cellStyleXfs>
  <cellXfs count="27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5" fillId="0" borderId="5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2" fillId="0" borderId="4" xfId="0" applyFont="1" applyBorder="1"/>
    <xf numFmtId="0" fontId="2" fillId="5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8" fillId="0" borderId="5" xfId="2" applyFont="1" applyBorder="1" applyAlignment="1">
      <alignment horizontal="center"/>
    </xf>
    <xf numFmtId="0" fontId="9" fillId="0" borderId="5" xfId="2" applyFont="1" applyBorder="1" applyAlignment="1">
      <alignment horizontal="center"/>
    </xf>
    <xf numFmtId="0" fontId="8" fillId="0" borderId="5" xfId="3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11" fillId="8" borderId="8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8" fillId="10" borderId="5" xfId="2" applyFont="1" applyFill="1" applyBorder="1" applyAlignment="1">
      <alignment horizontal="center"/>
    </xf>
    <xf numFmtId="0" fontId="9" fillId="10" borderId="5" xfId="2" applyFont="1" applyFill="1" applyBorder="1" applyAlignment="1">
      <alignment horizontal="center"/>
    </xf>
    <xf numFmtId="0" fontId="2" fillId="9" borderId="9" xfId="0" applyFont="1" applyFill="1" applyBorder="1" applyAlignment="1">
      <alignment horizontal="left"/>
    </xf>
    <xf numFmtId="0" fontId="2" fillId="9" borderId="10" xfId="0" applyFont="1" applyFill="1" applyBorder="1" applyAlignment="1">
      <alignment horizontal="left"/>
    </xf>
    <xf numFmtId="0" fontId="3" fillId="11" borderId="11" xfId="0" applyFont="1" applyFill="1" applyBorder="1" applyAlignment="1">
      <alignment horizontal="left"/>
    </xf>
    <xf numFmtId="0" fontId="3" fillId="11" borderId="4" xfId="0" applyFont="1" applyFill="1" applyBorder="1" applyAlignment="1">
      <alignment horizontal="left"/>
    </xf>
    <xf numFmtId="0" fontId="2" fillId="11" borderId="4" xfId="0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7" fillId="0" borderId="12" xfId="0" applyFont="1" applyBorder="1"/>
    <xf numFmtId="0" fontId="3" fillId="11" borderId="13" xfId="0" applyFont="1" applyFill="1" applyBorder="1" applyAlignment="1">
      <alignment horizontal="left"/>
    </xf>
    <xf numFmtId="10" fontId="3" fillId="0" borderId="13" xfId="0" applyNumberFormat="1" applyFont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10" fontId="3" fillId="8" borderId="1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4" xfId="0" applyFont="1" applyBorder="1" applyAlignment="1">
      <alignment horizontal="center"/>
    </xf>
    <xf numFmtId="3" fontId="3" fillId="0" borderId="0" xfId="0" applyNumberFormat="1" applyFont="1"/>
    <xf numFmtId="0" fontId="2" fillId="4" borderId="15" xfId="0" applyFont="1" applyFill="1" applyBorder="1" applyAlignment="1">
      <alignment horizontal="center" vertical="center" wrapText="1"/>
    </xf>
    <xf numFmtId="0" fontId="2" fillId="9" borderId="16" xfId="0" applyFont="1" applyFill="1" applyBorder="1"/>
    <xf numFmtId="0" fontId="3" fillId="9" borderId="16" xfId="0" applyFont="1" applyFill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/>
    </xf>
    <xf numFmtId="0" fontId="7" fillId="0" borderId="18" xfId="0" applyFont="1" applyBorder="1"/>
    <xf numFmtId="0" fontId="2" fillId="9" borderId="4" xfId="0" applyFont="1" applyFill="1" applyBorder="1"/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" fillId="12" borderId="19" xfId="0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/>
    </xf>
    <xf numFmtId="0" fontId="7" fillId="0" borderId="20" xfId="0" applyFont="1" applyBorder="1"/>
    <xf numFmtId="0" fontId="3" fillId="0" borderId="21" xfId="0" applyFont="1" applyBorder="1"/>
    <xf numFmtId="0" fontId="3" fillId="14" borderId="21" xfId="0" applyFont="1" applyFill="1" applyBorder="1" applyAlignment="1">
      <alignment horizontal="center"/>
    </xf>
    <xf numFmtId="0" fontId="3" fillId="12" borderId="21" xfId="0" applyFont="1" applyFill="1" applyBorder="1" applyAlignment="1">
      <alignment horizontal="center" vertical="center" wrapText="1"/>
    </xf>
    <xf numFmtId="0" fontId="3" fillId="12" borderId="2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0" xfId="0" applyFont="1" applyBorder="1"/>
    <xf numFmtId="0" fontId="3" fillId="0" borderId="14" xfId="0" applyFont="1" applyBorder="1"/>
    <xf numFmtId="0" fontId="3" fillId="7" borderId="14" xfId="0" applyFont="1" applyFill="1" applyBorder="1" applyAlignment="1">
      <alignment horizontal="center"/>
    </xf>
    <xf numFmtId="0" fontId="16" fillId="15" borderId="23" xfId="0" applyFont="1" applyFill="1" applyBorder="1" applyAlignment="1">
      <alignment horizontal="center" vertical="center"/>
    </xf>
    <xf numFmtId="0" fontId="16" fillId="15" borderId="2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 vertical="center" wrapText="1"/>
    </xf>
    <xf numFmtId="0" fontId="16" fillId="15" borderId="5" xfId="0" applyFont="1" applyFill="1" applyBorder="1" applyAlignment="1">
      <alignment horizontal="left" vertical="top"/>
    </xf>
    <xf numFmtId="0" fontId="17" fillId="0" borderId="5" xfId="0" applyFont="1" applyBorder="1" applyAlignment="1">
      <alignment horizontal="center"/>
    </xf>
    <xf numFmtId="0" fontId="2" fillId="4" borderId="23" xfId="0" applyFont="1" applyFill="1" applyBorder="1" applyAlignment="1">
      <alignment horizontal="center" vertical="center" wrapText="1"/>
    </xf>
    <xf numFmtId="0" fontId="0" fillId="0" borderId="5" xfId="0" applyBorder="1"/>
    <xf numFmtId="0" fontId="16" fillId="15" borderId="5" xfId="0" applyFont="1" applyFill="1" applyBorder="1" applyAlignment="1">
      <alignment horizontal="left"/>
    </xf>
    <xf numFmtId="0" fontId="16" fillId="15" borderId="25" xfId="0" applyFont="1" applyFill="1" applyBorder="1" applyAlignment="1">
      <alignment horizontal="left"/>
    </xf>
    <xf numFmtId="0" fontId="16" fillId="15" borderId="26" xfId="0" applyFont="1" applyFill="1" applyBorder="1" applyAlignment="1">
      <alignment horizontal="center" vertical="center"/>
    </xf>
    <xf numFmtId="0" fontId="16" fillId="15" borderId="26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2" fillId="4" borderId="27" xfId="0" applyFont="1" applyFill="1" applyBorder="1" applyAlignment="1">
      <alignment horizontal="center" vertical="center" wrapText="1"/>
    </xf>
    <xf numFmtId="0" fontId="3" fillId="11" borderId="2" xfId="0" applyFont="1" applyFill="1" applyBorder="1"/>
    <xf numFmtId="0" fontId="19" fillId="0" borderId="5" xfId="0" applyFont="1" applyBorder="1" applyAlignment="1">
      <alignment horizontal="center" vertical="center"/>
    </xf>
    <xf numFmtId="0" fontId="3" fillId="11" borderId="4" xfId="0" applyFont="1" applyFill="1" applyBorder="1"/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10" fontId="20" fillId="0" borderId="4" xfId="0" applyNumberFormat="1" applyFont="1" applyBorder="1" applyAlignment="1">
      <alignment horizontal="center" vertical="center"/>
    </xf>
    <xf numFmtId="10" fontId="20" fillId="7" borderId="4" xfId="0" applyNumberFormat="1" applyFont="1" applyFill="1" applyBorder="1" applyAlignment="1">
      <alignment horizontal="center" vertical="center"/>
    </xf>
    <xf numFmtId="0" fontId="3" fillId="11" borderId="13" xfId="0" applyFont="1" applyFill="1" applyBorder="1"/>
    <xf numFmtId="10" fontId="3" fillId="0" borderId="13" xfId="0" applyNumberFormat="1" applyFont="1" applyBorder="1"/>
    <xf numFmtId="10" fontId="3" fillId="7" borderId="13" xfId="0" applyNumberFormat="1" applyFont="1" applyFill="1" applyBorder="1"/>
    <xf numFmtId="10" fontId="3" fillId="8" borderId="13" xfId="0" applyNumberFormat="1" applyFont="1" applyFill="1" applyBorder="1"/>
    <xf numFmtId="0" fontId="3" fillId="0" borderId="13" xfId="0" applyFont="1" applyBorder="1" applyAlignment="1">
      <alignment horizontal="center"/>
    </xf>
    <xf numFmtId="0" fontId="3" fillId="7" borderId="0" xfId="0" applyFont="1" applyFill="1"/>
    <xf numFmtId="0" fontId="3" fillId="8" borderId="0" xfId="0" applyFont="1" applyFill="1" applyBorder="1"/>
    <xf numFmtId="0" fontId="3" fillId="11" borderId="28" xfId="0" applyFont="1" applyFill="1" applyBorder="1"/>
    <xf numFmtId="43" fontId="21" fillId="0" borderId="29" xfId="1" applyFont="1" applyFill="1" applyBorder="1" applyAlignment="1">
      <alignment vertical="top"/>
    </xf>
    <xf numFmtId="43" fontId="21" fillId="0" borderId="30" xfId="1" applyFont="1" applyFill="1" applyBorder="1" applyAlignment="1">
      <alignment vertical="top"/>
    </xf>
    <xf numFmtId="43" fontId="4" fillId="0" borderId="30" xfId="1" applyFont="1" applyFill="1" applyBorder="1" applyAlignment="1">
      <alignment vertical="top"/>
    </xf>
    <xf numFmtId="43" fontId="21" fillId="0" borderId="31" xfId="1" applyFont="1" applyFill="1" applyBorder="1" applyAlignment="1">
      <alignment vertical="top"/>
    </xf>
    <xf numFmtId="0" fontId="3" fillId="11" borderId="32" xfId="0" applyFont="1" applyFill="1" applyBorder="1"/>
    <xf numFmtId="43" fontId="21" fillId="0" borderId="33" xfId="1" applyFont="1" applyFill="1" applyBorder="1" applyAlignment="1">
      <alignment vertical="top"/>
    </xf>
    <xf numFmtId="43" fontId="21" fillId="0" borderId="5" xfId="1" applyFont="1" applyFill="1" applyBorder="1" applyAlignment="1">
      <alignment vertical="top"/>
    </xf>
    <xf numFmtId="43" fontId="4" fillId="0" borderId="5" xfId="1" applyFont="1" applyFill="1" applyBorder="1" applyAlignment="1">
      <alignment vertical="top"/>
    </xf>
    <xf numFmtId="43" fontId="21" fillId="0" borderId="34" xfId="1" applyFont="1" applyFill="1" applyBorder="1" applyAlignment="1">
      <alignment vertical="top"/>
    </xf>
    <xf numFmtId="0" fontId="3" fillId="11" borderId="35" xfId="0" applyFont="1" applyFill="1" applyBorder="1"/>
    <xf numFmtId="43" fontId="21" fillId="0" borderId="36" xfId="1" applyFont="1" applyFill="1" applyBorder="1" applyAlignment="1">
      <alignment vertical="top"/>
    </xf>
    <xf numFmtId="43" fontId="21" fillId="0" borderId="25" xfId="1" applyFont="1" applyFill="1" applyBorder="1" applyAlignment="1">
      <alignment vertical="top"/>
    </xf>
    <xf numFmtId="43" fontId="4" fillId="0" borderId="25" xfId="1" applyFont="1" applyFill="1" applyBorder="1" applyAlignment="1">
      <alignment vertical="top"/>
    </xf>
    <xf numFmtId="43" fontId="21" fillId="0" borderId="37" xfId="1" applyFont="1" applyFill="1" applyBorder="1" applyAlignment="1">
      <alignment vertical="top"/>
    </xf>
    <xf numFmtId="0" fontId="2" fillId="16" borderId="15" xfId="0" applyFont="1" applyFill="1" applyBorder="1" applyAlignment="1">
      <alignment horizontal="center" vertical="center" wrapText="1"/>
    </xf>
    <xf numFmtId="0" fontId="22" fillId="0" borderId="29" xfId="0" applyFont="1" applyBorder="1"/>
    <xf numFmtId="0" fontId="22" fillId="0" borderId="30" xfId="0" applyFont="1" applyBorder="1"/>
    <xf numFmtId="0" fontId="22" fillId="0" borderId="38" xfId="0" applyFont="1" applyBorder="1"/>
    <xf numFmtId="0" fontId="22" fillId="14" borderId="39" xfId="0" applyFont="1" applyFill="1" applyBorder="1"/>
    <xf numFmtId="3" fontId="3" fillId="14" borderId="40" xfId="0" applyNumberFormat="1" applyFont="1" applyFill="1" applyBorder="1" applyAlignment="1">
      <alignment horizontal="center" vertical="center"/>
    </xf>
    <xf numFmtId="0" fontId="22" fillId="14" borderId="30" xfId="0" applyFont="1" applyFill="1" applyBorder="1"/>
    <xf numFmtId="3" fontId="3" fillId="14" borderId="30" xfId="0" applyNumberFormat="1" applyFont="1" applyFill="1" applyBorder="1" applyAlignment="1">
      <alignment horizontal="center" vertical="center"/>
    </xf>
    <xf numFmtId="0" fontId="22" fillId="14" borderId="31" xfId="0" applyFont="1" applyFill="1" applyBorder="1"/>
    <xf numFmtId="0" fontId="22" fillId="0" borderId="33" xfId="0" applyFont="1" applyBorder="1"/>
    <xf numFmtId="0" fontId="22" fillId="0" borderId="5" xfId="0" applyFont="1" applyBorder="1"/>
    <xf numFmtId="0" fontId="22" fillId="0" borderId="41" xfId="0" applyFont="1" applyBorder="1"/>
    <xf numFmtId="0" fontId="22" fillId="14" borderId="42" xfId="0" applyFont="1" applyFill="1" applyBorder="1"/>
    <xf numFmtId="3" fontId="3" fillId="14" borderId="43" xfId="0" applyNumberFormat="1" applyFont="1" applyFill="1" applyBorder="1" applyAlignment="1">
      <alignment horizontal="center" vertical="center"/>
    </xf>
    <xf numFmtId="0" fontId="22" fillId="14" borderId="5" xfId="0" applyFont="1" applyFill="1" applyBorder="1"/>
    <xf numFmtId="3" fontId="3" fillId="14" borderId="5" xfId="0" applyNumberFormat="1" applyFont="1" applyFill="1" applyBorder="1" applyAlignment="1">
      <alignment horizontal="center" vertical="center"/>
    </xf>
    <xf numFmtId="0" fontId="22" fillId="14" borderId="34" xfId="0" applyFont="1" applyFill="1" applyBorder="1"/>
    <xf numFmtId="43" fontId="22" fillId="0" borderId="33" xfId="1" applyFont="1" applyFill="1" applyBorder="1"/>
    <xf numFmtId="43" fontId="22" fillId="0" borderId="5" xfId="1" applyFont="1" applyFill="1" applyBorder="1"/>
    <xf numFmtId="43" fontId="22" fillId="0" borderId="41" xfId="1" applyFont="1" applyFill="1" applyBorder="1"/>
    <xf numFmtId="43" fontId="22" fillId="14" borderId="42" xfId="1" applyFont="1" applyFill="1" applyBorder="1"/>
    <xf numFmtId="4" fontId="23" fillId="14" borderId="43" xfId="0" applyNumberFormat="1" applyFont="1" applyFill="1" applyBorder="1" applyAlignment="1">
      <alignment horizontal="center"/>
    </xf>
    <xf numFmtId="43" fontId="22" fillId="14" borderId="5" xfId="1" applyFont="1" applyFill="1" applyBorder="1"/>
    <xf numFmtId="4" fontId="23" fillId="14" borderId="5" xfId="0" applyNumberFormat="1" applyFont="1" applyFill="1" applyBorder="1" applyAlignment="1">
      <alignment horizontal="center"/>
    </xf>
    <xf numFmtId="43" fontId="22" fillId="14" borderId="34" xfId="1" applyFont="1" applyFill="1" applyBorder="1"/>
    <xf numFmtId="43" fontId="22" fillId="0" borderId="36" xfId="1" applyFont="1" applyFill="1" applyBorder="1"/>
    <xf numFmtId="43" fontId="22" fillId="0" borderId="25" xfId="1" applyFont="1" applyFill="1" applyBorder="1"/>
    <xf numFmtId="43" fontId="22" fillId="0" borderId="44" xfId="1" applyFont="1" applyFill="1" applyBorder="1"/>
    <xf numFmtId="43" fontId="22" fillId="14" borderId="45" xfId="1" applyFont="1" applyFill="1" applyBorder="1"/>
    <xf numFmtId="4" fontId="23" fillId="14" borderId="46" xfId="0" applyNumberFormat="1" applyFont="1" applyFill="1" applyBorder="1" applyAlignment="1">
      <alignment horizontal="center"/>
    </xf>
    <xf numFmtId="43" fontId="22" fillId="14" borderId="25" xfId="1" applyFont="1" applyFill="1" applyBorder="1"/>
    <xf numFmtId="4" fontId="23" fillId="14" borderId="25" xfId="0" applyNumberFormat="1" applyFont="1" applyFill="1" applyBorder="1" applyAlignment="1">
      <alignment horizontal="center"/>
    </xf>
    <xf numFmtId="43" fontId="22" fillId="14" borderId="37" xfId="1" applyFont="1" applyFill="1" applyBorder="1"/>
    <xf numFmtId="0" fontId="3" fillId="17" borderId="16" xfId="0" applyFont="1" applyFill="1" applyBorder="1" applyAlignment="1">
      <alignment horizontal="center"/>
    </xf>
    <xf numFmtId="0" fontId="22" fillId="0" borderId="31" xfId="0" applyFont="1" applyBorder="1"/>
    <xf numFmtId="0" fontId="3" fillId="17" borderId="11" xfId="0" applyFont="1" applyFill="1" applyBorder="1" applyAlignment="1">
      <alignment horizontal="center"/>
    </xf>
    <xf numFmtId="0" fontId="22" fillId="0" borderId="34" xfId="0" applyFont="1" applyBorder="1"/>
    <xf numFmtId="43" fontId="22" fillId="0" borderId="34" xfId="1" applyFont="1" applyFill="1" applyBorder="1"/>
    <xf numFmtId="0" fontId="3" fillId="17" borderId="47" xfId="0" applyFont="1" applyFill="1" applyBorder="1" applyAlignment="1">
      <alignment horizontal="center"/>
    </xf>
    <xf numFmtId="43" fontId="22" fillId="0" borderId="37" xfId="1" applyFont="1" applyFill="1" applyBorder="1"/>
    <xf numFmtId="3" fontId="3" fillId="0" borderId="0" xfId="0" applyNumberFormat="1" applyFont="1" applyAlignment="1">
      <alignment horizontal="center"/>
    </xf>
    <xf numFmtId="3" fontId="3" fillId="7" borderId="0" xfId="0" applyNumberFormat="1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4" fontId="2" fillId="0" borderId="0" xfId="0" applyNumberFormat="1" applyFont="1" applyAlignment="1">
      <alignment vertical="center"/>
    </xf>
    <xf numFmtId="0" fontId="2" fillId="4" borderId="48" xfId="0" applyFont="1" applyFill="1" applyBorder="1" applyAlignment="1">
      <alignment horizontal="center" vertical="center" wrapText="1"/>
    </xf>
    <xf numFmtId="0" fontId="3" fillId="11" borderId="49" xfId="0" applyFont="1" applyFill="1" applyBorder="1"/>
    <xf numFmtId="0" fontId="3" fillId="0" borderId="29" xfId="0" applyFont="1" applyBorder="1" applyAlignment="1">
      <alignment horizontal="right" vertical="center"/>
    </xf>
    <xf numFmtId="0" fontId="3" fillId="0" borderId="30" xfId="0" applyFont="1" applyBorder="1" applyAlignment="1">
      <alignment horizontal="right" vertical="center"/>
    </xf>
    <xf numFmtId="0" fontId="3" fillId="7" borderId="30" xfId="0" applyFont="1" applyFill="1" applyBorder="1" applyAlignment="1">
      <alignment horizontal="right" vertical="center"/>
    </xf>
    <xf numFmtId="0" fontId="3" fillId="0" borderId="30" xfId="0" applyFont="1" applyBorder="1" applyAlignment="1">
      <alignment horizontal="right"/>
    </xf>
    <xf numFmtId="0" fontId="3" fillId="7" borderId="30" xfId="0" applyFont="1" applyFill="1" applyBorder="1" applyAlignment="1">
      <alignment horizontal="right"/>
    </xf>
    <xf numFmtId="0" fontId="2" fillId="0" borderId="30" xfId="0" applyFont="1" applyBorder="1" applyAlignment="1">
      <alignment horizontal="right"/>
    </xf>
    <xf numFmtId="0" fontId="3" fillId="0" borderId="31" xfId="0" applyFont="1" applyBorder="1" applyAlignment="1">
      <alignment horizontal="right"/>
    </xf>
    <xf numFmtId="0" fontId="2" fillId="4" borderId="50" xfId="0" applyFont="1" applyFill="1" applyBorder="1" applyAlignment="1">
      <alignment horizontal="center" vertical="center" wrapText="1"/>
    </xf>
    <xf numFmtId="0" fontId="3" fillId="11" borderId="51" xfId="0" applyFont="1" applyFill="1" applyBorder="1"/>
    <xf numFmtId="0" fontId="3" fillId="0" borderId="33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7" borderId="5" xfId="0" applyFont="1" applyFill="1" applyBorder="1" applyAlignment="1">
      <alignment horizontal="right" vertical="center"/>
    </xf>
    <xf numFmtId="0" fontId="3" fillId="0" borderId="5" xfId="0" applyFont="1" applyBorder="1" applyAlignment="1">
      <alignment horizontal="right"/>
    </xf>
    <xf numFmtId="0" fontId="3" fillId="7" borderId="5" xfId="0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3" fillId="0" borderId="34" xfId="0" applyFont="1" applyBorder="1" applyAlignment="1">
      <alignment horizontal="right"/>
    </xf>
    <xf numFmtId="0" fontId="2" fillId="4" borderId="52" xfId="0" applyFont="1" applyFill="1" applyBorder="1" applyAlignment="1">
      <alignment horizontal="center" vertical="center" wrapText="1"/>
    </xf>
    <xf numFmtId="0" fontId="3" fillId="11" borderId="53" xfId="0" applyFont="1" applyFill="1" applyBorder="1"/>
    <xf numFmtId="0" fontId="3" fillId="0" borderId="36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7" borderId="25" xfId="0" applyFont="1" applyFill="1" applyBorder="1" applyAlignment="1">
      <alignment horizontal="right" vertical="center"/>
    </xf>
    <xf numFmtId="0" fontId="3" fillId="0" borderId="25" xfId="0" applyFont="1" applyBorder="1" applyAlignment="1">
      <alignment horizontal="right"/>
    </xf>
    <xf numFmtId="0" fontId="3" fillId="7" borderId="25" xfId="0" applyFont="1" applyFill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3" fillId="0" borderId="37" xfId="0" applyFont="1" applyBorder="1" applyAlignment="1">
      <alignment horizontal="right"/>
    </xf>
    <xf numFmtId="0" fontId="3" fillId="0" borderId="54" xfId="0" applyFont="1" applyBorder="1"/>
    <xf numFmtId="0" fontId="3" fillId="7" borderId="54" xfId="0" applyFont="1" applyFill="1" applyBorder="1"/>
    <xf numFmtId="0" fontId="3" fillId="8" borderId="54" xfId="0" applyFont="1" applyFill="1" applyBorder="1"/>
    <xf numFmtId="0" fontId="3" fillId="7" borderId="0" xfId="0" applyFont="1" applyFill="1" applyBorder="1"/>
    <xf numFmtId="0" fontId="3" fillId="0" borderId="11" xfId="0" applyFont="1" applyBorder="1" applyAlignment="1">
      <alignment horizontal="center"/>
    </xf>
    <xf numFmtId="0" fontId="2" fillId="18" borderId="11" xfId="0" applyFont="1" applyFill="1" applyBorder="1" applyAlignment="1">
      <alignment horizontal="left"/>
    </xf>
    <xf numFmtId="0" fontId="2" fillId="18" borderId="11" xfId="0" applyFont="1" applyFill="1" applyBorder="1" applyAlignment="1">
      <alignment horizontal="right"/>
    </xf>
    <xf numFmtId="0" fontId="2" fillId="18" borderId="2" xfId="0" applyFont="1" applyFill="1" applyBorder="1" applyAlignment="1">
      <alignment horizontal="right"/>
    </xf>
    <xf numFmtId="0" fontId="2" fillId="18" borderId="4" xfId="0" applyFont="1" applyFill="1" applyBorder="1" applyAlignment="1">
      <alignment horizontal="left"/>
    </xf>
    <xf numFmtId="0" fontId="2" fillId="18" borderId="4" xfId="0" applyFont="1" applyFill="1" applyBorder="1" applyAlignment="1">
      <alignment horizontal="right"/>
    </xf>
    <xf numFmtId="0" fontId="2" fillId="19" borderId="4" xfId="0" applyFont="1" applyFill="1" applyBorder="1" applyAlignment="1">
      <alignment horizontal="right"/>
    </xf>
    <xf numFmtId="0" fontId="2" fillId="20" borderId="4" xfId="0" applyFont="1" applyFill="1" applyBorder="1" applyAlignment="1">
      <alignment horizontal="right"/>
    </xf>
    <xf numFmtId="0" fontId="3" fillId="11" borderId="4" xfId="0" applyFont="1" applyFill="1" applyBorder="1" applyAlignment="1">
      <alignment horizontal="right"/>
    </xf>
    <xf numFmtId="0" fontId="3" fillId="21" borderId="4" xfId="0" applyFont="1" applyFill="1" applyBorder="1" applyAlignment="1">
      <alignment horizontal="right"/>
    </xf>
    <xf numFmtId="0" fontId="3" fillId="20" borderId="4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3" fillId="22" borderId="4" xfId="0" applyFont="1" applyFill="1" applyBorder="1" applyAlignment="1">
      <alignment horizontal="right"/>
    </xf>
    <xf numFmtId="1" fontId="2" fillId="18" borderId="4" xfId="0" applyNumberFormat="1" applyFont="1" applyFill="1" applyBorder="1" applyAlignment="1">
      <alignment horizontal="right"/>
    </xf>
    <xf numFmtId="1" fontId="2" fillId="19" borderId="4" xfId="0" applyNumberFormat="1" applyFont="1" applyFill="1" applyBorder="1" applyAlignment="1">
      <alignment horizontal="right"/>
    </xf>
    <xf numFmtId="1" fontId="2" fillId="20" borderId="4" xfId="0" applyNumberFormat="1" applyFont="1" applyFill="1" applyBorder="1" applyAlignment="1">
      <alignment horizontal="right"/>
    </xf>
    <xf numFmtId="0" fontId="3" fillId="11" borderId="8" xfId="0" applyFont="1" applyFill="1" applyBorder="1"/>
    <xf numFmtId="0" fontId="3" fillId="11" borderId="8" xfId="0" applyFont="1" applyFill="1" applyBorder="1" applyAlignment="1">
      <alignment horizontal="right"/>
    </xf>
    <xf numFmtId="0" fontId="19" fillId="5" borderId="5" xfId="2" applyFont="1" applyFill="1" applyBorder="1" applyAlignment="1">
      <alignment horizontal="center"/>
    </xf>
    <xf numFmtId="0" fontId="5" fillId="5" borderId="5" xfId="2" applyFont="1" applyFill="1" applyBorder="1" applyAlignment="1">
      <alignment horizontal="center"/>
    </xf>
    <xf numFmtId="0" fontId="25" fillId="5" borderId="4" xfId="0" applyFont="1" applyFill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26" fillId="10" borderId="5" xfId="2" applyFont="1" applyFill="1" applyBorder="1" applyAlignment="1">
      <alignment horizontal="center"/>
    </xf>
    <xf numFmtId="0" fontId="27" fillId="10" borderId="5" xfId="2" applyFont="1" applyFill="1" applyBorder="1" applyAlignment="1">
      <alignment horizontal="center"/>
    </xf>
    <xf numFmtId="0" fontId="26" fillId="0" borderId="5" xfId="2" applyFont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28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9" borderId="16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/>
    </xf>
    <xf numFmtId="0" fontId="8" fillId="0" borderId="5" xfId="4" applyFont="1" applyBorder="1" applyAlignment="1">
      <alignment horizontal="center" vertical="center"/>
    </xf>
    <xf numFmtId="0" fontId="8" fillId="7" borderId="5" xfId="4" applyFont="1" applyFill="1" applyBorder="1" applyAlignment="1">
      <alignment horizontal="center" vertical="center"/>
    </xf>
    <xf numFmtId="0" fontId="9" fillId="0" borderId="5" xfId="4" applyFont="1" applyBorder="1" applyAlignment="1">
      <alignment horizontal="center" vertical="center"/>
    </xf>
    <xf numFmtId="0" fontId="30" fillId="0" borderId="4" xfId="4" applyFont="1" applyBorder="1" applyAlignment="1">
      <alignment horizontal="center" vertical="center"/>
    </xf>
    <xf numFmtId="0" fontId="30" fillId="7" borderId="4" xfId="4" applyFont="1" applyFill="1" applyBorder="1" applyAlignment="1">
      <alignment horizontal="center" vertical="center"/>
    </xf>
    <xf numFmtId="0" fontId="30" fillId="8" borderId="4" xfId="4" applyFont="1" applyFill="1" applyBorder="1" applyAlignment="1">
      <alignment horizontal="center" vertical="center"/>
    </xf>
    <xf numFmtId="0" fontId="30" fillId="0" borderId="4" xfId="4" applyFont="1" applyBorder="1" applyAlignment="1">
      <alignment horizontal="center"/>
    </xf>
    <xf numFmtId="0" fontId="11" fillId="0" borderId="4" xfId="4" applyFont="1" applyBorder="1" applyAlignment="1">
      <alignment horizontal="center" vertical="center"/>
    </xf>
    <xf numFmtId="10" fontId="31" fillId="0" borderId="4" xfId="0" applyNumberFormat="1" applyFont="1" applyBorder="1" applyAlignment="1">
      <alignment horizontal="center" vertical="center"/>
    </xf>
    <xf numFmtId="10" fontId="31" fillId="7" borderId="4" xfId="0" applyNumberFormat="1" applyFont="1" applyFill="1" applyBorder="1" applyAlignment="1">
      <alignment horizontal="center" vertical="center"/>
    </xf>
    <xf numFmtId="3" fontId="3" fillId="0" borderId="29" xfId="0" applyNumberFormat="1" applyFont="1" applyBorder="1"/>
    <xf numFmtId="43" fontId="4" fillId="0" borderId="31" xfId="1" applyFont="1" applyFill="1" applyBorder="1" applyAlignment="1">
      <alignment vertical="top"/>
    </xf>
    <xf numFmtId="3" fontId="3" fillId="0" borderId="33" xfId="0" applyNumberFormat="1" applyFont="1" applyBorder="1"/>
    <xf numFmtId="43" fontId="4" fillId="0" borderId="34" xfId="1" applyFont="1" applyFill="1" applyBorder="1" applyAlignment="1">
      <alignment vertical="top"/>
    </xf>
    <xf numFmtId="4" fontId="32" fillId="0" borderId="36" xfId="0" applyNumberFormat="1" applyFont="1" applyBorder="1"/>
    <xf numFmtId="43" fontId="4" fillId="0" borderId="55" xfId="1" applyFont="1" applyFill="1" applyBorder="1" applyAlignment="1">
      <alignment vertical="top"/>
    </xf>
    <xf numFmtId="43" fontId="4" fillId="0" borderId="56" xfId="1" applyFont="1" applyFill="1" applyBorder="1" applyAlignment="1">
      <alignment vertical="top"/>
    </xf>
    <xf numFmtId="3" fontId="3" fillId="5" borderId="57" xfId="0" applyNumberFormat="1" applyFont="1" applyFill="1" applyBorder="1"/>
    <xf numFmtId="0" fontId="29" fillId="5" borderId="5" xfId="0" applyFont="1" applyFill="1" applyBorder="1"/>
    <xf numFmtId="3" fontId="3" fillId="5" borderId="30" xfId="0" applyNumberFormat="1" applyFont="1" applyFill="1" applyBorder="1" applyAlignment="1">
      <alignment vertical="center"/>
    </xf>
    <xf numFmtId="43" fontId="3" fillId="5" borderId="31" xfId="1" applyFont="1" applyFill="1" applyBorder="1" applyAlignment="1">
      <alignment vertical="center"/>
    </xf>
    <xf numFmtId="3" fontId="3" fillId="5" borderId="58" xfId="0" applyNumberFormat="1" applyFont="1" applyFill="1" applyBorder="1"/>
    <xf numFmtId="3" fontId="3" fillId="5" borderId="5" xfId="0" applyNumberFormat="1" applyFont="1" applyFill="1" applyBorder="1" applyAlignment="1">
      <alignment vertical="center"/>
    </xf>
    <xf numFmtId="43" fontId="3" fillId="5" borderId="34" xfId="1" applyFont="1" applyFill="1" applyBorder="1" applyAlignment="1">
      <alignment vertical="center"/>
    </xf>
    <xf numFmtId="43" fontId="29" fillId="5" borderId="5" xfId="1" applyFont="1" applyFill="1" applyBorder="1" applyAlignment="1"/>
    <xf numFmtId="4" fontId="32" fillId="5" borderId="5" xfId="0" applyNumberFormat="1" applyFont="1" applyFill="1" applyBorder="1"/>
    <xf numFmtId="43" fontId="32" fillId="5" borderId="34" xfId="1" applyFont="1" applyFill="1" applyBorder="1" applyAlignment="1"/>
    <xf numFmtId="4" fontId="32" fillId="5" borderId="59" xfId="0" applyNumberFormat="1" applyFont="1" applyFill="1" applyBorder="1"/>
    <xf numFmtId="4" fontId="32" fillId="5" borderId="25" xfId="0" applyNumberFormat="1" applyFont="1" applyFill="1" applyBorder="1"/>
    <xf numFmtId="43" fontId="32" fillId="5" borderId="37" xfId="1" applyFont="1" applyFill="1" applyBorder="1" applyAlignment="1"/>
    <xf numFmtId="0" fontId="3" fillId="17" borderId="60" xfId="0" applyFont="1" applyFill="1" applyBorder="1"/>
    <xf numFmtId="0" fontId="3" fillId="17" borderId="11" xfId="0" applyFont="1" applyFill="1" applyBorder="1"/>
    <xf numFmtId="0" fontId="3" fillId="17" borderId="61" xfId="0" applyFont="1" applyFill="1" applyBorder="1"/>
    <xf numFmtId="0" fontId="8" fillId="17" borderId="33" xfId="0" applyFont="1" applyFill="1" applyBorder="1"/>
    <xf numFmtId="166" fontId="8" fillId="17" borderId="33" xfId="1" applyNumberFormat="1" applyFont="1" applyFill="1" applyBorder="1" applyAlignment="1"/>
    <xf numFmtId="166" fontId="8" fillId="17" borderId="36" xfId="1" applyNumberFormat="1" applyFont="1" applyFill="1" applyBorder="1" applyAlignment="1"/>
    <xf numFmtId="0" fontId="3" fillId="17" borderId="47" xfId="0" applyFont="1" applyFill="1" applyBorder="1"/>
    <xf numFmtId="0" fontId="3" fillId="17" borderId="62" xfId="0" applyFont="1" applyFill="1" applyBorder="1"/>
    <xf numFmtId="0" fontId="3" fillId="11" borderId="40" xfId="0" applyFont="1" applyFill="1" applyBorder="1"/>
    <xf numFmtId="0" fontId="3" fillId="11" borderId="43" xfId="0" applyFont="1" applyFill="1" applyBorder="1"/>
    <xf numFmtId="0" fontId="3" fillId="11" borderId="46" xfId="0" applyFont="1" applyFill="1" applyBorder="1"/>
  </cellXfs>
  <cellStyles count="5">
    <cellStyle name="Comma" xfId="1" builtinId="3"/>
    <cellStyle name="Normal" xfId="0" builtinId="0"/>
    <cellStyle name="Normal 2" xfId="3"/>
    <cellStyle name="Normal 3" xfId="2"/>
    <cellStyle name="Normal 5" xfId="4"/>
  </cellStyles>
  <dxfs count="11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4"/>
  <sheetViews>
    <sheetView topLeftCell="A106" workbookViewId="0">
      <selection activeCell="D123" sqref="D123"/>
    </sheetView>
  </sheetViews>
  <sheetFormatPr defaultRowHeight="15" x14ac:dyDescent="0.25"/>
  <cols>
    <col min="1" max="1" width="22.7109375" bestFit="1" customWidth="1"/>
    <col min="2" max="2" width="28.42578125" bestFit="1" customWidth="1"/>
    <col min="3" max="6" width="12.140625" bestFit="1" customWidth="1"/>
    <col min="7" max="7" width="8" bestFit="1" customWidth="1"/>
    <col min="8" max="8" width="13.7109375" bestFit="1" customWidth="1"/>
    <col min="9" max="9" width="8" bestFit="1" customWidth="1"/>
    <col min="10" max="11" width="13.7109375" bestFit="1" customWidth="1"/>
    <col min="12" max="12" width="14.7109375" bestFit="1" customWidth="1"/>
    <col min="13" max="13" width="13.7109375" bestFit="1" customWidth="1"/>
    <col min="14" max="14" width="9" bestFit="1" customWidth="1"/>
    <col min="15" max="15" width="13.7109375" bestFit="1" customWidth="1"/>
    <col min="16" max="17" width="14.7109375" bestFit="1" customWidth="1"/>
    <col min="18" max="18" width="13.7109375" bestFit="1" customWidth="1"/>
    <col min="19" max="19" width="14.7109375" bestFit="1" customWidth="1"/>
    <col min="20" max="20" width="13.7109375" bestFit="1" customWidth="1"/>
    <col min="21" max="21" width="9" bestFit="1" customWidth="1"/>
    <col min="22" max="22" width="14.7109375" bestFit="1" customWidth="1"/>
    <col min="23" max="23" width="13.7109375" bestFit="1" customWidth="1"/>
    <col min="24" max="27" width="14.7109375" bestFit="1" customWidth="1"/>
    <col min="28" max="28" width="13.7109375" bestFit="1" customWidth="1"/>
    <col min="29" max="32" width="14.7109375" bestFit="1" customWidth="1"/>
  </cols>
  <sheetData>
    <row r="1" spans="1:32" x14ac:dyDescent="0.25">
      <c r="A1" s="1" t="s">
        <v>0</v>
      </c>
      <c r="B1" s="2" t="s">
        <v>1</v>
      </c>
      <c r="C1" s="3">
        <v>46113</v>
      </c>
      <c r="D1" s="3">
        <v>46114</v>
      </c>
      <c r="E1" s="3">
        <v>46115</v>
      </c>
      <c r="F1" s="3">
        <v>46116</v>
      </c>
      <c r="G1" s="3">
        <v>46117</v>
      </c>
      <c r="H1" s="3">
        <v>46118</v>
      </c>
      <c r="I1" s="3">
        <v>46119</v>
      </c>
      <c r="J1" s="3">
        <v>46120</v>
      </c>
      <c r="K1" s="3">
        <v>46121</v>
      </c>
      <c r="L1" s="3">
        <v>46122</v>
      </c>
      <c r="M1" s="3">
        <v>46123</v>
      </c>
      <c r="N1" s="3">
        <v>46124</v>
      </c>
      <c r="O1" s="3">
        <v>46125</v>
      </c>
      <c r="P1" s="3">
        <v>46126</v>
      </c>
      <c r="Q1" s="3">
        <v>46127</v>
      </c>
      <c r="R1" s="3">
        <v>46128</v>
      </c>
      <c r="S1" s="3">
        <v>46129</v>
      </c>
      <c r="T1" s="3">
        <v>46130</v>
      </c>
      <c r="U1" s="3">
        <v>46131</v>
      </c>
      <c r="V1" s="3">
        <v>46132</v>
      </c>
      <c r="W1" s="3">
        <v>46133</v>
      </c>
      <c r="X1" s="3">
        <v>46134</v>
      </c>
      <c r="Y1" s="3">
        <v>46135</v>
      </c>
      <c r="Z1" s="3">
        <v>46136</v>
      </c>
      <c r="AA1" s="3">
        <v>46137</v>
      </c>
      <c r="AB1" s="3">
        <v>46138</v>
      </c>
      <c r="AC1" s="3">
        <v>46139</v>
      </c>
      <c r="AD1" s="3">
        <v>46140</v>
      </c>
      <c r="AE1" s="3">
        <v>46141</v>
      </c>
      <c r="AF1" s="3">
        <v>46142</v>
      </c>
    </row>
    <row r="2" spans="1:32" x14ac:dyDescent="0.25">
      <c r="A2" s="4" t="s">
        <v>2</v>
      </c>
      <c r="B2" s="5" t="s">
        <v>3</v>
      </c>
      <c r="C2" s="6">
        <v>2</v>
      </c>
      <c r="D2" s="6">
        <v>3</v>
      </c>
      <c r="E2" s="6">
        <v>6</v>
      </c>
      <c r="F2" s="6">
        <v>3</v>
      </c>
      <c r="G2" s="7">
        <v>0</v>
      </c>
      <c r="H2" s="6">
        <v>6</v>
      </c>
      <c r="I2" s="6">
        <v>8</v>
      </c>
      <c r="J2" s="6">
        <v>0</v>
      </c>
      <c r="K2" s="6">
        <v>7</v>
      </c>
      <c r="L2" s="6">
        <v>5</v>
      </c>
      <c r="M2" s="6">
        <v>4</v>
      </c>
      <c r="N2" s="6">
        <v>0</v>
      </c>
      <c r="O2" s="6">
        <v>3</v>
      </c>
      <c r="P2" s="6">
        <v>5</v>
      </c>
      <c r="Q2" s="6">
        <v>4</v>
      </c>
      <c r="R2" s="6">
        <v>3</v>
      </c>
      <c r="S2" s="6">
        <v>3</v>
      </c>
      <c r="T2" s="6">
        <v>4</v>
      </c>
      <c r="U2" s="6">
        <v>0</v>
      </c>
      <c r="V2" s="6">
        <v>4</v>
      </c>
      <c r="W2" s="6">
        <v>11</v>
      </c>
      <c r="X2" s="6">
        <v>5</v>
      </c>
      <c r="Y2" s="6">
        <v>5</v>
      </c>
      <c r="Z2" s="6">
        <v>5</v>
      </c>
      <c r="AA2" s="6">
        <v>2</v>
      </c>
      <c r="AB2" s="6">
        <v>0</v>
      </c>
      <c r="AC2" s="6">
        <v>5</v>
      </c>
      <c r="AD2" s="6">
        <v>4</v>
      </c>
      <c r="AE2" s="6">
        <v>10</v>
      </c>
      <c r="AF2" s="6">
        <v>2</v>
      </c>
    </row>
    <row r="3" spans="1:32" x14ac:dyDescent="0.25">
      <c r="A3" s="8"/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25">
      <c r="A4" s="8"/>
      <c r="B4" s="5" t="s">
        <v>5</v>
      </c>
      <c r="C4" s="6">
        <v>0</v>
      </c>
      <c r="D4" s="6">
        <v>0</v>
      </c>
      <c r="E4" s="6">
        <v>0</v>
      </c>
      <c r="F4" s="6">
        <v>0</v>
      </c>
      <c r="G4" s="7">
        <v>0</v>
      </c>
      <c r="H4" s="6">
        <v>0</v>
      </c>
      <c r="I4" s="6">
        <v>0</v>
      </c>
      <c r="J4" s="6">
        <v>0</v>
      </c>
      <c r="K4" s="6">
        <v>2</v>
      </c>
      <c r="L4" s="6">
        <v>2</v>
      </c>
      <c r="M4" s="6">
        <v>2</v>
      </c>
      <c r="N4" s="6">
        <v>0</v>
      </c>
      <c r="O4" s="6">
        <v>2</v>
      </c>
      <c r="P4" s="6">
        <v>1</v>
      </c>
      <c r="Q4" s="6">
        <v>2</v>
      </c>
      <c r="R4" s="6">
        <v>2</v>
      </c>
      <c r="S4" s="6">
        <v>3</v>
      </c>
      <c r="T4" s="6">
        <v>1</v>
      </c>
      <c r="U4" s="6">
        <v>0</v>
      </c>
      <c r="V4" s="6">
        <v>2</v>
      </c>
      <c r="W4" s="6">
        <v>2</v>
      </c>
      <c r="X4" s="6">
        <v>1</v>
      </c>
      <c r="Y4" s="6">
        <v>2</v>
      </c>
      <c r="Z4" s="6">
        <v>2</v>
      </c>
      <c r="AA4" s="6">
        <v>2</v>
      </c>
      <c r="AB4" s="6">
        <v>0</v>
      </c>
      <c r="AC4" s="6">
        <v>2</v>
      </c>
      <c r="AD4" s="6">
        <v>2</v>
      </c>
      <c r="AE4" s="6">
        <v>2</v>
      </c>
      <c r="AF4" s="6">
        <v>2</v>
      </c>
    </row>
    <row r="5" spans="1:32" x14ac:dyDescent="0.25">
      <c r="A5" s="8"/>
      <c r="B5" s="5" t="s">
        <v>6</v>
      </c>
      <c r="C5" s="6">
        <v>0</v>
      </c>
      <c r="D5" s="6">
        <v>0</v>
      </c>
      <c r="E5" s="6">
        <v>0</v>
      </c>
      <c r="F5" s="6">
        <v>0</v>
      </c>
      <c r="G5" s="7">
        <v>0</v>
      </c>
      <c r="H5" s="6">
        <v>0</v>
      </c>
      <c r="I5" s="6">
        <v>0</v>
      </c>
      <c r="J5" s="6">
        <v>0</v>
      </c>
      <c r="K5" s="6">
        <v>2</v>
      </c>
      <c r="L5" s="6">
        <v>2</v>
      </c>
      <c r="M5" s="6">
        <v>1</v>
      </c>
      <c r="N5" s="6">
        <v>0</v>
      </c>
      <c r="O5" s="6">
        <v>1</v>
      </c>
      <c r="P5" s="6">
        <v>2</v>
      </c>
      <c r="Q5" s="6">
        <v>2</v>
      </c>
      <c r="R5" s="6">
        <v>3</v>
      </c>
      <c r="S5" s="6">
        <v>2</v>
      </c>
      <c r="T5" s="6">
        <v>2</v>
      </c>
      <c r="U5" s="6">
        <v>0</v>
      </c>
      <c r="V5" s="6">
        <v>2</v>
      </c>
      <c r="W5" s="6">
        <v>2</v>
      </c>
      <c r="X5" s="6">
        <v>1</v>
      </c>
      <c r="Y5" s="6">
        <v>3</v>
      </c>
      <c r="Z5" s="6">
        <v>2</v>
      </c>
      <c r="AA5" s="6">
        <v>1</v>
      </c>
      <c r="AB5" s="6">
        <v>0</v>
      </c>
      <c r="AC5" s="6">
        <v>1</v>
      </c>
      <c r="AD5" s="6">
        <v>2</v>
      </c>
      <c r="AE5" s="6">
        <v>2</v>
      </c>
      <c r="AF5" s="6">
        <v>0</v>
      </c>
    </row>
    <row r="6" spans="1:32" x14ac:dyDescent="0.25">
      <c r="A6" s="8"/>
      <c r="B6" s="5" t="s">
        <v>7</v>
      </c>
      <c r="C6" s="6">
        <v>0</v>
      </c>
      <c r="D6" s="6">
        <v>0</v>
      </c>
      <c r="E6" s="6">
        <v>0</v>
      </c>
      <c r="F6" s="6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25">
      <c r="A7" s="8"/>
      <c r="B7" s="5" t="s">
        <v>8</v>
      </c>
      <c r="C7" s="6">
        <v>0</v>
      </c>
      <c r="D7" s="6">
        <v>0</v>
      </c>
      <c r="E7" s="6">
        <v>0</v>
      </c>
      <c r="F7" s="6">
        <v>0</v>
      </c>
      <c r="G7" s="7" t="s">
        <v>9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25">
      <c r="A8" s="8"/>
      <c r="B8" s="5" t="s">
        <v>10</v>
      </c>
      <c r="C8" s="6">
        <v>0</v>
      </c>
      <c r="D8" s="6">
        <v>0</v>
      </c>
      <c r="E8" s="6">
        <v>0</v>
      </c>
      <c r="F8" s="6">
        <v>0</v>
      </c>
      <c r="G8" s="7">
        <v>0</v>
      </c>
      <c r="H8" s="6">
        <v>0</v>
      </c>
      <c r="I8" s="6">
        <v>0</v>
      </c>
      <c r="J8" s="6">
        <v>0</v>
      </c>
      <c r="K8" s="6">
        <v>4</v>
      </c>
      <c r="L8" s="6">
        <v>5</v>
      </c>
      <c r="M8" s="6">
        <v>5</v>
      </c>
      <c r="N8" s="6">
        <v>0</v>
      </c>
      <c r="O8" s="6">
        <v>4</v>
      </c>
      <c r="P8" s="6">
        <v>2</v>
      </c>
      <c r="Q8" s="6">
        <v>1</v>
      </c>
      <c r="R8" s="6">
        <v>6</v>
      </c>
      <c r="S8" s="6">
        <v>3</v>
      </c>
      <c r="T8" s="6">
        <v>5</v>
      </c>
      <c r="U8" s="6">
        <v>0</v>
      </c>
      <c r="V8" s="6">
        <v>3</v>
      </c>
      <c r="W8" s="6">
        <v>6</v>
      </c>
      <c r="X8" s="6">
        <v>6</v>
      </c>
      <c r="Y8" s="6">
        <v>4</v>
      </c>
      <c r="Z8" s="6">
        <v>2</v>
      </c>
      <c r="AA8" s="6">
        <v>4</v>
      </c>
      <c r="AB8" s="6">
        <v>0</v>
      </c>
      <c r="AC8" s="6">
        <v>5</v>
      </c>
      <c r="AD8" s="6">
        <v>4</v>
      </c>
      <c r="AE8" s="6">
        <v>2</v>
      </c>
      <c r="AF8" s="6">
        <v>4</v>
      </c>
    </row>
    <row r="9" spans="1:32" x14ac:dyDescent="0.25">
      <c r="A9" s="9"/>
      <c r="B9" s="10" t="s">
        <v>11</v>
      </c>
      <c r="C9" s="11">
        <f t="shared" ref="C9:AF9" si="0">SUM(C2:C8)</f>
        <v>2</v>
      </c>
      <c r="D9" s="11">
        <f t="shared" si="0"/>
        <v>3</v>
      </c>
      <c r="E9" s="11">
        <f t="shared" si="0"/>
        <v>6</v>
      </c>
      <c r="F9" s="12">
        <f t="shared" si="0"/>
        <v>3</v>
      </c>
      <c r="G9" s="11">
        <f t="shared" si="0"/>
        <v>0</v>
      </c>
      <c r="H9" s="13">
        <f t="shared" si="0"/>
        <v>6</v>
      </c>
      <c r="I9" s="11">
        <f t="shared" si="0"/>
        <v>8</v>
      </c>
      <c r="J9" s="13">
        <f t="shared" si="0"/>
        <v>0</v>
      </c>
      <c r="K9" s="11">
        <f t="shared" si="0"/>
        <v>15</v>
      </c>
      <c r="L9" s="11">
        <f t="shared" si="0"/>
        <v>14</v>
      </c>
      <c r="M9" s="13">
        <f t="shared" si="0"/>
        <v>12</v>
      </c>
      <c r="N9" s="11">
        <f t="shared" si="0"/>
        <v>0</v>
      </c>
      <c r="O9" s="12">
        <f t="shared" si="0"/>
        <v>10</v>
      </c>
      <c r="P9" s="11">
        <f t="shared" si="0"/>
        <v>10</v>
      </c>
      <c r="Q9" s="11">
        <f t="shared" si="0"/>
        <v>9</v>
      </c>
      <c r="R9" s="11">
        <f t="shared" si="0"/>
        <v>14</v>
      </c>
      <c r="S9" s="11">
        <f t="shared" si="0"/>
        <v>11</v>
      </c>
      <c r="T9" s="11">
        <f t="shared" si="0"/>
        <v>12</v>
      </c>
      <c r="U9" s="11">
        <f t="shared" si="0"/>
        <v>0</v>
      </c>
      <c r="V9" s="11">
        <f t="shared" si="0"/>
        <v>11</v>
      </c>
      <c r="W9" s="11">
        <f t="shared" si="0"/>
        <v>21</v>
      </c>
      <c r="X9" s="11">
        <f t="shared" si="0"/>
        <v>13</v>
      </c>
      <c r="Y9" s="11">
        <f t="shared" si="0"/>
        <v>14</v>
      </c>
      <c r="Z9" s="11">
        <f t="shared" si="0"/>
        <v>11</v>
      </c>
      <c r="AA9" s="11">
        <f t="shared" si="0"/>
        <v>9</v>
      </c>
      <c r="AB9" s="11">
        <f t="shared" si="0"/>
        <v>0</v>
      </c>
      <c r="AC9" s="11">
        <f t="shared" si="0"/>
        <v>13</v>
      </c>
      <c r="AD9" s="11">
        <f t="shared" si="0"/>
        <v>12</v>
      </c>
      <c r="AE9" s="11">
        <f t="shared" si="0"/>
        <v>16</v>
      </c>
      <c r="AF9" s="11">
        <f t="shared" si="0"/>
        <v>8</v>
      </c>
    </row>
    <row r="10" spans="1:32" x14ac:dyDescent="0.25">
      <c r="A10" s="4" t="s">
        <v>12</v>
      </c>
      <c r="B10" s="14" t="s">
        <v>13</v>
      </c>
      <c r="C10" s="15">
        <v>1025</v>
      </c>
      <c r="D10" s="15">
        <f>+C13</f>
        <v>1103</v>
      </c>
      <c r="E10" s="15">
        <f t="shared" ref="E10:AF10" si="1">+D13</f>
        <v>1146</v>
      </c>
      <c r="F10" s="15">
        <f t="shared" si="1"/>
        <v>1349</v>
      </c>
      <c r="G10" s="16">
        <f t="shared" si="1"/>
        <v>1457</v>
      </c>
      <c r="H10" s="15">
        <f t="shared" si="1"/>
        <v>1457</v>
      </c>
      <c r="I10" s="15">
        <f t="shared" si="1"/>
        <v>1753</v>
      </c>
      <c r="J10" s="15">
        <f t="shared" si="1"/>
        <v>2405</v>
      </c>
      <c r="K10" s="15">
        <f t="shared" si="1"/>
        <v>1745</v>
      </c>
      <c r="L10" s="15">
        <f t="shared" si="1"/>
        <v>1659</v>
      </c>
      <c r="M10" s="15">
        <f t="shared" si="1"/>
        <v>1545</v>
      </c>
      <c r="N10" s="15">
        <f t="shared" si="1"/>
        <v>1458</v>
      </c>
      <c r="O10" s="15">
        <f t="shared" si="1"/>
        <v>1191</v>
      </c>
      <c r="P10" s="15">
        <f t="shared" si="1"/>
        <v>1091</v>
      </c>
      <c r="Q10" s="15">
        <f t="shared" si="1"/>
        <v>1324</v>
      </c>
      <c r="R10" s="15">
        <f t="shared" si="1"/>
        <v>1181</v>
      </c>
      <c r="S10" s="15">
        <f t="shared" si="1"/>
        <v>1038</v>
      </c>
      <c r="T10" s="15">
        <f t="shared" si="1"/>
        <v>771</v>
      </c>
      <c r="U10" s="15">
        <f t="shared" si="1"/>
        <v>792</v>
      </c>
      <c r="V10" s="15">
        <f t="shared" si="1"/>
        <v>330</v>
      </c>
      <c r="W10" s="15">
        <f t="shared" si="1"/>
        <v>300</v>
      </c>
      <c r="X10" s="15">
        <f t="shared" si="1"/>
        <v>640</v>
      </c>
      <c r="Y10" s="15">
        <f t="shared" si="1"/>
        <v>796</v>
      </c>
      <c r="Z10" s="15">
        <f t="shared" si="1"/>
        <v>814</v>
      </c>
      <c r="AA10" s="15">
        <f t="shared" si="1"/>
        <v>649</v>
      </c>
      <c r="AB10" s="15">
        <f t="shared" si="1"/>
        <v>557</v>
      </c>
      <c r="AC10" s="15">
        <f t="shared" si="1"/>
        <v>346</v>
      </c>
      <c r="AD10" s="15">
        <f t="shared" si="1"/>
        <v>462</v>
      </c>
      <c r="AE10" s="15">
        <f t="shared" si="1"/>
        <v>841</v>
      </c>
      <c r="AF10" s="15">
        <f t="shared" si="1"/>
        <v>1334</v>
      </c>
    </row>
    <row r="11" spans="1:32" x14ac:dyDescent="0.25">
      <c r="A11" s="8"/>
      <c r="B11" s="5" t="s">
        <v>14</v>
      </c>
      <c r="C11" s="15">
        <v>78</v>
      </c>
      <c r="D11" s="15">
        <v>44</v>
      </c>
      <c r="E11" s="15">
        <v>203</v>
      </c>
      <c r="F11" s="15">
        <v>108</v>
      </c>
      <c r="G11" s="16">
        <v>0</v>
      </c>
      <c r="H11" s="15">
        <v>305</v>
      </c>
      <c r="I11" s="15">
        <v>652</v>
      </c>
      <c r="J11" s="15">
        <v>0</v>
      </c>
      <c r="K11" s="15">
        <v>529</v>
      </c>
      <c r="L11" s="15">
        <v>564</v>
      </c>
      <c r="M11" s="15">
        <v>346</v>
      </c>
      <c r="N11" s="15">
        <v>0</v>
      </c>
      <c r="O11" s="15">
        <v>349</v>
      </c>
      <c r="P11" s="15">
        <v>591</v>
      </c>
      <c r="Q11" s="15">
        <v>323</v>
      </c>
      <c r="R11" s="15">
        <v>321</v>
      </c>
      <c r="S11" s="15">
        <v>274</v>
      </c>
      <c r="T11" s="15">
        <v>240</v>
      </c>
      <c r="U11" s="15">
        <v>0</v>
      </c>
      <c r="V11" s="15">
        <v>288</v>
      </c>
      <c r="W11" s="15">
        <v>680</v>
      </c>
      <c r="X11" s="15">
        <v>645</v>
      </c>
      <c r="Y11" s="15">
        <v>549</v>
      </c>
      <c r="Z11" s="15">
        <v>351</v>
      </c>
      <c r="AA11" s="15">
        <v>239</v>
      </c>
      <c r="AB11" s="15">
        <v>0</v>
      </c>
      <c r="AC11" s="15">
        <v>450</v>
      </c>
      <c r="AD11" s="15">
        <v>541</v>
      </c>
      <c r="AE11" s="15">
        <v>668</v>
      </c>
      <c r="AF11" s="15">
        <v>340</v>
      </c>
    </row>
    <row r="12" spans="1:32" x14ac:dyDescent="0.25">
      <c r="A12" s="8"/>
      <c r="B12" s="5" t="s">
        <v>15</v>
      </c>
      <c r="C12" s="15">
        <v>0</v>
      </c>
      <c r="D12" s="15">
        <v>1</v>
      </c>
      <c r="E12" s="15">
        <v>0</v>
      </c>
      <c r="F12" s="15">
        <v>0</v>
      </c>
      <c r="G12" s="16">
        <v>0</v>
      </c>
      <c r="H12" s="15">
        <v>9</v>
      </c>
      <c r="I12" s="15">
        <v>0</v>
      </c>
      <c r="J12" s="15">
        <v>660</v>
      </c>
      <c r="K12" s="15">
        <v>615</v>
      </c>
      <c r="L12" s="15">
        <v>678</v>
      </c>
      <c r="M12" s="15">
        <v>433</v>
      </c>
      <c r="N12" s="15">
        <v>267</v>
      </c>
      <c r="O12" s="15">
        <v>449</v>
      </c>
      <c r="P12" s="15">
        <v>358</v>
      </c>
      <c r="Q12" s="15">
        <v>466</v>
      </c>
      <c r="R12" s="15">
        <v>464</v>
      </c>
      <c r="S12" s="15">
        <v>541</v>
      </c>
      <c r="T12" s="15">
        <v>219</v>
      </c>
      <c r="U12" s="15">
        <v>462</v>
      </c>
      <c r="V12" s="15">
        <v>318</v>
      </c>
      <c r="W12" s="15">
        <v>340</v>
      </c>
      <c r="X12" s="15">
        <v>489</v>
      </c>
      <c r="Y12" s="15">
        <v>531</v>
      </c>
      <c r="Z12" s="15">
        <v>516</v>
      </c>
      <c r="AA12" s="15">
        <v>331</v>
      </c>
      <c r="AB12" s="15">
        <v>211</v>
      </c>
      <c r="AC12" s="15">
        <v>334</v>
      </c>
      <c r="AD12" s="15">
        <v>162</v>
      </c>
      <c r="AE12" s="15">
        <v>175</v>
      </c>
      <c r="AF12" s="15">
        <v>0</v>
      </c>
    </row>
    <row r="13" spans="1:32" x14ac:dyDescent="0.25">
      <c r="A13" s="8"/>
      <c r="B13" s="14" t="s">
        <v>16</v>
      </c>
      <c r="C13" s="17">
        <v>1103</v>
      </c>
      <c r="D13" s="15">
        <f>+D10+D11-D12</f>
        <v>1146</v>
      </c>
      <c r="E13" s="15">
        <f t="shared" ref="E13:AF13" si="2">+E10+E11-E12</f>
        <v>1349</v>
      </c>
      <c r="F13" s="15">
        <f t="shared" si="2"/>
        <v>1457</v>
      </c>
      <c r="G13" s="16">
        <f t="shared" si="2"/>
        <v>1457</v>
      </c>
      <c r="H13" s="15">
        <f t="shared" si="2"/>
        <v>1753</v>
      </c>
      <c r="I13" s="15">
        <f t="shared" si="2"/>
        <v>2405</v>
      </c>
      <c r="J13" s="15">
        <f t="shared" si="2"/>
        <v>1745</v>
      </c>
      <c r="K13" s="15">
        <f t="shared" si="2"/>
        <v>1659</v>
      </c>
      <c r="L13" s="15">
        <f t="shared" si="2"/>
        <v>1545</v>
      </c>
      <c r="M13" s="15">
        <f t="shared" si="2"/>
        <v>1458</v>
      </c>
      <c r="N13" s="15">
        <f t="shared" si="2"/>
        <v>1191</v>
      </c>
      <c r="O13" s="15">
        <f t="shared" si="2"/>
        <v>1091</v>
      </c>
      <c r="P13" s="15">
        <f t="shared" si="2"/>
        <v>1324</v>
      </c>
      <c r="Q13" s="15">
        <f t="shared" si="2"/>
        <v>1181</v>
      </c>
      <c r="R13" s="15">
        <f t="shared" si="2"/>
        <v>1038</v>
      </c>
      <c r="S13" s="15">
        <f t="shared" si="2"/>
        <v>771</v>
      </c>
      <c r="T13" s="15">
        <f t="shared" si="2"/>
        <v>792</v>
      </c>
      <c r="U13" s="15">
        <f t="shared" si="2"/>
        <v>330</v>
      </c>
      <c r="V13" s="15">
        <f t="shared" si="2"/>
        <v>300</v>
      </c>
      <c r="W13" s="15">
        <f t="shared" si="2"/>
        <v>640</v>
      </c>
      <c r="X13" s="15">
        <f t="shared" si="2"/>
        <v>796</v>
      </c>
      <c r="Y13" s="15">
        <f t="shared" si="2"/>
        <v>814</v>
      </c>
      <c r="Z13" s="15">
        <f t="shared" si="2"/>
        <v>649</v>
      </c>
      <c r="AA13" s="15">
        <f t="shared" si="2"/>
        <v>557</v>
      </c>
      <c r="AB13" s="15">
        <f t="shared" si="2"/>
        <v>346</v>
      </c>
      <c r="AC13" s="15">
        <f t="shared" si="2"/>
        <v>462</v>
      </c>
      <c r="AD13" s="15">
        <f t="shared" si="2"/>
        <v>841</v>
      </c>
      <c r="AE13" s="15">
        <f t="shared" si="2"/>
        <v>1334</v>
      </c>
      <c r="AF13" s="15">
        <f t="shared" si="2"/>
        <v>1674</v>
      </c>
    </row>
    <row r="14" spans="1:32" x14ac:dyDescent="0.25">
      <c r="A14" s="8"/>
      <c r="B14" s="14" t="s">
        <v>17</v>
      </c>
      <c r="C14" s="17">
        <v>2340</v>
      </c>
      <c r="D14" s="15">
        <f>+C17</f>
        <v>2552</v>
      </c>
      <c r="E14" s="15">
        <f t="shared" ref="E14:AF14" si="3">+D17</f>
        <v>2605</v>
      </c>
      <c r="F14" s="15">
        <f t="shared" si="3"/>
        <v>2926</v>
      </c>
      <c r="G14" s="16">
        <f t="shared" si="3"/>
        <v>3113</v>
      </c>
      <c r="H14" s="15">
        <f t="shared" si="3"/>
        <v>3113</v>
      </c>
      <c r="I14" s="15">
        <f t="shared" si="3"/>
        <v>3534</v>
      </c>
      <c r="J14" s="15">
        <f t="shared" si="3"/>
        <v>5029</v>
      </c>
      <c r="K14" s="15">
        <f t="shared" si="3"/>
        <v>4107</v>
      </c>
      <c r="L14" s="15">
        <f t="shared" si="3"/>
        <v>4288</v>
      </c>
      <c r="M14" s="15">
        <f t="shared" si="3"/>
        <v>3891</v>
      </c>
      <c r="N14" s="15">
        <f t="shared" si="3"/>
        <v>3543</v>
      </c>
      <c r="O14" s="15">
        <f t="shared" si="3"/>
        <v>2804</v>
      </c>
      <c r="P14" s="15">
        <f t="shared" si="3"/>
        <v>2967</v>
      </c>
      <c r="Q14" s="15">
        <f t="shared" si="3"/>
        <v>2292</v>
      </c>
      <c r="R14" s="15">
        <f t="shared" si="3"/>
        <v>2574</v>
      </c>
      <c r="S14" s="15">
        <f t="shared" si="3"/>
        <v>2259</v>
      </c>
      <c r="T14" s="15">
        <f t="shared" si="3"/>
        <v>2081</v>
      </c>
      <c r="U14" s="15">
        <f t="shared" si="3"/>
        <v>2762</v>
      </c>
      <c r="V14" s="15">
        <f t="shared" si="3"/>
        <v>2180</v>
      </c>
      <c r="W14" s="15">
        <f t="shared" si="3"/>
        <v>2243</v>
      </c>
      <c r="X14" s="15">
        <f t="shared" si="3"/>
        <v>2056</v>
      </c>
      <c r="Y14" s="15">
        <f t="shared" si="3"/>
        <v>3136</v>
      </c>
      <c r="Z14" s="15">
        <f t="shared" si="3"/>
        <v>1230</v>
      </c>
      <c r="AA14" s="15">
        <f t="shared" si="3"/>
        <v>1170</v>
      </c>
      <c r="AB14" s="15">
        <f t="shared" si="3"/>
        <v>789</v>
      </c>
      <c r="AC14" s="15">
        <f t="shared" si="3"/>
        <v>549</v>
      </c>
      <c r="AD14" s="15">
        <f t="shared" si="3"/>
        <v>1212</v>
      </c>
      <c r="AE14" s="15">
        <f t="shared" si="3"/>
        <v>2340</v>
      </c>
      <c r="AF14" s="15">
        <f t="shared" si="3"/>
        <v>2531</v>
      </c>
    </row>
    <row r="15" spans="1:32" x14ac:dyDescent="0.25">
      <c r="A15" s="8"/>
      <c r="B15" s="14" t="s">
        <v>18</v>
      </c>
      <c r="C15" s="17">
        <v>212</v>
      </c>
      <c r="D15" s="15">
        <v>55</v>
      </c>
      <c r="E15" s="15">
        <v>321</v>
      </c>
      <c r="F15" s="15">
        <v>187</v>
      </c>
      <c r="G15" s="16">
        <v>0</v>
      </c>
      <c r="H15" s="15">
        <v>434</v>
      </c>
      <c r="I15" s="15">
        <v>1495</v>
      </c>
      <c r="J15" s="15">
        <v>0</v>
      </c>
      <c r="K15" s="15">
        <v>1644</v>
      </c>
      <c r="L15" s="15">
        <v>1295</v>
      </c>
      <c r="M15" s="15">
        <v>957</v>
      </c>
      <c r="N15" s="15">
        <v>0</v>
      </c>
      <c r="O15" s="15">
        <v>2983</v>
      </c>
      <c r="P15" s="15">
        <v>829</v>
      </c>
      <c r="Q15" s="15">
        <v>1170</v>
      </c>
      <c r="R15" s="15">
        <v>488</v>
      </c>
      <c r="S15" s="15">
        <v>1189</v>
      </c>
      <c r="T15" s="15">
        <v>1492</v>
      </c>
      <c r="U15" s="15">
        <v>0</v>
      </c>
      <c r="V15" s="15">
        <v>719</v>
      </c>
      <c r="W15" s="15">
        <v>2088</v>
      </c>
      <c r="X15" s="15">
        <v>1801</v>
      </c>
      <c r="Y15" s="15">
        <v>1269</v>
      </c>
      <c r="Z15" s="15">
        <v>763</v>
      </c>
      <c r="AA15" s="15">
        <v>360</v>
      </c>
      <c r="AB15" s="15">
        <v>0</v>
      </c>
      <c r="AC15" s="15">
        <v>2742</v>
      </c>
      <c r="AD15" s="15">
        <v>1377</v>
      </c>
      <c r="AE15" s="15">
        <v>1397</v>
      </c>
      <c r="AF15" s="15">
        <v>717</v>
      </c>
    </row>
    <row r="16" spans="1:32" x14ac:dyDescent="0.25">
      <c r="A16" s="8"/>
      <c r="B16" s="14" t="s">
        <v>19</v>
      </c>
      <c r="C16" s="17">
        <v>0</v>
      </c>
      <c r="D16" s="15">
        <v>2</v>
      </c>
      <c r="E16" s="15">
        <v>0</v>
      </c>
      <c r="F16" s="15">
        <v>0</v>
      </c>
      <c r="G16" s="16">
        <v>0</v>
      </c>
      <c r="H16" s="15">
        <v>13</v>
      </c>
      <c r="I16" s="15">
        <v>0</v>
      </c>
      <c r="J16" s="15">
        <v>922</v>
      </c>
      <c r="K16" s="15">
        <v>1463</v>
      </c>
      <c r="L16" s="15">
        <v>1692</v>
      </c>
      <c r="M16" s="15">
        <v>1305</v>
      </c>
      <c r="N16" s="15">
        <v>739</v>
      </c>
      <c r="O16" s="15">
        <v>2820</v>
      </c>
      <c r="P16" s="15">
        <v>1504</v>
      </c>
      <c r="Q16" s="15">
        <v>888</v>
      </c>
      <c r="R16" s="15">
        <v>803</v>
      </c>
      <c r="S16" s="15">
        <v>1367</v>
      </c>
      <c r="T16" s="15">
        <v>811</v>
      </c>
      <c r="U16" s="15">
        <v>582</v>
      </c>
      <c r="V16" s="15">
        <v>656</v>
      </c>
      <c r="W16" s="15">
        <v>2275</v>
      </c>
      <c r="X16" s="15">
        <v>721</v>
      </c>
      <c r="Y16" s="15">
        <v>3175</v>
      </c>
      <c r="Z16" s="15">
        <v>823</v>
      </c>
      <c r="AA16" s="15">
        <v>741</v>
      </c>
      <c r="AB16" s="15">
        <v>240</v>
      </c>
      <c r="AC16" s="15">
        <v>2079</v>
      </c>
      <c r="AD16" s="15">
        <v>249</v>
      </c>
      <c r="AE16" s="15">
        <v>1206</v>
      </c>
      <c r="AF16" s="15">
        <v>0</v>
      </c>
    </row>
    <row r="17" spans="1:32" ht="15.75" thickBot="1" x14ac:dyDescent="0.3">
      <c r="A17" s="8"/>
      <c r="B17" s="18" t="s">
        <v>20</v>
      </c>
      <c r="C17" s="19">
        <f t="shared" ref="C17:AF17" si="4">+C14+C15-C16</f>
        <v>2552</v>
      </c>
      <c r="D17" s="19">
        <f t="shared" si="4"/>
        <v>2605</v>
      </c>
      <c r="E17" s="20">
        <f t="shared" si="4"/>
        <v>2926</v>
      </c>
      <c r="F17" s="20">
        <f t="shared" si="4"/>
        <v>3113</v>
      </c>
      <c r="G17" s="20">
        <f t="shared" si="4"/>
        <v>3113</v>
      </c>
      <c r="H17" s="21">
        <f t="shared" si="4"/>
        <v>3534</v>
      </c>
      <c r="I17" s="20">
        <f t="shared" si="4"/>
        <v>5029</v>
      </c>
      <c r="J17" s="21">
        <f t="shared" si="4"/>
        <v>4107</v>
      </c>
      <c r="K17" s="20">
        <f t="shared" si="4"/>
        <v>4288</v>
      </c>
      <c r="L17" s="20">
        <f t="shared" si="4"/>
        <v>3891</v>
      </c>
      <c r="M17" s="21">
        <f t="shared" si="4"/>
        <v>3543</v>
      </c>
      <c r="N17" s="20">
        <f t="shared" si="4"/>
        <v>2804</v>
      </c>
      <c r="O17" s="20">
        <f t="shared" si="4"/>
        <v>2967</v>
      </c>
      <c r="P17" s="20">
        <f t="shared" si="4"/>
        <v>2292</v>
      </c>
      <c r="Q17" s="20">
        <f t="shared" si="4"/>
        <v>2574</v>
      </c>
      <c r="R17" s="20">
        <f t="shared" si="4"/>
        <v>2259</v>
      </c>
      <c r="S17" s="20">
        <f t="shared" si="4"/>
        <v>2081</v>
      </c>
      <c r="T17" s="20">
        <f t="shared" si="4"/>
        <v>2762</v>
      </c>
      <c r="U17" s="20">
        <f t="shared" si="4"/>
        <v>2180</v>
      </c>
      <c r="V17" s="20">
        <f t="shared" si="4"/>
        <v>2243</v>
      </c>
      <c r="W17" s="20">
        <f t="shared" si="4"/>
        <v>2056</v>
      </c>
      <c r="X17" s="20">
        <f t="shared" si="4"/>
        <v>3136</v>
      </c>
      <c r="Y17" s="20">
        <f t="shared" si="4"/>
        <v>1230</v>
      </c>
      <c r="Z17" s="20">
        <f t="shared" si="4"/>
        <v>1170</v>
      </c>
      <c r="AA17" s="20">
        <f t="shared" si="4"/>
        <v>789</v>
      </c>
      <c r="AB17" s="20">
        <f t="shared" si="4"/>
        <v>549</v>
      </c>
      <c r="AC17" s="20">
        <f t="shared" si="4"/>
        <v>1212</v>
      </c>
      <c r="AD17" s="20">
        <f t="shared" si="4"/>
        <v>2340</v>
      </c>
      <c r="AE17" s="20">
        <f t="shared" si="4"/>
        <v>2531</v>
      </c>
      <c r="AF17" s="20">
        <f t="shared" si="4"/>
        <v>3248</v>
      </c>
    </row>
    <row r="18" spans="1:32" x14ac:dyDescent="0.25">
      <c r="A18" s="8"/>
      <c r="B18" s="22" t="s">
        <v>21</v>
      </c>
      <c r="C18" s="23">
        <v>2298</v>
      </c>
      <c r="D18" s="23">
        <f>+C21</f>
        <v>2713</v>
      </c>
      <c r="E18" s="23">
        <f t="shared" ref="E18:AF18" si="5">+D21</f>
        <v>2782</v>
      </c>
      <c r="F18" s="23">
        <f t="shared" si="5"/>
        <v>3420</v>
      </c>
      <c r="G18" s="24">
        <f t="shared" si="5"/>
        <v>3751</v>
      </c>
      <c r="H18" s="23">
        <f t="shared" si="5"/>
        <v>3751</v>
      </c>
      <c r="I18" s="23">
        <f t="shared" si="5"/>
        <v>4621</v>
      </c>
      <c r="J18" s="23">
        <f t="shared" si="5"/>
        <v>5995</v>
      </c>
      <c r="K18" s="23">
        <f t="shared" si="5"/>
        <v>4261</v>
      </c>
      <c r="L18" s="23">
        <f t="shared" si="5"/>
        <v>4359</v>
      </c>
      <c r="M18" s="23">
        <f t="shared" si="5"/>
        <v>4313</v>
      </c>
      <c r="N18" s="23">
        <f t="shared" si="5"/>
        <v>4429</v>
      </c>
      <c r="O18" s="23">
        <f t="shared" si="5"/>
        <v>3945</v>
      </c>
      <c r="P18" s="23">
        <f t="shared" si="5"/>
        <v>3455</v>
      </c>
      <c r="Q18" s="23">
        <f t="shared" si="5"/>
        <v>4158</v>
      </c>
      <c r="R18" s="23">
        <f t="shared" si="5"/>
        <v>3838</v>
      </c>
      <c r="S18" s="23">
        <f t="shared" si="5"/>
        <v>3180</v>
      </c>
      <c r="T18" s="23">
        <f t="shared" si="5"/>
        <v>2343</v>
      </c>
      <c r="U18" s="23">
        <f t="shared" si="5"/>
        <v>2196</v>
      </c>
      <c r="V18" s="23">
        <f t="shared" si="5"/>
        <v>978</v>
      </c>
      <c r="W18" s="23">
        <f t="shared" si="5"/>
        <v>980</v>
      </c>
      <c r="X18" s="23">
        <f t="shared" si="5"/>
        <v>2034</v>
      </c>
      <c r="Y18" s="23">
        <f t="shared" si="5"/>
        <v>2681</v>
      </c>
      <c r="Z18" s="23">
        <f t="shared" si="5"/>
        <v>2329</v>
      </c>
      <c r="AA18" s="23">
        <f t="shared" si="5"/>
        <v>1639</v>
      </c>
      <c r="AB18" s="23">
        <f t="shared" si="5"/>
        <v>1481</v>
      </c>
      <c r="AC18" s="23">
        <f t="shared" si="5"/>
        <v>1031</v>
      </c>
      <c r="AD18" s="23">
        <f t="shared" si="5"/>
        <v>1152</v>
      </c>
      <c r="AE18" s="23">
        <f t="shared" si="5"/>
        <v>1949</v>
      </c>
      <c r="AF18" s="23">
        <f t="shared" si="5"/>
        <v>3153</v>
      </c>
    </row>
    <row r="19" spans="1:32" x14ac:dyDescent="0.25">
      <c r="A19" s="8"/>
      <c r="B19" s="25" t="s">
        <v>22</v>
      </c>
      <c r="C19" s="23">
        <v>415</v>
      </c>
      <c r="D19" s="23">
        <v>70</v>
      </c>
      <c r="E19" s="23">
        <v>638</v>
      </c>
      <c r="F19" s="23">
        <v>331</v>
      </c>
      <c r="G19" s="24">
        <v>0</v>
      </c>
      <c r="H19" s="23">
        <v>881</v>
      </c>
      <c r="I19" s="23">
        <v>1374</v>
      </c>
      <c r="J19" s="23">
        <v>0</v>
      </c>
      <c r="K19" s="23">
        <v>1523</v>
      </c>
      <c r="L19" s="23">
        <v>1701</v>
      </c>
      <c r="M19" s="23">
        <v>925</v>
      </c>
      <c r="N19" s="23">
        <v>0</v>
      </c>
      <c r="O19" s="23">
        <v>977</v>
      </c>
      <c r="P19" s="23">
        <v>1730</v>
      </c>
      <c r="Q19" s="23">
        <v>912</v>
      </c>
      <c r="R19" s="23">
        <v>693</v>
      </c>
      <c r="S19" s="23">
        <v>547</v>
      </c>
      <c r="T19" s="23">
        <v>613</v>
      </c>
      <c r="U19" s="23">
        <v>0</v>
      </c>
      <c r="V19" s="23">
        <v>857</v>
      </c>
      <c r="W19" s="23">
        <v>1873</v>
      </c>
      <c r="X19" s="23">
        <v>1872</v>
      </c>
      <c r="Y19" s="23">
        <v>993</v>
      </c>
      <c r="Z19" s="23">
        <v>832</v>
      </c>
      <c r="AA19" s="23">
        <v>585</v>
      </c>
      <c r="AB19" s="23">
        <v>0</v>
      </c>
      <c r="AC19" s="23">
        <v>969</v>
      </c>
      <c r="AD19" s="23">
        <v>1195</v>
      </c>
      <c r="AE19" s="23">
        <v>1582</v>
      </c>
      <c r="AF19" s="23">
        <v>912</v>
      </c>
    </row>
    <row r="20" spans="1:32" x14ac:dyDescent="0.25">
      <c r="A20" s="8"/>
      <c r="B20" s="25" t="s">
        <v>23</v>
      </c>
      <c r="C20" s="23">
        <v>0</v>
      </c>
      <c r="D20" s="23">
        <v>1</v>
      </c>
      <c r="E20" s="23">
        <v>0</v>
      </c>
      <c r="F20" s="23">
        <v>0</v>
      </c>
      <c r="G20" s="24">
        <v>0</v>
      </c>
      <c r="H20" s="23">
        <v>11</v>
      </c>
      <c r="I20" s="23">
        <v>0</v>
      </c>
      <c r="J20" s="23">
        <v>1734</v>
      </c>
      <c r="K20" s="23">
        <v>1425</v>
      </c>
      <c r="L20" s="23">
        <v>1747</v>
      </c>
      <c r="M20" s="23">
        <v>809</v>
      </c>
      <c r="N20" s="23">
        <v>484</v>
      </c>
      <c r="O20" s="23">
        <v>1467</v>
      </c>
      <c r="P20" s="23">
        <v>1027</v>
      </c>
      <c r="Q20" s="23">
        <v>1232</v>
      </c>
      <c r="R20" s="23">
        <v>1351</v>
      </c>
      <c r="S20" s="23">
        <v>1384</v>
      </c>
      <c r="T20" s="23">
        <v>760</v>
      </c>
      <c r="U20" s="23">
        <v>1218</v>
      </c>
      <c r="V20" s="23">
        <v>855</v>
      </c>
      <c r="W20" s="23">
        <v>819</v>
      </c>
      <c r="X20" s="23">
        <v>1225</v>
      </c>
      <c r="Y20" s="23">
        <v>1345</v>
      </c>
      <c r="Z20" s="23">
        <v>1522</v>
      </c>
      <c r="AA20" s="23">
        <v>743</v>
      </c>
      <c r="AB20" s="23">
        <v>450</v>
      </c>
      <c r="AC20" s="23">
        <v>848</v>
      </c>
      <c r="AD20" s="23">
        <v>398</v>
      </c>
      <c r="AE20" s="23">
        <v>378</v>
      </c>
      <c r="AF20" s="23">
        <v>0</v>
      </c>
    </row>
    <row r="21" spans="1:32" x14ac:dyDescent="0.25">
      <c r="A21" s="8"/>
      <c r="B21" s="25" t="s">
        <v>24</v>
      </c>
      <c r="C21" s="24">
        <v>2713</v>
      </c>
      <c r="D21" s="24">
        <f t="shared" ref="D21:AF21" si="6">+D18+D19-D20</f>
        <v>2782</v>
      </c>
      <c r="E21" s="24">
        <f t="shared" si="6"/>
        <v>3420</v>
      </c>
      <c r="F21" s="24">
        <f t="shared" si="6"/>
        <v>3751</v>
      </c>
      <c r="G21" s="24">
        <f t="shared" si="6"/>
        <v>3751</v>
      </c>
      <c r="H21" s="24">
        <f t="shared" si="6"/>
        <v>4621</v>
      </c>
      <c r="I21" s="24">
        <f t="shared" si="6"/>
        <v>5995</v>
      </c>
      <c r="J21" s="24">
        <f t="shared" si="6"/>
        <v>4261</v>
      </c>
      <c r="K21" s="24">
        <f t="shared" si="6"/>
        <v>4359</v>
      </c>
      <c r="L21" s="24">
        <f t="shared" si="6"/>
        <v>4313</v>
      </c>
      <c r="M21" s="24">
        <f t="shared" si="6"/>
        <v>4429</v>
      </c>
      <c r="N21" s="24">
        <f t="shared" si="6"/>
        <v>3945</v>
      </c>
      <c r="O21" s="24">
        <f t="shared" si="6"/>
        <v>3455</v>
      </c>
      <c r="P21" s="24">
        <f t="shared" si="6"/>
        <v>4158</v>
      </c>
      <c r="Q21" s="24">
        <f t="shared" si="6"/>
        <v>3838</v>
      </c>
      <c r="R21" s="24">
        <f t="shared" si="6"/>
        <v>3180</v>
      </c>
      <c r="S21" s="24">
        <f t="shared" si="6"/>
        <v>2343</v>
      </c>
      <c r="T21" s="24">
        <f t="shared" si="6"/>
        <v>2196</v>
      </c>
      <c r="U21" s="24">
        <f t="shared" si="6"/>
        <v>978</v>
      </c>
      <c r="V21" s="24">
        <f t="shared" si="6"/>
        <v>980</v>
      </c>
      <c r="W21" s="24">
        <f t="shared" si="6"/>
        <v>2034</v>
      </c>
      <c r="X21" s="24">
        <f t="shared" si="6"/>
        <v>2681</v>
      </c>
      <c r="Y21" s="24">
        <f t="shared" si="6"/>
        <v>2329</v>
      </c>
      <c r="Z21" s="24">
        <f t="shared" si="6"/>
        <v>1639</v>
      </c>
      <c r="AA21" s="24">
        <f t="shared" si="6"/>
        <v>1481</v>
      </c>
      <c r="AB21" s="24">
        <f t="shared" si="6"/>
        <v>1031</v>
      </c>
      <c r="AC21" s="24">
        <f t="shared" si="6"/>
        <v>1152</v>
      </c>
      <c r="AD21" s="24">
        <f t="shared" si="6"/>
        <v>1949</v>
      </c>
      <c r="AE21" s="24">
        <f t="shared" si="6"/>
        <v>3153</v>
      </c>
      <c r="AF21" s="24">
        <f t="shared" si="6"/>
        <v>4065</v>
      </c>
    </row>
    <row r="22" spans="1:32" x14ac:dyDescent="0.25">
      <c r="A22" s="8"/>
      <c r="B22" s="25" t="s">
        <v>25</v>
      </c>
      <c r="C22" s="23">
        <v>415</v>
      </c>
      <c r="D22" s="23">
        <v>70</v>
      </c>
      <c r="E22" s="23">
        <v>638</v>
      </c>
      <c r="F22" s="23">
        <v>331</v>
      </c>
      <c r="G22" s="24">
        <v>0</v>
      </c>
      <c r="H22" s="23">
        <v>881</v>
      </c>
      <c r="I22" s="23">
        <v>1374</v>
      </c>
      <c r="J22" s="23">
        <v>0</v>
      </c>
      <c r="K22" s="23">
        <v>1514</v>
      </c>
      <c r="L22" s="23">
        <v>1701</v>
      </c>
      <c r="M22" s="23">
        <v>925</v>
      </c>
      <c r="N22" s="23">
        <v>0</v>
      </c>
      <c r="O22" s="23">
        <v>946</v>
      </c>
      <c r="P22" s="23">
        <v>1730</v>
      </c>
      <c r="Q22" s="23">
        <v>910</v>
      </c>
      <c r="R22" s="23">
        <v>693</v>
      </c>
      <c r="S22" s="23">
        <v>547</v>
      </c>
      <c r="T22" s="23">
        <v>610</v>
      </c>
      <c r="U22" s="23">
        <v>0</v>
      </c>
      <c r="V22" s="23">
        <v>799</v>
      </c>
      <c r="W22" s="23">
        <v>1850</v>
      </c>
      <c r="X22" s="23">
        <v>1804</v>
      </c>
      <c r="Y22" s="23">
        <v>894</v>
      </c>
      <c r="Z22" s="23">
        <v>832</v>
      </c>
      <c r="AA22" s="23">
        <v>585</v>
      </c>
      <c r="AB22" s="23">
        <v>0</v>
      </c>
      <c r="AC22" s="23">
        <v>823</v>
      </c>
      <c r="AD22" s="23">
        <v>1194</v>
      </c>
      <c r="AE22" s="23">
        <v>1582</v>
      </c>
      <c r="AF22" s="23">
        <v>912</v>
      </c>
    </row>
    <row r="23" spans="1:32" x14ac:dyDescent="0.25">
      <c r="A23" s="8"/>
      <c r="B23" s="25" t="s">
        <v>26</v>
      </c>
      <c r="C23" s="23">
        <v>789</v>
      </c>
      <c r="D23" s="23">
        <v>415</v>
      </c>
      <c r="E23" s="23">
        <v>70</v>
      </c>
      <c r="F23" s="23">
        <v>638</v>
      </c>
      <c r="G23" s="24">
        <v>0</v>
      </c>
      <c r="H23" s="23">
        <v>331</v>
      </c>
      <c r="I23" s="23">
        <v>881</v>
      </c>
      <c r="J23" s="23">
        <v>1373</v>
      </c>
      <c r="K23" s="23">
        <v>0</v>
      </c>
      <c r="L23" s="23">
        <v>1502</v>
      </c>
      <c r="M23" s="23">
        <v>1620</v>
      </c>
      <c r="N23" s="23">
        <v>917</v>
      </c>
      <c r="O23" s="23">
        <v>0</v>
      </c>
      <c r="P23" s="23">
        <v>855</v>
      </c>
      <c r="Q23" s="23">
        <v>1623</v>
      </c>
      <c r="R23" s="23">
        <v>709</v>
      </c>
      <c r="S23" s="23">
        <v>403</v>
      </c>
      <c r="T23" s="23">
        <v>502</v>
      </c>
      <c r="U23" s="23">
        <f>397+140</f>
        <v>537</v>
      </c>
      <c r="V23" s="23">
        <v>0</v>
      </c>
      <c r="W23" s="23">
        <v>179</v>
      </c>
      <c r="X23" s="23">
        <v>867</v>
      </c>
      <c r="Y23" s="23">
        <v>1208</v>
      </c>
      <c r="Z23" s="23">
        <v>592</v>
      </c>
      <c r="AA23" s="23">
        <v>603</v>
      </c>
      <c r="AB23" s="23">
        <v>458</v>
      </c>
      <c r="AC23" s="23">
        <v>96</v>
      </c>
      <c r="AD23" s="23">
        <v>682</v>
      </c>
      <c r="AE23" s="23">
        <v>998</v>
      </c>
      <c r="AF23" s="23">
        <v>1582</v>
      </c>
    </row>
    <row r="24" spans="1:32" ht="15.75" thickBot="1" x14ac:dyDescent="0.3">
      <c r="A24" s="8"/>
      <c r="B24" s="26" t="s">
        <v>27</v>
      </c>
      <c r="C24" s="23">
        <v>1509</v>
      </c>
      <c r="D24" s="23">
        <v>2297</v>
      </c>
      <c r="E24" s="23">
        <v>2712</v>
      </c>
      <c r="F24" s="23">
        <v>2782</v>
      </c>
      <c r="G24" s="24">
        <v>0</v>
      </c>
      <c r="H24" s="23">
        <v>3409</v>
      </c>
      <c r="I24" s="23">
        <v>3740</v>
      </c>
      <c r="J24" s="23">
        <v>2888</v>
      </c>
      <c r="K24" s="23">
        <v>2845</v>
      </c>
      <c r="L24" s="23">
        <v>1110</v>
      </c>
      <c r="M24" s="23">
        <v>1884</v>
      </c>
      <c r="N24" s="23">
        <v>3028</v>
      </c>
      <c r="O24" s="23">
        <v>2509</v>
      </c>
      <c r="P24" s="23">
        <v>1573</v>
      </c>
      <c r="Q24" s="23">
        <v>1305</v>
      </c>
      <c r="R24" s="23">
        <v>1778</v>
      </c>
      <c r="S24" s="23">
        <v>1393</v>
      </c>
      <c r="T24" s="23">
        <v>1084</v>
      </c>
      <c r="U24" s="23">
        <v>441</v>
      </c>
      <c r="V24" s="23">
        <v>181</v>
      </c>
      <c r="W24" s="23">
        <v>5</v>
      </c>
      <c r="X24" s="23">
        <v>10</v>
      </c>
      <c r="Y24" s="23">
        <v>227</v>
      </c>
      <c r="Z24" s="23">
        <v>215</v>
      </c>
      <c r="AA24" s="23">
        <v>293</v>
      </c>
      <c r="AB24" s="23">
        <v>573</v>
      </c>
      <c r="AC24" s="23">
        <v>233</v>
      </c>
      <c r="AD24" s="23">
        <v>73</v>
      </c>
      <c r="AE24" s="23">
        <v>573</v>
      </c>
      <c r="AF24" s="23">
        <v>1571</v>
      </c>
    </row>
    <row r="25" spans="1:32" x14ac:dyDescent="0.25">
      <c r="A25" s="8"/>
      <c r="B25" s="27" t="s">
        <v>28</v>
      </c>
      <c r="C25" s="15">
        <v>215057</v>
      </c>
      <c r="D25" s="15">
        <f>+C28</f>
        <v>222539</v>
      </c>
      <c r="E25" s="15">
        <f t="shared" ref="E25:AF25" si="7">+D28</f>
        <v>223156</v>
      </c>
      <c r="F25" s="15">
        <f t="shared" si="7"/>
        <v>231351</v>
      </c>
      <c r="G25" s="16">
        <f t="shared" si="7"/>
        <v>241471</v>
      </c>
      <c r="H25" s="15">
        <f t="shared" si="7"/>
        <v>241471</v>
      </c>
      <c r="I25" s="15">
        <f t="shared" si="7"/>
        <v>251708</v>
      </c>
      <c r="J25" s="15">
        <f t="shared" si="7"/>
        <v>311886</v>
      </c>
      <c r="K25" s="15">
        <f t="shared" si="7"/>
        <v>273836</v>
      </c>
      <c r="L25" s="15">
        <f t="shared" si="7"/>
        <v>337805</v>
      </c>
      <c r="M25" s="15">
        <f t="shared" si="7"/>
        <v>347346</v>
      </c>
      <c r="N25" s="15">
        <f t="shared" si="7"/>
        <v>418456</v>
      </c>
      <c r="O25" s="15">
        <f t="shared" si="7"/>
        <v>336471</v>
      </c>
      <c r="P25" s="15">
        <f t="shared" si="7"/>
        <v>294884</v>
      </c>
      <c r="Q25" s="15">
        <f t="shared" si="7"/>
        <v>310679</v>
      </c>
      <c r="R25" s="15">
        <f t="shared" si="7"/>
        <v>255556</v>
      </c>
      <c r="S25" s="15">
        <f t="shared" si="7"/>
        <v>237358</v>
      </c>
      <c r="T25" s="15">
        <f t="shared" si="7"/>
        <v>224703</v>
      </c>
      <c r="U25" s="15">
        <f t="shared" si="7"/>
        <v>228760</v>
      </c>
      <c r="V25" s="15">
        <f t="shared" si="7"/>
        <v>104899</v>
      </c>
      <c r="W25" s="15">
        <f t="shared" si="7"/>
        <v>133342</v>
      </c>
      <c r="X25" s="15">
        <f t="shared" si="7"/>
        <v>142127</v>
      </c>
      <c r="Y25" s="15">
        <f t="shared" si="7"/>
        <v>154353</v>
      </c>
      <c r="Z25" s="15">
        <f t="shared" si="7"/>
        <v>141715</v>
      </c>
      <c r="AA25" s="15">
        <f t="shared" si="7"/>
        <v>129019</v>
      </c>
      <c r="AB25" s="15">
        <f t="shared" si="7"/>
        <v>123494</v>
      </c>
      <c r="AC25" s="15">
        <f t="shared" si="7"/>
        <v>56552</v>
      </c>
      <c r="AD25" s="15">
        <f t="shared" si="7"/>
        <v>90709</v>
      </c>
      <c r="AE25" s="15">
        <f t="shared" si="7"/>
        <v>161709</v>
      </c>
      <c r="AF25" s="15">
        <f t="shared" si="7"/>
        <v>225893</v>
      </c>
    </row>
    <row r="26" spans="1:32" x14ac:dyDescent="0.25">
      <c r="A26" s="8"/>
      <c r="B26" s="28" t="s">
        <v>29</v>
      </c>
      <c r="C26" s="15">
        <v>7482</v>
      </c>
      <c r="D26" s="15">
        <v>619</v>
      </c>
      <c r="E26" s="15">
        <v>8195</v>
      </c>
      <c r="F26" s="15">
        <v>10120</v>
      </c>
      <c r="G26" s="16">
        <v>0</v>
      </c>
      <c r="H26" s="15">
        <v>10271</v>
      </c>
      <c r="I26" s="15">
        <v>60178</v>
      </c>
      <c r="J26" s="15">
        <v>0</v>
      </c>
      <c r="K26" s="15">
        <v>148820</v>
      </c>
      <c r="L26" s="15">
        <v>145117</v>
      </c>
      <c r="M26" s="15">
        <v>158762</v>
      </c>
      <c r="N26" s="15">
        <v>0</v>
      </c>
      <c r="O26" s="15">
        <v>107505</v>
      </c>
      <c r="P26" s="15">
        <v>95745</v>
      </c>
      <c r="Q26" s="15">
        <v>82689</v>
      </c>
      <c r="R26" s="15">
        <v>86381</v>
      </c>
      <c r="S26" s="15">
        <v>79195</v>
      </c>
      <c r="T26" s="15">
        <v>68539</v>
      </c>
      <c r="U26" s="15">
        <v>0</v>
      </c>
      <c r="V26" s="15">
        <v>101176</v>
      </c>
      <c r="W26" s="15">
        <v>104834</v>
      </c>
      <c r="X26" s="15">
        <v>107024</v>
      </c>
      <c r="Y26" s="15">
        <v>77724</v>
      </c>
      <c r="Z26" s="15">
        <v>79372</v>
      </c>
      <c r="AA26" s="15">
        <v>61056</v>
      </c>
      <c r="AB26" s="15">
        <v>0</v>
      </c>
      <c r="AC26" s="15">
        <v>94310</v>
      </c>
      <c r="AD26" s="15">
        <v>126026</v>
      </c>
      <c r="AE26" s="15">
        <v>148269</v>
      </c>
      <c r="AF26" s="15">
        <v>87535</v>
      </c>
    </row>
    <row r="27" spans="1:32" x14ac:dyDescent="0.25">
      <c r="A27" s="8"/>
      <c r="B27" s="28" t="s">
        <v>30</v>
      </c>
      <c r="C27" s="15">
        <v>0</v>
      </c>
      <c r="D27" s="15">
        <v>2</v>
      </c>
      <c r="E27" s="15">
        <v>0</v>
      </c>
      <c r="F27" s="15">
        <v>0</v>
      </c>
      <c r="G27" s="16">
        <v>0</v>
      </c>
      <c r="H27" s="15">
        <v>34</v>
      </c>
      <c r="I27" s="15">
        <v>0</v>
      </c>
      <c r="J27" s="15">
        <v>38050</v>
      </c>
      <c r="K27" s="15">
        <v>84851</v>
      </c>
      <c r="L27" s="15">
        <v>135576</v>
      </c>
      <c r="M27" s="15">
        <v>87652</v>
      </c>
      <c r="N27" s="15">
        <v>81985</v>
      </c>
      <c r="O27" s="15">
        <v>149092</v>
      </c>
      <c r="P27" s="15">
        <v>79950</v>
      </c>
      <c r="Q27" s="15">
        <v>137812</v>
      </c>
      <c r="R27" s="15">
        <v>104579</v>
      </c>
      <c r="S27" s="15">
        <v>91850</v>
      </c>
      <c r="T27" s="15">
        <v>64482</v>
      </c>
      <c r="U27" s="15">
        <v>123861</v>
      </c>
      <c r="V27" s="15">
        <v>72733</v>
      </c>
      <c r="W27" s="15">
        <v>96049</v>
      </c>
      <c r="X27" s="15">
        <v>94798</v>
      </c>
      <c r="Y27" s="15">
        <v>90362</v>
      </c>
      <c r="Z27" s="15">
        <v>92068</v>
      </c>
      <c r="AA27" s="15">
        <v>66581</v>
      </c>
      <c r="AB27" s="15">
        <v>66942</v>
      </c>
      <c r="AC27" s="15">
        <v>60153</v>
      </c>
      <c r="AD27" s="15">
        <v>55026</v>
      </c>
      <c r="AE27" s="15">
        <v>84085</v>
      </c>
      <c r="AF27" s="15">
        <v>0</v>
      </c>
    </row>
    <row r="28" spans="1:32" x14ac:dyDescent="0.25">
      <c r="A28" s="8"/>
      <c r="B28" s="28" t="s">
        <v>31</v>
      </c>
      <c r="C28" s="16">
        <v>222539</v>
      </c>
      <c r="D28" s="16">
        <f t="shared" ref="D28:AF28" si="8">+D25+D26-D27</f>
        <v>223156</v>
      </c>
      <c r="E28" s="16">
        <f t="shared" si="8"/>
        <v>231351</v>
      </c>
      <c r="F28" s="16">
        <f t="shared" si="8"/>
        <v>241471</v>
      </c>
      <c r="G28" s="16">
        <f t="shared" si="8"/>
        <v>241471</v>
      </c>
      <c r="H28" s="16">
        <f t="shared" si="8"/>
        <v>251708</v>
      </c>
      <c r="I28" s="16">
        <f t="shared" si="8"/>
        <v>311886</v>
      </c>
      <c r="J28" s="16">
        <f t="shared" si="8"/>
        <v>273836</v>
      </c>
      <c r="K28" s="16">
        <f t="shared" si="8"/>
        <v>337805</v>
      </c>
      <c r="L28" s="16">
        <f t="shared" si="8"/>
        <v>347346</v>
      </c>
      <c r="M28" s="16">
        <f t="shared" si="8"/>
        <v>418456</v>
      </c>
      <c r="N28" s="16">
        <f t="shared" si="8"/>
        <v>336471</v>
      </c>
      <c r="O28" s="16">
        <f t="shared" si="8"/>
        <v>294884</v>
      </c>
      <c r="P28" s="16">
        <f t="shared" si="8"/>
        <v>310679</v>
      </c>
      <c r="Q28" s="16">
        <f t="shared" si="8"/>
        <v>255556</v>
      </c>
      <c r="R28" s="16">
        <f t="shared" si="8"/>
        <v>237358</v>
      </c>
      <c r="S28" s="16">
        <f t="shared" si="8"/>
        <v>224703</v>
      </c>
      <c r="T28" s="16">
        <f t="shared" si="8"/>
        <v>228760</v>
      </c>
      <c r="U28" s="16">
        <f t="shared" si="8"/>
        <v>104899</v>
      </c>
      <c r="V28" s="16">
        <f t="shared" si="8"/>
        <v>133342</v>
      </c>
      <c r="W28" s="16">
        <f t="shared" si="8"/>
        <v>142127</v>
      </c>
      <c r="X28" s="16">
        <f t="shared" si="8"/>
        <v>154353</v>
      </c>
      <c r="Y28" s="16">
        <f t="shared" si="8"/>
        <v>141715</v>
      </c>
      <c r="Z28" s="16">
        <f t="shared" si="8"/>
        <v>129019</v>
      </c>
      <c r="AA28" s="16">
        <f t="shared" si="8"/>
        <v>123494</v>
      </c>
      <c r="AB28" s="16">
        <f t="shared" si="8"/>
        <v>56552</v>
      </c>
      <c r="AC28" s="16">
        <f t="shared" si="8"/>
        <v>90709</v>
      </c>
      <c r="AD28" s="16">
        <f t="shared" si="8"/>
        <v>161709</v>
      </c>
      <c r="AE28" s="16">
        <f t="shared" si="8"/>
        <v>225893</v>
      </c>
      <c r="AF28" s="16">
        <f t="shared" si="8"/>
        <v>313428</v>
      </c>
    </row>
    <row r="29" spans="1:32" x14ac:dyDescent="0.25">
      <c r="A29" s="8"/>
      <c r="B29" s="29" t="s">
        <v>32</v>
      </c>
      <c r="C29" s="30">
        <v>70000</v>
      </c>
      <c r="D29" s="30">
        <v>70000</v>
      </c>
      <c r="E29" s="30">
        <v>70000</v>
      </c>
      <c r="F29" s="30">
        <v>70000</v>
      </c>
      <c r="G29" s="30">
        <v>70000</v>
      </c>
      <c r="H29" s="30">
        <v>70000</v>
      </c>
      <c r="I29" s="30">
        <v>70000</v>
      </c>
      <c r="J29" s="30">
        <v>70000</v>
      </c>
      <c r="K29" s="30">
        <v>70000</v>
      </c>
      <c r="L29" s="30">
        <v>70000</v>
      </c>
      <c r="M29" s="30">
        <v>70000</v>
      </c>
      <c r="N29" s="30">
        <v>70000</v>
      </c>
      <c r="O29" s="30">
        <v>70000</v>
      </c>
      <c r="P29" s="30">
        <v>70000</v>
      </c>
      <c r="Q29" s="30">
        <v>70000</v>
      </c>
      <c r="R29" s="30">
        <v>70000</v>
      </c>
      <c r="S29" s="30">
        <v>70000</v>
      </c>
      <c r="T29" s="30">
        <v>70000</v>
      </c>
      <c r="U29" s="30">
        <v>70000</v>
      </c>
      <c r="V29" s="30">
        <v>70000</v>
      </c>
      <c r="W29" s="30">
        <v>70000</v>
      </c>
      <c r="X29" s="30">
        <v>70000</v>
      </c>
      <c r="Y29" s="30">
        <v>70000</v>
      </c>
      <c r="Z29" s="30">
        <v>70000</v>
      </c>
      <c r="AA29" s="30">
        <v>70000</v>
      </c>
      <c r="AB29" s="30">
        <v>70000</v>
      </c>
      <c r="AC29" s="30">
        <v>70000</v>
      </c>
      <c r="AD29" s="30">
        <v>70000</v>
      </c>
      <c r="AE29" s="30">
        <v>70000</v>
      </c>
      <c r="AF29" s="30">
        <v>70000</v>
      </c>
    </row>
    <row r="30" spans="1:32" ht="15.75" thickBot="1" x14ac:dyDescent="0.3">
      <c r="A30" s="31"/>
      <c r="B30" s="32" t="s">
        <v>33</v>
      </c>
      <c r="C30" s="33">
        <f>IFERROR(C27/C29,)</f>
        <v>0</v>
      </c>
      <c r="D30" s="33">
        <f t="shared" ref="D30:AF30" si="9">IFERROR(D27/D29,)</f>
        <v>2.8571428571428571E-5</v>
      </c>
      <c r="E30" s="34">
        <f t="shared" si="9"/>
        <v>0</v>
      </c>
      <c r="F30" s="35">
        <f t="shared" si="9"/>
        <v>0</v>
      </c>
      <c r="G30" s="33">
        <f t="shared" si="9"/>
        <v>0</v>
      </c>
      <c r="H30" s="35">
        <f t="shared" si="9"/>
        <v>4.8571428571428572E-4</v>
      </c>
      <c r="I30" s="33">
        <f t="shared" si="9"/>
        <v>0</v>
      </c>
      <c r="J30" s="35">
        <f t="shared" si="9"/>
        <v>0.54357142857142859</v>
      </c>
      <c r="K30" s="35">
        <f t="shared" si="9"/>
        <v>1.2121571428571429</v>
      </c>
      <c r="L30" s="35">
        <f t="shared" si="9"/>
        <v>1.9368000000000001</v>
      </c>
      <c r="M30" s="35">
        <f t="shared" si="9"/>
        <v>1.2521714285714285</v>
      </c>
      <c r="N30" s="35">
        <f t="shared" si="9"/>
        <v>1.1712142857142858</v>
      </c>
      <c r="O30" s="35">
        <f t="shared" si="9"/>
        <v>2.1298857142857144</v>
      </c>
      <c r="P30" s="35">
        <f t="shared" si="9"/>
        <v>1.1421428571428571</v>
      </c>
      <c r="Q30" s="35">
        <f t="shared" si="9"/>
        <v>1.9687428571428571</v>
      </c>
      <c r="R30" s="35">
        <f t="shared" si="9"/>
        <v>1.4939857142857143</v>
      </c>
      <c r="S30" s="35">
        <f t="shared" si="9"/>
        <v>1.3121428571428571</v>
      </c>
      <c r="T30" s="35">
        <f t="shared" si="9"/>
        <v>0.92117142857142853</v>
      </c>
      <c r="U30" s="35">
        <f t="shared" si="9"/>
        <v>1.7694428571428571</v>
      </c>
      <c r="V30" s="35">
        <f t="shared" si="9"/>
        <v>1.0390428571428572</v>
      </c>
      <c r="W30" s="35">
        <f t="shared" si="9"/>
        <v>1.3721285714285714</v>
      </c>
      <c r="X30" s="35">
        <f t="shared" si="9"/>
        <v>1.3542571428571428</v>
      </c>
      <c r="Y30" s="35">
        <f t="shared" si="9"/>
        <v>1.2908857142857142</v>
      </c>
      <c r="Z30" s="35">
        <f t="shared" si="9"/>
        <v>1.3152571428571429</v>
      </c>
      <c r="AA30" s="35">
        <f t="shared" si="9"/>
        <v>0.95115714285714281</v>
      </c>
      <c r="AB30" s="35">
        <f t="shared" si="9"/>
        <v>0.95631428571428567</v>
      </c>
      <c r="AC30" s="35">
        <f t="shared" si="9"/>
        <v>0.85932857142857144</v>
      </c>
      <c r="AD30" s="35">
        <f t="shared" si="9"/>
        <v>0.78608571428571428</v>
      </c>
      <c r="AE30" s="35">
        <f t="shared" si="9"/>
        <v>1.2012142857142858</v>
      </c>
      <c r="AF30" s="35">
        <f t="shared" si="9"/>
        <v>0</v>
      </c>
    </row>
    <row r="31" spans="1:32" ht="15.75" thickBot="1" x14ac:dyDescent="0.3">
      <c r="A31" s="36"/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9"/>
      <c r="AF31" s="39"/>
    </row>
    <row r="32" spans="1:32" x14ac:dyDescent="0.25">
      <c r="A32" s="40" t="s">
        <v>34</v>
      </c>
      <c r="B32" s="41" t="s">
        <v>35</v>
      </c>
      <c r="C32" s="42">
        <v>0</v>
      </c>
      <c r="D32" s="43">
        <v>0</v>
      </c>
      <c r="E32" s="43">
        <v>0</v>
      </c>
      <c r="F32" s="43">
        <v>0</v>
      </c>
      <c r="G32" s="42">
        <f t="shared" ref="G32:I32" si="10">+F44</f>
        <v>0</v>
      </c>
      <c r="H32" s="43">
        <v>0</v>
      </c>
      <c r="I32" s="42">
        <f t="shared" si="10"/>
        <v>0</v>
      </c>
      <c r="J32" s="43">
        <v>0</v>
      </c>
      <c r="K32" s="43">
        <v>1110</v>
      </c>
      <c r="L32" s="42">
        <f t="shared" ref="L32:W32" si="11">+K44</f>
        <v>7933</v>
      </c>
      <c r="M32" s="42">
        <f t="shared" si="11"/>
        <v>7339</v>
      </c>
      <c r="N32" s="42">
        <f t="shared" si="11"/>
        <v>7589</v>
      </c>
      <c r="O32" s="42">
        <f t="shared" si="11"/>
        <v>5930</v>
      </c>
      <c r="P32" s="42">
        <f t="shared" si="11"/>
        <v>6814</v>
      </c>
      <c r="Q32" s="42">
        <f t="shared" si="11"/>
        <v>7141</v>
      </c>
      <c r="R32" s="42">
        <f t="shared" si="11"/>
        <v>6961</v>
      </c>
      <c r="S32" s="42">
        <f t="shared" si="11"/>
        <v>7047</v>
      </c>
      <c r="T32" s="42">
        <f t="shared" si="11"/>
        <v>7677</v>
      </c>
      <c r="U32" s="42">
        <f t="shared" si="11"/>
        <v>6844</v>
      </c>
      <c r="V32" s="42">
        <f t="shared" si="11"/>
        <v>4653</v>
      </c>
      <c r="W32" s="42">
        <f t="shared" si="11"/>
        <v>4831</v>
      </c>
      <c r="X32" s="44">
        <v>6425</v>
      </c>
      <c r="Y32" s="44">
        <v>6857</v>
      </c>
      <c r="Z32" s="44">
        <v>6610</v>
      </c>
      <c r="AA32" s="44">
        <v>6007</v>
      </c>
      <c r="AB32" s="44">
        <v>6428</v>
      </c>
      <c r="AC32" s="44">
        <v>4439</v>
      </c>
      <c r="AD32" s="44">
        <v>6032</v>
      </c>
      <c r="AE32" s="44">
        <v>6987</v>
      </c>
      <c r="AF32" s="45">
        <f t="shared" ref="AF32" si="12">+AE44</f>
        <v>6497</v>
      </c>
    </row>
    <row r="33" spans="1:32" x14ac:dyDescent="0.25">
      <c r="A33" s="46"/>
      <c r="B33" s="47" t="s">
        <v>36</v>
      </c>
      <c r="C33" s="48"/>
      <c r="D33" s="43">
        <v>10</v>
      </c>
      <c r="E33" s="43">
        <v>128</v>
      </c>
      <c r="F33" s="43">
        <v>0</v>
      </c>
      <c r="G33" s="48">
        <v>0</v>
      </c>
      <c r="H33" s="43">
        <v>24</v>
      </c>
      <c r="I33" s="48">
        <v>0</v>
      </c>
      <c r="J33" s="43">
        <v>1116</v>
      </c>
      <c r="K33" s="43">
        <v>7825</v>
      </c>
      <c r="L33" s="43">
        <v>1746</v>
      </c>
      <c r="M33" s="43">
        <v>2563</v>
      </c>
      <c r="N33" s="43">
        <v>0</v>
      </c>
      <c r="O33" s="43">
        <v>2809</v>
      </c>
      <c r="P33" s="43">
        <v>2452</v>
      </c>
      <c r="Q33" s="43">
        <v>2012</v>
      </c>
      <c r="R33" s="43">
        <v>2462</v>
      </c>
      <c r="S33" s="43">
        <v>2889</v>
      </c>
      <c r="T33" s="43">
        <v>1324</v>
      </c>
      <c r="U33" s="43">
        <v>0</v>
      </c>
      <c r="V33" s="43">
        <v>2297</v>
      </c>
      <c r="W33" s="43">
        <v>3851</v>
      </c>
      <c r="X33" s="44">
        <v>2909</v>
      </c>
      <c r="Y33" s="44">
        <v>2097</v>
      </c>
      <c r="Z33" s="44">
        <v>1856</v>
      </c>
      <c r="AA33" s="44">
        <v>2443</v>
      </c>
      <c r="AB33" s="44">
        <v>0</v>
      </c>
      <c r="AC33" s="44">
        <v>4026</v>
      </c>
      <c r="AD33" s="44">
        <v>3874</v>
      </c>
      <c r="AE33" s="44">
        <v>2431</v>
      </c>
      <c r="AF33" s="49">
        <v>0</v>
      </c>
    </row>
    <row r="34" spans="1:32" x14ac:dyDescent="0.25">
      <c r="A34" s="46"/>
      <c r="B34" s="47" t="s">
        <v>37</v>
      </c>
      <c r="C34" s="50">
        <f t="shared" ref="C34:I34" si="13">C32+C33</f>
        <v>0</v>
      </c>
      <c r="D34" s="51">
        <v>10</v>
      </c>
      <c r="E34" s="51">
        <v>128</v>
      </c>
      <c r="F34" s="51">
        <v>0</v>
      </c>
      <c r="G34" s="50">
        <f t="shared" si="13"/>
        <v>0</v>
      </c>
      <c r="H34" s="51">
        <v>24</v>
      </c>
      <c r="I34" s="50">
        <f t="shared" si="13"/>
        <v>0</v>
      </c>
      <c r="J34" s="51">
        <v>1116</v>
      </c>
      <c r="K34" s="51">
        <v>8935</v>
      </c>
      <c r="L34" s="51">
        <v>9679</v>
      </c>
      <c r="M34" s="51">
        <v>9902</v>
      </c>
      <c r="N34" s="51">
        <v>7589</v>
      </c>
      <c r="O34" s="51">
        <v>8739</v>
      </c>
      <c r="P34" s="51">
        <v>9266</v>
      </c>
      <c r="Q34" s="51">
        <v>9153</v>
      </c>
      <c r="R34" s="51">
        <v>9423</v>
      </c>
      <c r="S34" s="51">
        <v>9936</v>
      </c>
      <c r="T34" s="51">
        <v>9201</v>
      </c>
      <c r="U34" s="51">
        <v>6844</v>
      </c>
      <c r="V34" s="51">
        <v>6950</v>
      </c>
      <c r="W34" s="51">
        <v>8682</v>
      </c>
      <c r="X34" s="52">
        <v>9334</v>
      </c>
      <c r="Y34" s="52">
        <v>8954</v>
      </c>
      <c r="Z34" s="52">
        <v>8466</v>
      </c>
      <c r="AA34" s="52">
        <v>8450</v>
      </c>
      <c r="AB34" s="52">
        <v>6428</v>
      </c>
      <c r="AC34" s="52">
        <v>8465</v>
      </c>
      <c r="AD34" s="52">
        <v>9906</v>
      </c>
      <c r="AE34" s="52">
        <v>9418</v>
      </c>
      <c r="AF34" s="53">
        <f t="shared" ref="AF34" si="14">AF32+AF33</f>
        <v>6497</v>
      </c>
    </row>
    <row r="35" spans="1:32" x14ac:dyDescent="0.25">
      <c r="A35" s="46"/>
      <c r="B35" s="47" t="s">
        <v>38</v>
      </c>
      <c r="C35" s="48"/>
      <c r="D35" s="54">
        <v>10</v>
      </c>
      <c r="E35" s="54">
        <v>128</v>
      </c>
      <c r="F35" s="54">
        <v>0</v>
      </c>
      <c r="G35" s="48">
        <v>0</v>
      </c>
      <c r="H35" s="43">
        <v>24</v>
      </c>
      <c r="I35" s="48">
        <v>0</v>
      </c>
      <c r="J35" s="54">
        <v>70</v>
      </c>
      <c r="K35" s="54">
        <v>1487</v>
      </c>
      <c r="L35" s="54">
        <v>75</v>
      </c>
      <c r="M35" s="54">
        <v>40</v>
      </c>
      <c r="N35" s="54">
        <v>0</v>
      </c>
      <c r="O35" s="54">
        <v>317</v>
      </c>
      <c r="P35" s="54">
        <v>581</v>
      </c>
      <c r="Q35" s="54">
        <v>238</v>
      </c>
      <c r="R35" s="54">
        <v>327</v>
      </c>
      <c r="S35" s="54">
        <v>23</v>
      </c>
      <c r="T35" s="54">
        <v>50</v>
      </c>
      <c r="U35" s="54">
        <v>0</v>
      </c>
      <c r="V35" s="54">
        <v>39</v>
      </c>
      <c r="W35" s="54">
        <v>256</v>
      </c>
      <c r="X35" s="55">
        <v>143</v>
      </c>
      <c r="Y35" s="55">
        <v>64</v>
      </c>
      <c r="Z35" s="55">
        <v>160</v>
      </c>
      <c r="AA35" s="55">
        <v>21</v>
      </c>
      <c r="AB35" s="55">
        <v>0</v>
      </c>
      <c r="AC35" s="55">
        <v>37</v>
      </c>
      <c r="AD35" s="55">
        <v>29</v>
      </c>
      <c r="AE35" s="55">
        <v>4</v>
      </c>
      <c r="AF35" s="49">
        <v>0</v>
      </c>
    </row>
    <row r="36" spans="1:32" x14ac:dyDescent="0.25">
      <c r="A36" s="46"/>
      <c r="B36" s="47" t="s">
        <v>39</v>
      </c>
      <c r="C36" s="48"/>
      <c r="D36" s="54">
        <v>48</v>
      </c>
      <c r="E36" s="54">
        <v>1618</v>
      </c>
      <c r="F36" s="54">
        <v>0</v>
      </c>
      <c r="G36" s="48">
        <v>0</v>
      </c>
      <c r="H36" s="54">
        <v>3976</v>
      </c>
      <c r="I36" s="48">
        <v>0</v>
      </c>
      <c r="J36" s="54">
        <v>48958</v>
      </c>
      <c r="K36" s="54">
        <v>324533</v>
      </c>
      <c r="L36" s="54">
        <v>63461</v>
      </c>
      <c r="M36" s="54">
        <v>60221</v>
      </c>
      <c r="N36" s="54">
        <v>0</v>
      </c>
      <c r="O36" s="54">
        <v>138258</v>
      </c>
      <c r="P36" s="54">
        <v>83616</v>
      </c>
      <c r="Q36" s="54">
        <v>59666</v>
      </c>
      <c r="R36" s="54">
        <v>141555</v>
      </c>
      <c r="S36" s="54">
        <v>116723</v>
      </c>
      <c r="T36" s="54">
        <v>52178</v>
      </c>
      <c r="U36" s="54">
        <v>0</v>
      </c>
      <c r="V36" s="54">
        <v>75733</v>
      </c>
      <c r="W36" s="54">
        <v>116154</v>
      </c>
      <c r="X36" s="55">
        <v>116856</v>
      </c>
      <c r="Y36" s="55">
        <v>79181</v>
      </c>
      <c r="Z36" s="55">
        <v>67814</v>
      </c>
      <c r="AA36" s="55">
        <v>89437</v>
      </c>
      <c r="AB36" s="55">
        <v>0</v>
      </c>
      <c r="AC36" s="55">
        <v>162157</v>
      </c>
      <c r="AD36" s="55">
        <v>130529</v>
      </c>
      <c r="AE36" s="55">
        <v>86962</v>
      </c>
      <c r="AF36" s="49">
        <v>0</v>
      </c>
    </row>
    <row r="37" spans="1:32" x14ac:dyDescent="0.25">
      <c r="A37" s="46"/>
      <c r="B37" s="47" t="s">
        <v>40</v>
      </c>
      <c r="C37" s="48"/>
      <c r="D37" s="54">
        <v>48</v>
      </c>
      <c r="E37" s="54">
        <v>1224</v>
      </c>
      <c r="F37" s="54">
        <v>394</v>
      </c>
      <c r="G37" s="48">
        <v>0</v>
      </c>
      <c r="H37" s="54">
        <v>3976</v>
      </c>
      <c r="I37" s="48">
        <v>0</v>
      </c>
      <c r="J37" s="54">
        <v>343</v>
      </c>
      <c r="K37" s="54">
        <v>25557</v>
      </c>
      <c r="L37" s="54">
        <v>75020</v>
      </c>
      <c r="M37" s="54">
        <v>83710</v>
      </c>
      <c r="N37" s="54">
        <v>55324</v>
      </c>
      <c r="O37" s="54">
        <v>80504</v>
      </c>
      <c r="P37" s="54">
        <v>63232</v>
      </c>
      <c r="Q37" s="54">
        <v>81876</v>
      </c>
      <c r="R37" s="54">
        <v>90659</v>
      </c>
      <c r="S37" s="54">
        <v>82972</v>
      </c>
      <c r="T37" s="54">
        <v>68467</v>
      </c>
      <c r="U37" s="54">
        <v>63860</v>
      </c>
      <c r="V37" s="54">
        <v>121851</v>
      </c>
      <c r="W37" s="54">
        <v>106142</v>
      </c>
      <c r="X37" s="55">
        <v>109964</v>
      </c>
      <c r="Y37" s="55">
        <v>92700</v>
      </c>
      <c r="Z37" s="55">
        <v>88101</v>
      </c>
      <c r="AA37" s="55">
        <v>71113</v>
      </c>
      <c r="AB37" s="55">
        <v>59732</v>
      </c>
      <c r="AC37" s="55">
        <v>91507</v>
      </c>
      <c r="AD37" s="55">
        <v>129416</v>
      </c>
      <c r="AE37" s="55">
        <v>122371</v>
      </c>
      <c r="AF37" s="49">
        <v>0</v>
      </c>
    </row>
    <row r="38" spans="1:32" x14ac:dyDescent="0.25">
      <c r="A38" s="46"/>
      <c r="B38" s="47" t="s">
        <v>41</v>
      </c>
      <c r="C38" s="48"/>
      <c r="D38" s="43">
        <v>10</v>
      </c>
      <c r="E38" s="43">
        <v>128</v>
      </c>
      <c r="F38" s="43">
        <v>0</v>
      </c>
      <c r="G38" s="48">
        <v>0</v>
      </c>
      <c r="H38" s="43">
        <v>24</v>
      </c>
      <c r="I38" s="48">
        <v>0</v>
      </c>
      <c r="J38" s="43">
        <v>6</v>
      </c>
      <c r="K38" s="43">
        <v>1002</v>
      </c>
      <c r="L38" s="43">
        <v>2340</v>
      </c>
      <c r="M38" s="43">
        <v>2313</v>
      </c>
      <c r="N38" s="43">
        <v>1659</v>
      </c>
      <c r="O38" s="43">
        <v>1925</v>
      </c>
      <c r="P38" s="43">
        <v>2125</v>
      </c>
      <c r="Q38" s="43">
        <v>2192</v>
      </c>
      <c r="R38" s="43">
        <v>2376</v>
      </c>
      <c r="S38" s="43">
        <v>2259</v>
      </c>
      <c r="T38" s="43">
        <v>2357</v>
      </c>
      <c r="U38" s="43">
        <v>2191</v>
      </c>
      <c r="V38" s="43">
        <v>2119</v>
      </c>
      <c r="W38" s="43">
        <v>2257</v>
      </c>
      <c r="X38" s="44">
        <v>2477</v>
      </c>
      <c r="Y38" s="44">
        <v>2344</v>
      </c>
      <c r="Z38" s="44">
        <v>2459</v>
      </c>
      <c r="AA38" s="44">
        <v>2022</v>
      </c>
      <c r="AB38" s="44">
        <v>1989</v>
      </c>
      <c r="AC38" s="44">
        <v>2433</v>
      </c>
      <c r="AD38" s="44">
        <v>2919</v>
      </c>
      <c r="AE38" s="44">
        <v>2921</v>
      </c>
      <c r="AF38" s="49">
        <v>6497</v>
      </c>
    </row>
    <row r="39" spans="1:32" x14ac:dyDescent="0.25">
      <c r="A39" s="46"/>
      <c r="B39" s="47" t="s">
        <v>42</v>
      </c>
      <c r="C39" s="56">
        <f t="shared" ref="C39:AF39" si="15">C32+C33-C38</f>
        <v>0</v>
      </c>
      <c r="D39" s="56">
        <f>D32+D33-D38</f>
        <v>0</v>
      </c>
      <c r="E39" s="56">
        <f>E32+E33-E38</f>
        <v>0</v>
      </c>
      <c r="F39" s="56">
        <f t="shared" si="15"/>
        <v>0</v>
      </c>
      <c r="G39" s="56">
        <f t="shared" si="15"/>
        <v>0</v>
      </c>
      <c r="H39" s="56">
        <f t="shared" si="15"/>
        <v>0</v>
      </c>
      <c r="I39" s="56">
        <f t="shared" si="15"/>
        <v>0</v>
      </c>
      <c r="J39" s="56">
        <f t="shared" si="15"/>
        <v>1110</v>
      </c>
      <c r="K39" s="56">
        <f t="shared" si="15"/>
        <v>7933</v>
      </c>
      <c r="L39" s="56">
        <f t="shared" si="15"/>
        <v>7339</v>
      </c>
      <c r="M39" s="56">
        <f t="shared" si="15"/>
        <v>7589</v>
      </c>
      <c r="N39" s="56">
        <f t="shared" si="15"/>
        <v>5930</v>
      </c>
      <c r="O39" s="56">
        <f t="shared" si="15"/>
        <v>6814</v>
      </c>
      <c r="P39" s="56">
        <f t="shared" si="15"/>
        <v>7141</v>
      </c>
      <c r="Q39" s="56">
        <f t="shared" si="15"/>
        <v>6961</v>
      </c>
      <c r="R39" s="56">
        <f t="shared" si="15"/>
        <v>7047</v>
      </c>
      <c r="S39" s="56">
        <f t="shared" si="15"/>
        <v>7677</v>
      </c>
      <c r="T39" s="56">
        <f t="shared" si="15"/>
        <v>6644</v>
      </c>
      <c r="U39" s="56">
        <f t="shared" si="15"/>
        <v>4653</v>
      </c>
      <c r="V39" s="56">
        <f t="shared" si="15"/>
        <v>4831</v>
      </c>
      <c r="W39" s="56">
        <f>W32+W33-W38</f>
        <v>6425</v>
      </c>
      <c r="X39" s="56">
        <f>X32+X33-X38</f>
        <v>6857</v>
      </c>
      <c r="Y39" s="56">
        <f>Y32+Y33-Y38</f>
        <v>6610</v>
      </c>
      <c r="Z39" s="56">
        <f>Z32+Z33-Z38</f>
        <v>6007</v>
      </c>
      <c r="AA39" s="56">
        <f>AA32+AA33-AA38</f>
        <v>6428</v>
      </c>
      <c r="AB39" s="56">
        <f t="shared" si="15"/>
        <v>4439</v>
      </c>
      <c r="AC39" s="56">
        <f t="shared" si="15"/>
        <v>6032</v>
      </c>
      <c r="AD39" s="57">
        <f t="shared" si="15"/>
        <v>6987</v>
      </c>
      <c r="AE39" s="57">
        <f t="shared" si="15"/>
        <v>6497</v>
      </c>
      <c r="AF39" s="57">
        <f t="shared" si="15"/>
        <v>0</v>
      </c>
    </row>
    <row r="40" spans="1:32" x14ac:dyDescent="0.25">
      <c r="A40" s="46"/>
      <c r="B40" s="5" t="s">
        <v>43</v>
      </c>
      <c r="C40" s="48"/>
      <c r="D40" s="43">
        <v>0</v>
      </c>
      <c r="E40" s="43">
        <v>0</v>
      </c>
      <c r="F40" s="43">
        <v>0</v>
      </c>
      <c r="G40" s="48">
        <v>0</v>
      </c>
      <c r="H40" s="43">
        <v>0</v>
      </c>
      <c r="I40" s="48">
        <v>0</v>
      </c>
      <c r="J40" s="43">
        <v>1110</v>
      </c>
      <c r="K40" s="43">
        <v>7634</v>
      </c>
      <c r="L40" s="43">
        <v>7068</v>
      </c>
      <c r="M40" s="43">
        <v>2506</v>
      </c>
      <c r="N40" s="43">
        <v>2506</v>
      </c>
      <c r="O40" s="43">
        <v>2445</v>
      </c>
      <c r="P40" s="43">
        <v>2335</v>
      </c>
      <c r="Q40" s="43">
        <v>1971</v>
      </c>
      <c r="R40" s="43">
        <v>2117</v>
      </c>
      <c r="S40" s="43">
        <v>2574</v>
      </c>
      <c r="T40" s="43">
        <v>1310</v>
      </c>
      <c r="U40" s="43">
        <v>1026</v>
      </c>
      <c r="V40" s="43">
        <v>1942</v>
      </c>
      <c r="W40" s="43">
        <v>3626</v>
      </c>
      <c r="X40" s="44">
        <v>2808</v>
      </c>
      <c r="Y40" s="44">
        <v>1981</v>
      </c>
      <c r="Z40" s="44">
        <v>1850</v>
      </c>
      <c r="AA40" s="44">
        <v>2436</v>
      </c>
      <c r="AB40" s="44">
        <v>2436</v>
      </c>
      <c r="AC40" s="44">
        <v>4017</v>
      </c>
      <c r="AD40" s="44">
        <v>3771</v>
      </c>
      <c r="AE40" s="44">
        <v>2426</v>
      </c>
      <c r="AF40" s="49">
        <v>0</v>
      </c>
    </row>
    <row r="41" spans="1:32" x14ac:dyDescent="0.25">
      <c r="A41" s="46"/>
      <c r="B41" s="5" t="s">
        <v>25</v>
      </c>
      <c r="C41" s="48"/>
      <c r="D41" s="43">
        <v>0</v>
      </c>
      <c r="E41" s="43">
        <v>0</v>
      </c>
      <c r="F41" s="43">
        <v>0</v>
      </c>
      <c r="G41" s="48">
        <v>0</v>
      </c>
      <c r="H41" s="43">
        <v>0</v>
      </c>
      <c r="I41" s="48">
        <v>0</v>
      </c>
      <c r="J41" s="43">
        <v>0</v>
      </c>
      <c r="K41" s="43">
        <v>299</v>
      </c>
      <c r="L41" s="43">
        <v>271</v>
      </c>
      <c r="M41" s="43">
        <v>1528</v>
      </c>
      <c r="N41" s="43">
        <v>926</v>
      </c>
      <c r="O41" s="43">
        <v>2016</v>
      </c>
      <c r="P41" s="43">
        <v>2246</v>
      </c>
      <c r="Q41" s="43">
        <v>2247</v>
      </c>
      <c r="R41" s="43">
        <v>1894</v>
      </c>
      <c r="S41" s="43">
        <v>2021</v>
      </c>
      <c r="T41" s="43">
        <v>2531</v>
      </c>
      <c r="U41" s="43">
        <v>1546</v>
      </c>
      <c r="V41" s="43">
        <v>667</v>
      </c>
      <c r="W41" s="43">
        <v>1170</v>
      </c>
      <c r="X41" s="44">
        <v>2817</v>
      </c>
      <c r="Y41" s="44">
        <v>2605</v>
      </c>
      <c r="Z41" s="44">
        <v>1790</v>
      </c>
      <c r="AA41" s="44">
        <v>1750</v>
      </c>
      <c r="AB41" s="44">
        <v>1099</v>
      </c>
      <c r="AC41" s="44">
        <v>1467</v>
      </c>
      <c r="AD41" s="44">
        <v>2744</v>
      </c>
      <c r="AE41" s="44">
        <v>3006</v>
      </c>
      <c r="AF41" s="49">
        <v>0</v>
      </c>
    </row>
    <row r="42" spans="1:32" x14ac:dyDescent="0.25">
      <c r="A42" s="46"/>
      <c r="B42" s="5" t="s">
        <v>26</v>
      </c>
      <c r="C42" s="30"/>
      <c r="D42" s="43">
        <v>0</v>
      </c>
      <c r="E42" s="43">
        <v>0</v>
      </c>
      <c r="F42" s="43">
        <v>0</v>
      </c>
      <c r="G42" s="58">
        <v>0</v>
      </c>
      <c r="H42" s="43">
        <v>0</v>
      </c>
      <c r="I42" s="58">
        <v>0</v>
      </c>
      <c r="J42" s="43">
        <v>0</v>
      </c>
      <c r="K42" s="43">
        <v>0</v>
      </c>
      <c r="L42" s="43">
        <v>0</v>
      </c>
      <c r="M42" s="43">
        <v>3555</v>
      </c>
      <c r="N42" s="43">
        <v>2498</v>
      </c>
      <c r="O42" s="43">
        <v>499</v>
      </c>
      <c r="P42" s="43">
        <v>786</v>
      </c>
      <c r="Q42" s="43">
        <v>1352</v>
      </c>
      <c r="R42" s="43">
        <v>1645</v>
      </c>
      <c r="S42" s="43">
        <v>1258</v>
      </c>
      <c r="T42" s="43">
        <v>1363</v>
      </c>
      <c r="U42" s="43">
        <v>946</v>
      </c>
      <c r="V42" s="43">
        <v>981</v>
      </c>
      <c r="W42" s="43">
        <v>466</v>
      </c>
      <c r="X42" s="44">
        <v>434</v>
      </c>
      <c r="Y42" s="44">
        <v>1657</v>
      </c>
      <c r="Z42" s="44">
        <v>1219</v>
      </c>
      <c r="AA42" s="44">
        <v>1125</v>
      </c>
      <c r="AB42" s="44">
        <v>413</v>
      </c>
      <c r="AC42" s="44">
        <v>227</v>
      </c>
      <c r="AD42" s="44">
        <v>472</v>
      </c>
      <c r="AE42" s="44">
        <v>1065</v>
      </c>
      <c r="AF42" s="59">
        <v>0</v>
      </c>
    </row>
    <row r="43" spans="1:32" x14ac:dyDescent="0.25">
      <c r="A43" s="46"/>
      <c r="B43" s="5" t="s">
        <v>44</v>
      </c>
      <c r="C43" s="30"/>
      <c r="D43" s="43">
        <v>0</v>
      </c>
      <c r="E43" s="43">
        <v>0</v>
      </c>
      <c r="F43" s="43">
        <v>0</v>
      </c>
      <c r="G43" s="58">
        <v>0</v>
      </c>
      <c r="H43" s="43">
        <v>0</v>
      </c>
      <c r="I43" s="58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1854</v>
      </c>
      <c r="P43" s="43">
        <v>1774</v>
      </c>
      <c r="Q43" s="43">
        <v>1391</v>
      </c>
      <c r="R43" s="43">
        <v>1391</v>
      </c>
      <c r="S43" s="43">
        <v>1824</v>
      </c>
      <c r="T43" s="43">
        <v>1640</v>
      </c>
      <c r="U43" s="43">
        <v>1135</v>
      </c>
      <c r="V43" s="43">
        <v>1241</v>
      </c>
      <c r="W43" s="43">
        <v>1163</v>
      </c>
      <c r="X43" s="44">
        <v>798</v>
      </c>
      <c r="Y43" s="44">
        <v>367</v>
      </c>
      <c r="Z43" s="44">
        <v>1148</v>
      </c>
      <c r="AA43" s="44">
        <v>1117</v>
      </c>
      <c r="AB43" s="44">
        <v>491</v>
      </c>
      <c r="AC43" s="44">
        <v>321</v>
      </c>
      <c r="AD43" s="44">
        <v>0</v>
      </c>
      <c r="AE43" s="44">
        <v>0</v>
      </c>
      <c r="AF43" s="59">
        <v>0</v>
      </c>
    </row>
    <row r="44" spans="1:32" ht="15.75" thickBot="1" x14ac:dyDescent="0.3">
      <c r="A44" s="60"/>
      <c r="B44" s="61" t="s">
        <v>45</v>
      </c>
      <c r="C44" s="62">
        <f t="shared" ref="C44:D44" si="16">+C40+C41+C42+C43</f>
        <v>0</v>
      </c>
      <c r="D44" s="62">
        <f t="shared" si="16"/>
        <v>0</v>
      </c>
      <c r="E44" s="63">
        <f>+E40+E41+E42+E43</f>
        <v>0</v>
      </c>
      <c r="F44" s="63">
        <f t="shared" ref="F44:AF44" si="17">+F40+F41+F42+F43</f>
        <v>0</v>
      </c>
      <c r="G44" s="63">
        <f t="shared" si="17"/>
        <v>0</v>
      </c>
      <c r="H44" s="63">
        <f t="shared" si="17"/>
        <v>0</v>
      </c>
      <c r="I44" s="63">
        <f t="shared" si="17"/>
        <v>0</v>
      </c>
      <c r="J44" s="63">
        <f t="shared" si="17"/>
        <v>1110</v>
      </c>
      <c r="K44" s="63">
        <f t="shared" si="17"/>
        <v>7933</v>
      </c>
      <c r="L44" s="63">
        <f t="shared" si="17"/>
        <v>7339</v>
      </c>
      <c r="M44" s="63">
        <f t="shared" si="17"/>
        <v>7589</v>
      </c>
      <c r="N44" s="63">
        <f t="shared" si="17"/>
        <v>5930</v>
      </c>
      <c r="O44" s="63">
        <f t="shared" si="17"/>
        <v>6814</v>
      </c>
      <c r="P44" s="63">
        <f t="shared" si="17"/>
        <v>7141</v>
      </c>
      <c r="Q44" s="63">
        <f t="shared" si="17"/>
        <v>6961</v>
      </c>
      <c r="R44" s="63">
        <f t="shared" si="17"/>
        <v>7047</v>
      </c>
      <c r="S44" s="63">
        <f t="shared" si="17"/>
        <v>7677</v>
      </c>
      <c r="T44" s="63">
        <f t="shared" si="17"/>
        <v>6844</v>
      </c>
      <c r="U44" s="63">
        <f t="shared" si="17"/>
        <v>4653</v>
      </c>
      <c r="V44" s="63">
        <f t="shared" si="17"/>
        <v>4831</v>
      </c>
      <c r="W44" s="63">
        <f t="shared" si="17"/>
        <v>6425</v>
      </c>
      <c r="X44" s="63">
        <f t="shared" si="17"/>
        <v>6857</v>
      </c>
      <c r="Y44" s="63">
        <f t="shared" si="17"/>
        <v>6610</v>
      </c>
      <c r="Z44" s="63">
        <f t="shared" si="17"/>
        <v>6007</v>
      </c>
      <c r="AA44" s="63">
        <f t="shared" si="17"/>
        <v>6428</v>
      </c>
      <c r="AB44" s="63">
        <f t="shared" si="17"/>
        <v>4439</v>
      </c>
      <c r="AC44" s="63">
        <f t="shared" si="17"/>
        <v>6032</v>
      </c>
      <c r="AD44" s="64">
        <f t="shared" si="17"/>
        <v>6987</v>
      </c>
      <c r="AE44" s="64">
        <f t="shared" si="17"/>
        <v>6497</v>
      </c>
      <c r="AF44" s="64">
        <f t="shared" si="17"/>
        <v>0</v>
      </c>
    </row>
    <row r="45" spans="1:32" ht="15.75" thickBot="1" x14ac:dyDescent="0.3">
      <c r="A45" s="65"/>
      <c r="B45" s="66"/>
      <c r="C45" s="67"/>
      <c r="D45" s="67"/>
      <c r="E45" s="68"/>
      <c r="F45" s="67"/>
      <c r="G45" s="67"/>
      <c r="H45" s="67"/>
      <c r="I45" s="67"/>
      <c r="J45" s="67"/>
      <c r="K45" s="67"/>
      <c r="L45" s="69"/>
      <c r="M45" s="67"/>
      <c r="N45" s="67"/>
      <c r="O45" s="67"/>
      <c r="P45" s="67"/>
      <c r="Q45" s="70"/>
      <c r="R45" s="67"/>
      <c r="S45" s="67"/>
      <c r="T45" s="67"/>
      <c r="U45" s="71"/>
      <c r="V45" s="67"/>
      <c r="W45" s="67"/>
      <c r="X45" s="70"/>
      <c r="Y45" s="67"/>
      <c r="Z45" s="67"/>
      <c r="AA45" s="67"/>
      <c r="AB45" s="67"/>
      <c r="AC45" s="67"/>
      <c r="AD45" s="67"/>
      <c r="AE45" s="39"/>
      <c r="AF45" s="39"/>
    </row>
    <row r="46" spans="1:32" x14ac:dyDescent="0.25">
      <c r="A46" s="40" t="s">
        <v>46</v>
      </c>
      <c r="B46" s="41" t="s">
        <v>47</v>
      </c>
      <c r="C46" s="42">
        <v>0</v>
      </c>
      <c r="D46" s="44">
        <v>0</v>
      </c>
      <c r="E46" s="44">
        <v>0</v>
      </c>
      <c r="F46" s="44">
        <v>8</v>
      </c>
      <c r="G46" s="42">
        <f t="shared" ref="G46:I46" si="18">+F58</f>
        <v>0</v>
      </c>
      <c r="H46" s="44">
        <v>0</v>
      </c>
      <c r="I46" s="42">
        <f t="shared" si="18"/>
        <v>0</v>
      </c>
      <c r="J46" s="44">
        <v>0</v>
      </c>
      <c r="K46" s="44">
        <v>1155</v>
      </c>
      <c r="L46" s="44">
        <v>2592</v>
      </c>
      <c r="M46" s="44">
        <v>2555</v>
      </c>
      <c r="N46" s="44">
        <v>2945</v>
      </c>
      <c r="O46" s="44">
        <v>2044</v>
      </c>
      <c r="P46" s="44">
        <v>2309</v>
      </c>
      <c r="Q46" s="44">
        <v>1573</v>
      </c>
      <c r="R46" s="44">
        <v>2212</v>
      </c>
      <c r="S46" s="44">
        <v>2179</v>
      </c>
      <c r="T46" s="44">
        <v>1584</v>
      </c>
      <c r="U46" s="44">
        <v>3005</v>
      </c>
      <c r="V46" s="44">
        <v>2414</v>
      </c>
      <c r="W46" s="44">
        <v>2396</v>
      </c>
      <c r="X46" s="44">
        <v>5015</v>
      </c>
      <c r="Y46" s="44">
        <v>5600</v>
      </c>
      <c r="Z46" s="44">
        <v>5279</v>
      </c>
      <c r="AA46" s="44">
        <v>3921</v>
      </c>
      <c r="AB46" s="44">
        <v>3295</v>
      </c>
      <c r="AC46" s="44">
        <v>2042</v>
      </c>
      <c r="AD46" s="44">
        <v>2270</v>
      </c>
      <c r="AE46" s="44">
        <v>2205</v>
      </c>
      <c r="AF46" s="45">
        <f t="shared" ref="AF46" si="19">+AE58</f>
        <v>1532</v>
      </c>
    </row>
    <row r="47" spans="1:32" x14ac:dyDescent="0.25">
      <c r="A47" s="46"/>
      <c r="B47" s="47" t="s">
        <v>36</v>
      </c>
      <c r="C47" s="48"/>
      <c r="D47" s="44">
        <v>3</v>
      </c>
      <c r="E47" s="44">
        <v>343</v>
      </c>
      <c r="F47" s="44">
        <v>1</v>
      </c>
      <c r="G47" s="48">
        <v>0</v>
      </c>
      <c r="H47" s="44">
        <v>2</v>
      </c>
      <c r="I47" s="48">
        <v>0</v>
      </c>
      <c r="J47" s="44">
        <v>1168</v>
      </c>
      <c r="K47" s="44">
        <v>2533</v>
      </c>
      <c r="L47" s="44">
        <v>1231</v>
      </c>
      <c r="M47" s="44">
        <v>1628</v>
      </c>
      <c r="N47" s="44">
        <v>0</v>
      </c>
      <c r="O47" s="44">
        <v>1587</v>
      </c>
      <c r="P47" s="44">
        <v>601</v>
      </c>
      <c r="Q47" s="44">
        <v>1907</v>
      </c>
      <c r="R47" s="44">
        <v>1128</v>
      </c>
      <c r="S47" s="44">
        <v>844</v>
      </c>
      <c r="T47" s="44">
        <v>2550</v>
      </c>
      <c r="U47" s="44">
        <v>0</v>
      </c>
      <c r="V47" s="44">
        <v>997</v>
      </c>
      <c r="W47" s="44">
        <v>3708</v>
      </c>
      <c r="X47" s="44">
        <v>1843</v>
      </c>
      <c r="Y47" s="44">
        <v>1689</v>
      </c>
      <c r="Z47" s="44">
        <v>692</v>
      </c>
      <c r="AA47" s="44">
        <v>828</v>
      </c>
      <c r="AB47" s="44">
        <v>0</v>
      </c>
      <c r="AC47" s="44">
        <v>1424</v>
      </c>
      <c r="AD47" s="44">
        <v>1324</v>
      </c>
      <c r="AE47" s="44">
        <v>702</v>
      </c>
      <c r="AF47" s="59">
        <v>0</v>
      </c>
    </row>
    <row r="48" spans="1:32" x14ac:dyDescent="0.25">
      <c r="A48" s="46"/>
      <c r="B48" s="47" t="s">
        <v>37</v>
      </c>
      <c r="C48" s="72">
        <f t="shared" ref="C48:I48" si="20">C46+C47</f>
        <v>0</v>
      </c>
      <c r="D48" s="55">
        <v>3</v>
      </c>
      <c r="E48" s="55">
        <v>343</v>
      </c>
      <c r="F48" s="55">
        <v>9</v>
      </c>
      <c r="G48" s="72">
        <f t="shared" si="20"/>
        <v>0</v>
      </c>
      <c r="H48" s="55">
        <v>2</v>
      </c>
      <c r="I48" s="72">
        <f t="shared" si="20"/>
        <v>0</v>
      </c>
      <c r="J48" s="55">
        <v>1168</v>
      </c>
      <c r="K48" s="55">
        <v>3688</v>
      </c>
      <c r="L48" s="55">
        <v>3823</v>
      </c>
      <c r="M48" s="55">
        <v>4183</v>
      </c>
      <c r="N48" s="55">
        <v>2945</v>
      </c>
      <c r="O48" s="55">
        <v>3631</v>
      </c>
      <c r="P48" s="55">
        <v>2910</v>
      </c>
      <c r="Q48" s="55">
        <v>3480</v>
      </c>
      <c r="R48" s="55">
        <v>3340</v>
      </c>
      <c r="S48" s="55">
        <v>3023</v>
      </c>
      <c r="T48" s="55">
        <v>4134</v>
      </c>
      <c r="U48" s="55">
        <v>3005</v>
      </c>
      <c r="V48" s="55">
        <v>3411</v>
      </c>
      <c r="W48" s="55">
        <v>6104</v>
      </c>
      <c r="X48" s="55">
        <v>6858</v>
      </c>
      <c r="Y48" s="55">
        <v>7289</v>
      </c>
      <c r="Z48" s="55">
        <v>5971</v>
      </c>
      <c r="AA48" s="55">
        <v>4749</v>
      </c>
      <c r="AB48" s="55">
        <v>3295</v>
      </c>
      <c r="AC48" s="55">
        <v>3466</v>
      </c>
      <c r="AD48" s="55">
        <v>3594</v>
      </c>
      <c r="AE48" s="55">
        <v>2907</v>
      </c>
      <c r="AF48" s="73">
        <f t="shared" ref="AF48" si="21">AF46+AF47</f>
        <v>1532</v>
      </c>
    </row>
    <row r="49" spans="1:32" x14ac:dyDescent="0.25">
      <c r="A49" s="46"/>
      <c r="B49" s="47" t="s">
        <v>38</v>
      </c>
      <c r="C49" s="48"/>
      <c r="D49" s="55">
        <v>3</v>
      </c>
      <c r="E49" s="55">
        <v>343</v>
      </c>
      <c r="F49" s="55">
        <v>1</v>
      </c>
      <c r="G49" s="48">
        <v>0</v>
      </c>
      <c r="H49" s="55">
        <v>2</v>
      </c>
      <c r="I49" s="48">
        <v>0</v>
      </c>
      <c r="J49" s="55">
        <v>749</v>
      </c>
      <c r="K49" s="55">
        <v>948</v>
      </c>
      <c r="L49" s="55">
        <v>579</v>
      </c>
      <c r="M49" s="55">
        <v>804</v>
      </c>
      <c r="N49" s="55">
        <v>0</v>
      </c>
      <c r="O49" s="55">
        <v>782</v>
      </c>
      <c r="P49" s="55">
        <v>216</v>
      </c>
      <c r="Q49" s="55">
        <v>633</v>
      </c>
      <c r="R49" s="55">
        <v>380</v>
      </c>
      <c r="S49" s="55">
        <v>179</v>
      </c>
      <c r="T49" s="55">
        <v>1853</v>
      </c>
      <c r="U49" s="55">
        <v>0</v>
      </c>
      <c r="V49" s="55">
        <v>288</v>
      </c>
      <c r="W49" s="55">
        <v>3111</v>
      </c>
      <c r="X49" s="55">
        <v>887</v>
      </c>
      <c r="Y49" s="55">
        <v>420</v>
      </c>
      <c r="Z49" s="55">
        <v>30</v>
      </c>
      <c r="AA49" s="55">
        <v>457</v>
      </c>
      <c r="AB49" s="55">
        <v>0</v>
      </c>
      <c r="AC49" s="55">
        <v>632</v>
      </c>
      <c r="AD49" s="55">
        <v>475</v>
      </c>
      <c r="AE49" s="55">
        <v>294</v>
      </c>
      <c r="AF49" s="59">
        <v>0</v>
      </c>
    </row>
    <row r="50" spans="1:32" x14ac:dyDescent="0.25">
      <c r="A50" s="46"/>
      <c r="B50" s="47" t="s">
        <v>39</v>
      </c>
      <c r="C50" s="48"/>
      <c r="D50" s="55">
        <v>16</v>
      </c>
      <c r="E50" s="55">
        <v>390</v>
      </c>
      <c r="F50" s="55">
        <v>1</v>
      </c>
      <c r="G50" s="48">
        <v>0</v>
      </c>
      <c r="H50" s="55">
        <v>2</v>
      </c>
      <c r="I50" s="48">
        <v>0</v>
      </c>
      <c r="J50" s="55">
        <v>6829</v>
      </c>
      <c r="K50" s="55">
        <v>12712</v>
      </c>
      <c r="L50" s="55">
        <v>4616</v>
      </c>
      <c r="M50" s="55">
        <v>9958</v>
      </c>
      <c r="N50" s="55">
        <v>0</v>
      </c>
      <c r="O50" s="55">
        <v>6531</v>
      </c>
      <c r="P50" s="55">
        <v>5012</v>
      </c>
      <c r="Q50" s="55">
        <v>11707</v>
      </c>
      <c r="R50" s="55">
        <v>4024</v>
      </c>
      <c r="S50" s="55">
        <v>10325</v>
      </c>
      <c r="T50" s="55">
        <v>14514</v>
      </c>
      <c r="U50" s="55">
        <v>0</v>
      </c>
      <c r="V50" s="55">
        <v>8321</v>
      </c>
      <c r="W50" s="55">
        <v>11916</v>
      </c>
      <c r="X50" s="55">
        <v>10939</v>
      </c>
      <c r="Y50" s="55">
        <v>11309</v>
      </c>
      <c r="Z50" s="55">
        <v>3955</v>
      </c>
      <c r="AA50" s="55">
        <v>4805</v>
      </c>
      <c r="AB50" s="55">
        <v>0</v>
      </c>
      <c r="AC50" s="55">
        <v>4726</v>
      </c>
      <c r="AD50" s="55">
        <v>9922</v>
      </c>
      <c r="AE50" s="55">
        <v>5031</v>
      </c>
      <c r="AF50" s="59">
        <v>0</v>
      </c>
    </row>
    <row r="51" spans="1:32" x14ac:dyDescent="0.25">
      <c r="A51" s="46"/>
      <c r="B51" s="47" t="s">
        <v>40</v>
      </c>
      <c r="C51" s="48"/>
      <c r="D51" s="55">
        <v>16</v>
      </c>
      <c r="E51" s="55">
        <v>382</v>
      </c>
      <c r="F51" s="55">
        <v>9</v>
      </c>
      <c r="G51" s="48">
        <v>0</v>
      </c>
      <c r="H51" s="55">
        <v>2</v>
      </c>
      <c r="I51" s="48">
        <v>0</v>
      </c>
      <c r="J51" s="55">
        <v>14</v>
      </c>
      <c r="K51" s="55">
        <v>4893</v>
      </c>
      <c r="L51" s="55">
        <v>8066</v>
      </c>
      <c r="M51" s="55">
        <v>5909</v>
      </c>
      <c r="N51" s="55">
        <v>3285</v>
      </c>
      <c r="O51" s="55">
        <v>6791</v>
      </c>
      <c r="P51" s="55">
        <v>6906</v>
      </c>
      <c r="Q51" s="55">
        <v>5039</v>
      </c>
      <c r="R51" s="55">
        <v>7084</v>
      </c>
      <c r="S51" s="55">
        <v>8383</v>
      </c>
      <c r="T51" s="55">
        <v>6821</v>
      </c>
      <c r="U51" s="55">
        <v>1170</v>
      </c>
      <c r="V51" s="55">
        <v>2139</v>
      </c>
      <c r="W51" s="55">
        <v>11267</v>
      </c>
      <c r="X51" s="55">
        <v>10154</v>
      </c>
      <c r="Y51" s="55">
        <v>8400</v>
      </c>
      <c r="Z51" s="55">
        <v>9866</v>
      </c>
      <c r="AA51" s="55">
        <v>11970</v>
      </c>
      <c r="AB51" s="55">
        <v>6493</v>
      </c>
      <c r="AC51" s="55">
        <v>3067</v>
      </c>
      <c r="AD51" s="55">
        <v>12254</v>
      </c>
      <c r="AE51" s="55">
        <v>10188</v>
      </c>
      <c r="AF51" s="59">
        <v>0</v>
      </c>
    </row>
    <row r="52" spans="1:32" x14ac:dyDescent="0.25">
      <c r="A52" s="46"/>
      <c r="B52" s="47" t="s">
        <v>41</v>
      </c>
      <c r="C52" s="48"/>
      <c r="D52" s="44">
        <v>3</v>
      </c>
      <c r="E52" s="44">
        <v>335</v>
      </c>
      <c r="F52" s="44">
        <v>9</v>
      </c>
      <c r="G52" s="48">
        <v>0</v>
      </c>
      <c r="H52" s="44">
        <v>2</v>
      </c>
      <c r="I52" s="48">
        <v>0</v>
      </c>
      <c r="J52" s="44">
        <v>13</v>
      </c>
      <c r="K52" s="44">
        <v>1096</v>
      </c>
      <c r="L52" s="44">
        <v>1268</v>
      </c>
      <c r="M52" s="44">
        <v>1238</v>
      </c>
      <c r="N52" s="44">
        <v>901</v>
      </c>
      <c r="O52" s="44">
        <v>1322</v>
      </c>
      <c r="P52" s="44">
        <v>1337</v>
      </c>
      <c r="Q52" s="44">
        <v>1268</v>
      </c>
      <c r="R52" s="44">
        <v>1161</v>
      </c>
      <c r="S52" s="44">
        <v>1439</v>
      </c>
      <c r="T52" s="44">
        <v>1129</v>
      </c>
      <c r="U52" s="44">
        <v>591</v>
      </c>
      <c r="V52" s="44">
        <v>1015</v>
      </c>
      <c r="W52" s="44">
        <v>1089</v>
      </c>
      <c r="X52" s="44">
        <v>1258</v>
      </c>
      <c r="Y52" s="44">
        <v>2010</v>
      </c>
      <c r="Z52" s="44">
        <v>2050</v>
      </c>
      <c r="AA52" s="44">
        <v>1454</v>
      </c>
      <c r="AB52" s="44">
        <v>1253</v>
      </c>
      <c r="AC52" s="44">
        <v>1196</v>
      </c>
      <c r="AD52" s="44">
        <v>1389</v>
      </c>
      <c r="AE52" s="44">
        <v>1375</v>
      </c>
      <c r="AF52" s="59">
        <v>1532</v>
      </c>
    </row>
    <row r="53" spans="1:32" x14ac:dyDescent="0.25">
      <c r="A53" s="46"/>
      <c r="B53" s="47" t="s">
        <v>42</v>
      </c>
      <c r="C53" s="74">
        <f t="shared" ref="C53:AD53" si="22">+C46+C47-C52</f>
        <v>0</v>
      </c>
      <c r="D53" s="74">
        <f t="shared" si="22"/>
        <v>0</v>
      </c>
      <c r="E53" s="74">
        <f t="shared" si="22"/>
        <v>8</v>
      </c>
      <c r="F53" s="74">
        <f t="shared" si="22"/>
        <v>0</v>
      </c>
      <c r="G53" s="74">
        <f t="shared" si="22"/>
        <v>0</v>
      </c>
      <c r="H53" s="74">
        <f t="shared" si="22"/>
        <v>0</v>
      </c>
      <c r="I53" s="74">
        <f t="shared" si="22"/>
        <v>0</v>
      </c>
      <c r="J53" s="74">
        <f t="shared" si="22"/>
        <v>1155</v>
      </c>
      <c r="K53" s="74">
        <f t="shared" si="22"/>
        <v>2592</v>
      </c>
      <c r="L53" s="74">
        <f t="shared" si="22"/>
        <v>2555</v>
      </c>
      <c r="M53" s="74">
        <f t="shared" si="22"/>
        <v>2945</v>
      </c>
      <c r="N53" s="74">
        <f t="shared" si="22"/>
        <v>2044</v>
      </c>
      <c r="O53" s="74">
        <f t="shared" si="22"/>
        <v>2309</v>
      </c>
      <c r="P53" s="74">
        <f t="shared" si="22"/>
        <v>1573</v>
      </c>
      <c r="Q53" s="74">
        <f t="shared" si="22"/>
        <v>2212</v>
      </c>
      <c r="R53" s="74">
        <f t="shared" si="22"/>
        <v>2179</v>
      </c>
      <c r="S53" s="74">
        <f t="shared" si="22"/>
        <v>1584</v>
      </c>
      <c r="T53" s="74">
        <f t="shared" si="22"/>
        <v>3005</v>
      </c>
      <c r="U53" s="74">
        <f t="shared" si="22"/>
        <v>2414</v>
      </c>
      <c r="V53" s="74">
        <f t="shared" si="22"/>
        <v>2396</v>
      </c>
      <c r="W53" s="74">
        <f t="shared" si="22"/>
        <v>5015</v>
      </c>
      <c r="X53" s="74">
        <f t="shared" si="22"/>
        <v>5600</v>
      </c>
      <c r="Y53" s="74">
        <f t="shared" si="22"/>
        <v>5279</v>
      </c>
      <c r="Z53" s="74">
        <f t="shared" si="22"/>
        <v>3921</v>
      </c>
      <c r="AA53" s="74">
        <f t="shared" si="22"/>
        <v>3295</v>
      </c>
      <c r="AB53" s="74">
        <f t="shared" si="22"/>
        <v>2042</v>
      </c>
      <c r="AC53" s="74">
        <f t="shared" si="22"/>
        <v>2270</v>
      </c>
      <c r="AD53" s="75">
        <f t="shared" si="22"/>
        <v>2205</v>
      </c>
      <c r="AE53" s="75">
        <f>+AE46+AE47-AE52</f>
        <v>1532</v>
      </c>
      <c r="AF53" s="75">
        <f t="shared" ref="AF53" si="23">+AF46+AF47-AF52</f>
        <v>0</v>
      </c>
    </row>
    <row r="54" spans="1:32" x14ac:dyDescent="0.25">
      <c r="A54" s="46"/>
      <c r="B54" s="5" t="s">
        <v>48</v>
      </c>
      <c r="C54" s="48"/>
      <c r="D54" s="48">
        <v>0</v>
      </c>
      <c r="E54" s="44">
        <v>8</v>
      </c>
      <c r="F54" s="44">
        <v>0</v>
      </c>
      <c r="G54" s="48">
        <v>0</v>
      </c>
      <c r="H54" s="44">
        <v>0</v>
      </c>
      <c r="I54" s="48">
        <v>0</v>
      </c>
      <c r="J54" s="44">
        <v>1155</v>
      </c>
      <c r="K54" s="44">
        <v>2418</v>
      </c>
      <c r="L54" s="44">
        <v>1042</v>
      </c>
      <c r="M54" s="44">
        <v>1547</v>
      </c>
      <c r="N54" s="44">
        <v>1430</v>
      </c>
      <c r="O54" s="44">
        <v>1482</v>
      </c>
      <c r="P54" s="44">
        <v>600</v>
      </c>
      <c r="Q54" s="44">
        <v>1803</v>
      </c>
      <c r="R54" s="44">
        <v>881</v>
      </c>
      <c r="S54" s="44">
        <v>824</v>
      </c>
      <c r="T54" s="44">
        <v>2323</v>
      </c>
      <c r="U54" s="44">
        <v>1763</v>
      </c>
      <c r="V54" s="44">
        <v>991</v>
      </c>
      <c r="W54" s="44">
        <v>3668</v>
      </c>
      <c r="X54" s="44">
        <v>1792</v>
      </c>
      <c r="Y54" s="44">
        <v>1643</v>
      </c>
      <c r="Z54" s="44">
        <v>663</v>
      </c>
      <c r="AA54" s="44">
        <v>814</v>
      </c>
      <c r="AB54" s="44">
        <v>623</v>
      </c>
      <c r="AC54" s="44">
        <v>1070</v>
      </c>
      <c r="AD54" s="44">
        <v>1222</v>
      </c>
      <c r="AE54" s="44">
        <v>455</v>
      </c>
      <c r="AF54" s="59">
        <v>0</v>
      </c>
    </row>
    <row r="55" spans="1:32" x14ac:dyDescent="0.25">
      <c r="A55" s="46"/>
      <c r="B55" s="5" t="s">
        <v>25</v>
      </c>
      <c r="C55" s="30"/>
      <c r="D55" s="30">
        <v>0</v>
      </c>
      <c r="E55" s="44">
        <v>0</v>
      </c>
      <c r="F55" s="44">
        <v>0</v>
      </c>
      <c r="G55" s="76">
        <v>0</v>
      </c>
      <c r="H55" s="44">
        <v>0</v>
      </c>
      <c r="I55" s="76">
        <v>0</v>
      </c>
      <c r="J55" s="44">
        <v>0</v>
      </c>
      <c r="K55" s="44">
        <v>174</v>
      </c>
      <c r="L55" s="44">
        <v>1513</v>
      </c>
      <c r="M55" s="44">
        <v>754</v>
      </c>
      <c r="N55" s="44">
        <v>614</v>
      </c>
      <c r="O55" s="44">
        <v>538</v>
      </c>
      <c r="P55" s="44">
        <v>835</v>
      </c>
      <c r="Q55" s="44">
        <v>212</v>
      </c>
      <c r="R55" s="44">
        <v>1164</v>
      </c>
      <c r="S55" s="44">
        <v>402</v>
      </c>
      <c r="T55" s="44">
        <v>490</v>
      </c>
      <c r="U55" s="44">
        <v>475</v>
      </c>
      <c r="V55" s="44">
        <v>923</v>
      </c>
      <c r="W55" s="44">
        <v>642</v>
      </c>
      <c r="X55" s="44">
        <v>3044</v>
      </c>
      <c r="Y55" s="44">
        <v>1521</v>
      </c>
      <c r="Z55" s="44">
        <v>1303</v>
      </c>
      <c r="AA55" s="44">
        <v>607</v>
      </c>
      <c r="AB55" s="44">
        <v>285</v>
      </c>
      <c r="AC55" s="44">
        <v>544</v>
      </c>
      <c r="AD55" s="44">
        <v>884</v>
      </c>
      <c r="AE55" s="44">
        <v>577</v>
      </c>
      <c r="AF55" s="59">
        <v>0</v>
      </c>
    </row>
    <row r="56" spans="1:32" x14ac:dyDescent="0.25">
      <c r="A56" s="46"/>
      <c r="B56" s="5" t="s">
        <v>26</v>
      </c>
      <c r="C56" s="30"/>
      <c r="D56" s="30">
        <v>0</v>
      </c>
      <c r="E56" s="44">
        <v>0</v>
      </c>
      <c r="F56" s="44">
        <v>0</v>
      </c>
      <c r="G56" s="30">
        <v>0</v>
      </c>
      <c r="H56" s="44">
        <v>0</v>
      </c>
      <c r="I56" s="30">
        <v>0</v>
      </c>
      <c r="J56" s="44">
        <v>0</v>
      </c>
      <c r="K56" s="44">
        <v>0</v>
      </c>
      <c r="L56" s="44">
        <v>0</v>
      </c>
      <c r="M56" s="44">
        <v>644</v>
      </c>
      <c r="N56" s="44">
        <v>0</v>
      </c>
      <c r="O56" s="44">
        <v>289</v>
      </c>
      <c r="P56" s="44">
        <v>138</v>
      </c>
      <c r="Q56" s="44">
        <v>197</v>
      </c>
      <c r="R56" s="44">
        <v>134</v>
      </c>
      <c r="S56" s="44">
        <v>358</v>
      </c>
      <c r="T56" s="44">
        <v>192</v>
      </c>
      <c r="U56" s="44">
        <v>176</v>
      </c>
      <c r="V56" s="44">
        <v>482</v>
      </c>
      <c r="W56" s="44">
        <v>348</v>
      </c>
      <c r="X56" s="44">
        <v>486</v>
      </c>
      <c r="Y56" s="44">
        <v>1765</v>
      </c>
      <c r="Z56" s="44">
        <v>1271</v>
      </c>
      <c r="AA56" s="44">
        <v>752</v>
      </c>
      <c r="AB56" s="44">
        <v>518</v>
      </c>
      <c r="AC56" s="44">
        <v>129</v>
      </c>
      <c r="AD56" s="44">
        <v>99</v>
      </c>
      <c r="AE56" s="44">
        <v>500</v>
      </c>
      <c r="AF56" s="59">
        <v>0</v>
      </c>
    </row>
    <row r="57" spans="1:32" x14ac:dyDescent="0.25">
      <c r="A57" s="46"/>
      <c r="B57" s="5" t="s">
        <v>44</v>
      </c>
      <c r="C57" s="30"/>
      <c r="D57" s="30">
        <v>0</v>
      </c>
      <c r="E57" s="44">
        <v>0</v>
      </c>
      <c r="F57" s="44">
        <v>0</v>
      </c>
      <c r="G57" s="30">
        <v>0</v>
      </c>
      <c r="H57" s="44">
        <v>0</v>
      </c>
      <c r="I57" s="30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357</v>
      </c>
      <c r="X57" s="44">
        <v>278</v>
      </c>
      <c r="Y57" s="44">
        <v>350</v>
      </c>
      <c r="Z57" s="44">
        <v>684</v>
      </c>
      <c r="AA57" s="44">
        <v>1122</v>
      </c>
      <c r="AB57" s="44">
        <v>616</v>
      </c>
      <c r="AC57" s="44">
        <v>527</v>
      </c>
      <c r="AD57" s="44">
        <v>0</v>
      </c>
      <c r="AE57" s="44">
        <v>0</v>
      </c>
      <c r="AF57" s="59">
        <v>0</v>
      </c>
    </row>
    <row r="58" spans="1:32" ht="15.75" thickBot="1" x14ac:dyDescent="0.3">
      <c r="A58" s="60"/>
      <c r="B58" s="61" t="s">
        <v>45</v>
      </c>
      <c r="C58" s="77">
        <f t="shared" ref="C58:AF58" si="24">+C54+C55+C56+C57</f>
        <v>0</v>
      </c>
      <c r="D58" s="77">
        <f t="shared" si="24"/>
        <v>0</v>
      </c>
      <c r="E58" s="78">
        <f t="shared" si="24"/>
        <v>8</v>
      </c>
      <c r="F58" s="77">
        <f t="shared" si="24"/>
        <v>0</v>
      </c>
      <c r="G58" s="77">
        <f t="shared" si="24"/>
        <v>0</v>
      </c>
      <c r="H58" s="77">
        <f t="shared" si="24"/>
        <v>0</v>
      </c>
      <c r="I58" s="77">
        <f t="shared" si="24"/>
        <v>0</v>
      </c>
      <c r="J58" s="77">
        <f t="shared" si="24"/>
        <v>1155</v>
      </c>
      <c r="K58" s="77">
        <f t="shared" si="24"/>
        <v>2592</v>
      </c>
      <c r="L58" s="78">
        <f t="shared" si="24"/>
        <v>2555</v>
      </c>
      <c r="M58" s="78">
        <f t="shared" si="24"/>
        <v>2945</v>
      </c>
      <c r="N58" s="77">
        <f t="shared" si="24"/>
        <v>2044</v>
      </c>
      <c r="O58" s="77">
        <f t="shared" si="24"/>
        <v>2309</v>
      </c>
      <c r="P58" s="77">
        <f t="shared" si="24"/>
        <v>1573</v>
      </c>
      <c r="Q58" s="77">
        <f t="shared" si="24"/>
        <v>2212</v>
      </c>
      <c r="R58" s="77">
        <f t="shared" si="24"/>
        <v>2179</v>
      </c>
      <c r="S58" s="78">
        <f t="shared" si="24"/>
        <v>1584</v>
      </c>
      <c r="T58" s="77">
        <f t="shared" si="24"/>
        <v>3005</v>
      </c>
      <c r="U58" s="77">
        <f t="shared" si="24"/>
        <v>2414</v>
      </c>
      <c r="V58" s="77">
        <f t="shared" si="24"/>
        <v>2396</v>
      </c>
      <c r="W58" s="77">
        <f t="shared" si="24"/>
        <v>5015</v>
      </c>
      <c r="X58" s="77">
        <f t="shared" si="24"/>
        <v>5600</v>
      </c>
      <c r="Y58" s="77">
        <f t="shared" si="24"/>
        <v>5279</v>
      </c>
      <c r="Z58" s="77">
        <f t="shared" si="24"/>
        <v>3921</v>
      </c>
      <c r="AA58" s="77">
        <f t="shared" si="24"/>
        <v>3295</v>
      </c>
      <c r="AB58" s="77">
        <f t="shared" si="24"/>
        <v>2042</v>
      </c>
      <c r="AC58" s="77">
        <f t="shared" si="24"/>
        <v>2270</v>
      </c>
      <c r="AD58" s="79">
        <f t="shared" si="24"/>
        <v>2205</v>
      </c>
      <c r="AE58" s="79">
        <f t="shared" si="24"/>
        <v>1532</v>
      </c>
      <c r="AF58" s="79">
        <f t="shared" si="24"/>
        <v>0</v>
      </c>
    </row>
    <row r="59" spans="1:32" ht="15.75" thickBot="1" x14ac:dyDescent="0.3">
      <c r="A59" s="65"/>
      <c r="B59" s="80"/>
      <c r="C59" s="81"/>
      <c r="D59" s="38"/>
      <c r="E59" s="82"/>
      <c r="F59" s="38"/>
      <c r="G59" s="38"/>
      <c r="H59" s="38"/>
      <c r="I59" s="38"/>
      <c r="J59" s="38"/>
      <c r="K59" s="38"/>
      <c r="L59" s="83"/>
      <c r="M59" s="83"/>
      <c r="N59" s="83"/>
      <c r="O59" s="83"/>
      <c r="P59" s="83"/>
      <c r="Q59" s="83"/>
      <c r="R59" s="38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39"/>
      <c r="AF59" s="39"/>
    </row>
    <row r="60" spans="1:32" x14ac:dyDescent="0.25">
      <c r="A60" s="85" t="s">
        <v>49</v>
      </c>
      <c r="B60" s="86" t="s">
        <v>50</v>
      </c>
      <c r="C60" s="87">
        <v>18</v>
      </c>
      <c r="D60" s="87">
        <v>4</v>
      </c>
      <c r="E60" s="87">
        <v>1</v>
      </c>
      <c r="F60" s="87">
        <v>3</v>
      </c>
      <c r="G60" s="87">
        <v>0</v>
      </c>
      <c r="H60" s="87">
        <v>5</v>
      </c>
      <c r="I60" s="87">
        <v>0</v>
      </c>
      <c r="J60" s="87">
        <v>6</v>
      </c>
      <c r="K60" s="87">
        <v>49</v>
      </c>
      <c r="L60" s="87">
        <v>382</v>
      </c>
      <c r="M60" s="87">
        <v>287</v>
      </c>
      <c r="N60" s="87">
        <v>0</v>
      </c>
      <c r="O60" s="87">
        <v>469</v>
      </c>
      <c r="P60" s="87">
        <v>219</v>
      </c>
      <c r="Q60" s="87">
        <v>338</v>
      </c>
      <c r="R60" s="87">
        <v>383</v>
      </c>
      <c r="S60" s="87">
        <v>347</v>
      </c>
      <c r="T60" s="87">
        <v>338</v>
      </c>
      <c r="U60" s="87">
        <v>312</v>
      </c>
      <c r="V60" s="87">
        <v>353</v>
      </c>
      <c r="W60" s="87">
        <v>281</v>
      </c>
      <c r="X60" s="87">
        <v>319</v>
      </c>
      <c r="Y60" s="87">
        <v>360</v>
      </c>
      <c r="Z60" s="87">
        <v>416</v>
      </c>
      <c r="AA60" s="87">
        <v>415</v>
      </c>
      <c r="AB60" s="87">
        <v>319</v>
      </c>
      <c r="AC60" s="87">
        <v>406</v>
      </c>
      <c r="AD60" s="87">
        <v>402</v>
      </c>
      <c r="AE60" s="87">
        <v>459</v>
      </c>
      <c r="AF60" s="87">
        <v>933</v>
      </c>
    </row>
    <row r="61" spans="1:32" x14ac:dyDescent="0.25">
      <c r="A61" s="88"/>
      <c r="B61" s="86" t="s">
        <v>51</v>
      </c>
      <c r="C61" s="87">
        <v>55</v>
      </c>
      <c r="D61" s="87">
        <v>13</v>
      </c>
      <c r="E61" s="87">
        <v>1</v>
      </c>
      <c r="F61" s="87">
        <v>48</v>
      </c>
      <c r="G61" s="87">
        <v>0</v>
      </c>
      <c r="H61" s="87">
        <v>72</v>
      </c>
      <c r="I61" s="87">
        <v>0</v>
      </c>
      <c r="J61" s="87">
        <v>25</v>
      </c>
      <c r="K61" s="87">
        <v>514</v>
      </c>
      <c r="L61" s="87">
        <v>1027</v>
      </c>
      <c r="M61" s="87">
        <v>1389</v>
      </c>
      <c r="N61" s="87">
        <v>0</v>
      </c>
      <c r="O61" s="87">
        <v>2439</v>
      </c>
      <c r="P61" s="87">
        <v>1172</v>
      </c>
      <c r="Q61" s="87">
        <v>1964</v>
      </c>
      <c r="R61" s="87">
        <v>1730</v>
      </c>
      <c r="S61" s="87">
        <v>1547</v>
      </c>
      <c r="T61" s="87">
        <v>1837</v>
      </c>
      <c r="U61" s="87">
        <v>1068</v>
      </c>
      <c r="V61" s="87">
        <v>1474</v>
      </c>
      <c r="W61" s="87">
        <v>1609</v>
      </c>
      <c r="X61" s="87">
        <v>1898</v>
      </c>
      <c r="Y61" s="87">
        <v>2144</v>
      </c>
      <c r="Z61" s="87">
        <v>2090</v>
      </c>
      <c r="AA61" s="87">
        <v>1956</v>
      </c>
      <c r="AB61" s="87">
        <v>1335</v>
      </c>
      <c r="AC61" s="87">
        <v>2314</v>
      </c>
      <c r="AD61" s="87">
        <v>2370</v>
      </c>
      <c r="AE61" s="87">
        <v>2574</v>
      </c>
      <c r="AF61" s="87">
        <v>6006</v>
      </c>
    </row>
    <row r="62" spans="1:32" x14ac:dyDescent="0.25">
      <c r="A62" s="88"/>
      <c r="B62" s="86" t="s">
        <v>52</v>
      </c>
      <c r="C62" s="87">
        <v>0</v>
      </c>
      <c r="D62" s="87">
        <v>0</v>
      </c>
      <c r="E62" s="87">
        <v>1</v>
      </c>
      <c r="F62" s="87">
        <v>39</v>
      </c>
      <c r="G62" s="87">
        <v>0</v>
      </c>
      <c r="H62" s="87">
        <v>4</v>
      </c>
      <c r="I62" s="87">
        <v>0</v>
      </c>
      <c r="J62" s="87">
        <v>0</v>
      </c>
      <c r="K62" s="87">
        <v>255</v>
      </c>
      <c r="L62" s="87">
        <v>69</v>
      </c>
      <c r="M62" s="87">
        <v>86</v>
      </c>
      <c r="N62" s="87">
        <v>0</v>
      </c>
      <c r="O62" s="87">
        <v>509</v>
      </c>
      <c r="P62" s="87">
        <v>38</v>
      </c>
      <c r="Q62" s="87">
        <v>254</v>
      </c>
      <c r="R62" s="87">
        <v>466</v>
      </c>
      <c r="S62" s="87">
        <v>288</v>
      </c>
      <c r="T62" s="87">
        <v>351</v>
      </c>
      <c r="U62" s="87">
        <v>101</v>
      </c>
      <c r="V62" s="87">
        <v>504</v>
      </c>
      <c r="W62" s="87">
        <v>438</v>
      </c>
      <c r="X62" s="87">
        <v>463</v>
      </c>
      <c r="Y62" s="87">
        <v>467</v>
      </c>
      <c r="Z62" s="87">
        <v>298</v>
      </c>
      <c r="AA62" s="87">
        <v>167</v>
      </c>
      <c r="AB62" s="87">
        <v>102</v>
      </c>
      <c r="AC62" s="87">
        <v>358</v>
      </c>
      <c r="AD62" s="87">
        <v>313</v>
      </c>
      <c r="AE62" s="87">
        <v>327</v>
      </c>
      <c r="AF62" s="87">
        <v>1305</v>
      </c>
    </row>
    <row r="63" spans="1:32" x14ac:dyDescent="0.25">
      <c r="A63" s="88"/>
      <c r="B63" s="86" t="s">
        <v>53</v>
      </c>
      <c r="C63" s="87">
        <v>43</v>
      </c>
      <c r="D63" s="87">
        <v>7</v>
      </c>
      <c r="E63" s="87">
        <v>0</v>
      </c>
      <c r="F63" s="87">
        <v>9</v>
      </c>
      <c r="G63" s="87">
        <v>0</v>
      </c>
      <c r="H63" s="87">
        <v>15</v>
      </c>
      <c r="I63" s="87">
        <v>0</v>
      </c>
      <c r="J63" s="87">
        <v>3</v>
      </c>
      <c r="K63" s="87">
        <v>148</v>
      </c>
      <c r="L63" s="87">
        <v>609</v>
      </c>
      <c r="M63" s="87">
        <v>777</v>
      </c>
      <c r="N63" s="87">
        <v>0</v>
      </c>
      <c r="O63" s="87">
        <v>1146</v>
      </c>
      <c r="P63" s="87">
        <v>563</v>
      </c>
      <c r="Q63" s="87">
        <v>1005</v>
      </c>
      <c r="R63" s="87">
        <v>805</v>
      </c>
      <c r="S63" s="87">
        <v>780</v>
      </c>
      <c r="T63" s="87">
        <v>1166</v>
      </c>
      <c r="U63" s="87">
        <v>684</v>
      </c>
      <c r="V63" s="87">
        <v>664</v>
      </c>
      <c r="W63" s="87">
        <v>878</v>
      </c>
      <c r="X63" s="87">
        <v>1113</v>
      </c>
      <c r="Y63" s="87">
        <v>1187</v>
      </c>
      <c r="Z63" s="87">
        <v>1311</v>
      </c>
      <c r="AA63" s="87">
        <v>1183</v>
      </c>
      <c r="AB63" s="87">
        <v>978</v>
      </c>
      <c r="AC63" s="87">
        <v>1416</v>
      </c>
      <c r="AD63" s="87">
        <v>1626</v>
      </c>
      <c r="AE63" s="87">
        <v>1705</v>
      </c>
      <c r="AF63" s="87">
        <v>3214</v>
      </c>
    </row>
    <row r="64" spans="1:32" x14ac:dyDescent="0.25">
      <c r="A64" s="88"/>
      <c r="B64" s="89" t="s">
        <v>54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X64" s="87">
        <v>0</v>
      </c>
      <c r="Y64" s="87">
        <v>0</v>
      </c>
      <c r="Z64" s="87">
        <v>0</v>
      </c>
      <c r="AA64" s="87">
        <v>0</v>
      </c>
      <c r="AB64" s="87">
        <v>0</v>
      </c>
      <c r="AC64" s="87">
        <v>0</v>
      </c>
      <c r="AD64" s="87">
        <v>0</v>
      </c>
      <c r="AE64" s="87">
        <v>0</v>
      </c>
      <c r="AF64" s="87">
        <v>0</v>
      </c>
    </row>
    <row r="65" spans="1:32" x14ac:dyDescent="0.25">
      <c r="A65" s="88"/>
      <c r="B65" s="90" t="s">
        <v>55</v>
      </c>
      <c r="C65" s="87">
        <v>0</v>
      </c>
      <c r="D65" s="87">
        <v>6</v>
      </c>
      <c r="E65" s="87">
        <v>0</v>
      </c>
      <c r="F65" s="87">
        <v>0</v>
      </c>
      <c r="G65" s="87">
        <v>0</v>
      </c>
      <c r="H65" s="87">
        <v>2</v>
      </c>
      <c r="I65" s="87">
        <v>0</v>
      </c>
      <c r="J65" s="87">
        <v>22</v>
      </c>
      <c r="K65" s="87">
        <v>27</v>
      </c>
      <c r="L65" s="87">
        <v>22</v>
      </c>
      <c r="M65" s="87">
        <v>19</v>
      </c>
      <c r="N65" s="87">
        <v>0</v>
      </c>
      <c r="O65" s="87">
        <v>16</v>
      </c>
      <c r="P65" s="87">
        <v>2</v>
      </c>
      <c r="Q65" s="87">
        <v>27</v>
      </c>
      <c r="R65" s="87">
        <v>8</v>
      </c>
      <c r="S65" s="87">
        <v>14</v>
      </c>
      <c r="T65" s="87">
        <v>0</v>
      </c>
      <c r="U65" s="87">
        <v>0</v>
      </c>
      <c r="V65" s="87">
        <v>19</v>
      </c>
      <c r="W65" s="87">
        <v>1</v>
      </c>
      <c r="X65" s="87">
        <v>6</v>
      </c>
      <c r="Y65" s="87">
        <v>14</v>
      </c>
      <c r="Z65" s="87">
        <v>22</v>
      </c>
      <c r="AA65" s="87">
        <v>6</v>
      </c>
      <c r="AB65" s="87">
        <v>0</v>
      </c>
      <c r="AC65" s="87">
        <v>7</v>
      </c>
      <c r="AD65" s="87">
        <v>11</v>
      </c>
      <c r="AE65" s="87">
        <v>15</v>
      </c>
      <c r="AF65" s="87">
        <v>20</v>
      </c>
    </row>
    <row r="66" spans="1:32" x14ac:dyDescent="0.25">
      <c r="A66" s="88"/>
      <c r="B66" s="90" t="s">
        <v>56</v>
      </c>
      <c r="C66" s="87">
        <v>0</v>
      </c>
      <c r="D66" s="87">
        <v>0</v>
      </c>
      <c r="E66" s="87">
        <v>0</v>
      </c>
      <c r="F66" s="87">
        <v>0</v>
      </c>
      <c r="G66" s="87">
        <v>0</v>
      </c>
      <c r="H66" s="87">
        <v>51</v>
      </c>
      <c r="I66" s="87">
        <v>0</v>
      </c>
      <c r="J66" s="87">
        <v>0</v>
      </c>
      <c r="K66" s="87">
        <v>67</v>
      </c>
      <c r="L66" s="87">
        <v>79</v>
      </c>
      <c r="M66" s="87">
        <v>143</v>
      </c>
      <c r="N66" s="87">
        <v>0</v>
      </c>
      <c r="O66" s="87">
        <v>114</v>
      </c>
      <c r="P66" s="87">
        <v>105</v>
      </c>
      <c r="Q66" s="87">
        <v>86</v>
      </c>
      <c r="R66" s="87">
        <v>137</v>
      </c>
      <c r="S66" s="87">
        <v>70</v>
      </c>
      <c r="T66" s="87">
        <v>112</v>
      </c>
      <c r="U66" s="87">
        <v>0</v>
      </c>
      <c r="V66" s="87">
        <v>122</v>
      </c>
      <c r="W66" s="87">
        <v>2</v>
      </c>
      <c r="X66" s="87">
        <v>29</v>
      </c>
      <c r="Y66" s="87">
        <v>207</v>
      </c>
      <c r="Z66" s="87">
        <v>196</v>
      </c>
      <c r="AA66" s="87">
        <v>265</v>
      </c>
      <c r="AB66" s="87">
        <v>0</v>
      </c>
      <c r="AC66" s="87">
        <v>62</v>
      </c>
      <c r="AD66" s="87">
        <v>92</v>
      </c>
      <c r="AE66" s="87">
        <v>75</v>
      </c>
      <c r="AF66" s="87">
        <v>101</v>
      </c>
    </row>
    <row r="67" spans="1:32" ht="15.75" thickBot="1" x14ac:dyDescent="0.3">
      <c r="A67" s="88"/>
      <c r="B67" s="91" t="s">
        <v>57</v>
      </c>
      <c r="C67" s="87">
        <v>12</v>
      </c>
      <c r="D67" s="87">
        <v>0</v>
      </c>
      <c r="E67" s="87">
        <v>0</v>
      </c>
      <c r="F67" s="87">
        <v>0</v>
      </c>
      <c r="G67" s="87">
        <v>0</v>
      </c>
      <c r="H67" s="87">
        <v>0</v>
      </c>
      <c r="I67" s="87">
        <v>0</v>
      </c>
      <c r="J67" s="87">
        <v>0</v>
      </c>
      <c r="K67" s="87">
        <v>17</v>
      </c>
      <c r="L67" s="87">
        <v>248</v>
      </c>
      <c r="M67" s="87">
        <v>364</v>
      </c>
      <c r="N67" s="87">
        <v>0</v>
      </c>
      <c r="O67" s="87">
        <v>654</v>
      </c>
      <c r="P67" s="87">
        <v>464</v>
      </c>
      <c r="Q67" s="87">
        <v>592</v>
      </c>
      <c r="R67" s="87">
        <v>314</v>
      </c>
      <c r="S67" s="87">
        <v>395</v>
      </c>
      <c r="T67" s="87">
        <v>208</v>
      </c>
      <c r="U67" s="87">
        <v>283</v>
      </c>
      <c r="V67" s="87">
        <v>165</v>
      </c>
      <c r="W67" s="87">
        <v>290</v>
      </c>
      <c r="X67" s="87">
        <v>287</v>
      </c>
      <c r="Y67" s="87">
        <v>269</v>
      </c>
      <c r="Z67" s="87">
        <v>263</v>
      </c>
      <c r="AA67" s="87">
        <v>335</v>
      </c>
      <c r="AB67" s="87">
        <v>255</v>
      </c>
      <c r="AC67" s="87">
        <v>471</v>
      </c>
      <c r="AD67" s="87">
        <v>328</v>
      </c>
      <c r="AE67" s="87">
        <v>452</v>
      </c>
      <c r="AF67" s="87">
        <v>1366</v>
      </c>
    </row>
    <row r="68" spans="1:32" ht="15.75" thickBot="1" x14ac:dyDescent="0.3">
      <c r="A68" s="37"/>
      <c r="B68" s="37"/>
      <c r="C68" s="37"/>
      <c r="D68" s="92"/>
      <c r="E68" s="92"/>
      <c r="F68" s="92"/>
      <c r="G68" s="92"/>
      <c r="H68" s="93"/>
      <c r="I68" s="92"/>
      <c r="J68" s="92"/>
      <c r="K68" s="92"/>
      <c r="L68" s="92"/>
      <c r="M68" s="92"/>
      <c r="N68" s="94"/>
      <c r="O68" s="94"/>
      <c r="P68" s="92"/>
      <c r="Q68" s="92"/>
      <c r="R68" s="92"/>
      <c r="S68" s="92"/>
      <c r="T68" s="92"/>
      <c r="U68" s="92"/>
      <c r="V68" s="94"/>
      <c r="W68" s="92"/>
      <c r="X68" s="92"/>
      <c r="Y68" s="92"/>
      <c r="Z68" s="92"/>
      <c r="AA68" s="92"/>
      <c r="AB68" s="92"/>
      <c r="AC68" s="94"/>
      <c r="AD68" s="95"/>
      <c r="AE68" s="39"/>
      <c r="AF68" s="39"/>
    </row>
    <row r="69" spans="1:32" x14ac:dyDescent="0.25">
      <c r="A69" s="96" t="s">
        <v>58</v>
      </c>
      <c r="B69" s="97" t="s">
        <v>59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Z69" s="98">
        <v>0</v>
      </c>
      <c r="AA69" s="98">
        <v>0</v>
      </c>
      <c r="AB69" s="98">
        <v>0</v>
      </c>
      <c r="AC69" s="98">
        <v>0</v>
      </c>
      <c r="AD69" s="98">
        <v>0</v>
      </c>
      <c r="AE69" s="98">
        <v>0</v>
      </c>
      <c r="AF69" s="98">
        <v>0</v>
      </c>
    </row>
    <row r="70" spans="1:32" x14ac:dyDescent="0.25">
      <c r="A70" s="8"/>
      <c r="B70" s="99" t="s">
        <v>60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Z70" s="98">
        <v>0</v>
      </c>
      <c r="AA70" s="98">
        <v>0</v>
      </c>
      <c r="AB70" s="98">
        <v>0</v>
      </c>
      <c r="AC70" s="98">
        <v>0</v>
      </c>
      <c r="AD70" s="98">
        <v>0</v>
      </c>
      <c r="AE70" s="98">
        <v>0</v>
      </c>
      <c r="AF70" s="98">
        <v>0</v>
      </c>
    </row>
    <row r="71" spans="1:32" x14ac:dyDescent="0.25">
      <c r="A71" s="8"/>
      <c r="B71" s="99" t="s">
        <v>61</v>
      </c>
      <c r="C71" s="100">
        <f t="shared" ref="C71:AF71" si="25">+C69-C70</f>
        <v>0</v>
      </c>
      <c r="D71" s="100">
        <f t="shared" si="25"/>
        <v>0</v>
      </c>
      <c r="E71" s="100">
        <f t="shared" si="25"/>
        <v>0</v>
      </c>
      <c r="F71" s="101">
        <f t="shared" si="25"/>
        <v>0</v>
      </c>
      <c r="G71" s="100">
        <f t="shared" si="25"/>
        <v>0</v>
      </c>
      <c r="H71" s="100">
        <f t="shared" si="25"/>
        <v>0</v>
      </c>
      <c r="I71" s="100">
        <f t="shared" si="25"/>
        <v>0</v>
      </c>
      <c r="J71" s="102">
        <f t="shared" si="25"/>
        <v>0</v>
      </c>
      <c r="K71" s="100">
        <f t="shared" si="25"/>
        <v>0</v>
      </c>
      <c r="L71" s="100">
        <f t="shared" si="25"/>
        <v>0</v>
      </c>
      <c r="M71" s="100">
        <f t="shared" si="25"/>
        <v>0</v>
      </c>
      <c r="N71" s="100">
        <f t="shared" si="25"/>
        <v>0</v>
      </c>
      <c r="O71" s="100">
        <f t="shared" si="25"/>
        <v>0</v>
      </c>
      <c r="P71" s="100">
        <f t="shared" si="25"/>
        <v>0</v>
      </c>
      <c r="Q71" s="100">
        <f t="shared" si="25"/>
        <v>0</v>
      </c>
      <c r="R71" s="100">
        <f t="shared" si="25"/>
        <v>0</v>
      </c>
      <c r="S71" s="100">
        <f t="shared" si="25"/>
        <v>0</v>
      </c>
      <c r="T71" s="100">
        <f t="shared" si="25"/>
        <v>0</v>
      </c>
      <c r="U71" s="100">
        <f t="shared" si="25"/>
        <v>0</v>
      </c>
      <c r="V71" s="100">
        <f t="shared" si="25"/>
        <v>0</v>
      </c>
      <c r="W71" s="100">
        <f t="shared" si="25"/>
        <v>0</v>
      </c>
      <c r="X71" s="100">
        <f t="shared" si="25"/>
        <v>0</v>
      </c>
      <c r="Y71" s="100">
        <f t="shared" si="25"/>
        <v>0</v>
      </c>
      <c r="Z71" s="100">
        <f t="shared" si="25"/>
        <v>0</v>
      </c>
      <c r="AA71" s="12">
        <f t="shared" si="25"/>
        <v>0</v>
      </c>
      <c r="AB71" s="100">
        <f t="shared" si="25"/>
        <v>0</v>
      </c>
      <c r="AC71" s="12">
        <f t="shared" si="25"/>
        <v>0</v>
      </c>
      <c r="AD71" s="100">
        <f t="shared" si="25"/>
        <v>0</v>
      </c>
      <c r="AE71" s="100">
        <f t="shared" si="25"/>
        <v>0</v>
      </c>
      <c r="AF71" s="100">
        <f t="shared" si="25"/>
        <v>0</v>
      </c>
    </row>
    <row r="72" spans="1:32" x14ac:dyDescent="0.25">
      <c r="A72" s="8"/>
      <c r="B72" s="99" t="s">
        <v>62</v>
      </c>
      <c r="C72" s="98">
        <f t="shared" ref="C72:J72" si="26">C70+C71</f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f t="shared" si="26"/>
        <v>0</v>
      </c>
      <c r="K72" s="98">
        <v>0</v>
      </c>
      <c r="L72" s="98">
        <v>0</v>
      </c>
      <c r="M72" s="98">
        <f t="shared" ref="M72:V72" si="27">M70+M71</f>
        <v>0</v>
      </c>
      <c r="N72" s="98">
        <v>0</v>
      </c>
      <c r="O72" s="98">
        <v>0</v>
      </c>
      <c r="P72" s="98">
        <v>0</v>
      </c>
      <c r="Q72" s="98">
        <f t="shared" si="27"/>
        <v>0</v>
      </c>
      <c r="R72" s="98">
        <v>0</v>
      </c>
      <c r="S72" s="98">
        <v>0</v>
      </c>
      <c r="T72" s="98">
        <v>0</v>
      </c>
      <c r="U72" s="98">
        <v>0</v>
      </c>
      <c r="V72" s="98">
        <f t="shared" si="27"/>
        <v>0</v>
      </c>
      <c r="W72" s="98">
        <v>0</v>
      </c>
      <c r="X72" s="98">
        <f>X71+X70</f>
        <v>0</v>
      </c>
      <c r="Y72" s="98">
        <v>0</v>
      </c>
      <c r="Z72" s="98">
        <v>0</v>
      </c>
      <c r="AA72" s="98">
        <v>0</v>
      </c>
      <c r="AB72" s="98">
        <v>0</v>
      </c>
      <c r="AC72" s="98">
        <v>0</v>
      </c>
      <c r="AD72" s="98">
        <f>AD71+AD70</f>
        <v>0</v>
      </c>
      <c r="AE72" s="98">
        <f>AE71+AE70</f>
        <v>0</v>
      </c>
      <c r="AF72" s="98">
        <f>AF71+AF70</f>
        <v>0</v>
      </c>
    </row>
    <row r="73" spans="1:32" x14ac:dyDescent="0.25">
      <c r="A73" s="8"/>
      <c r="B73" s="99" t="s">
        <v>63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Z73" s="98">
        <v>0</v>
      </c>
      <c r="AA73" s="98">
        <v>0</v>
      </c>
      <c r="AB73" s="98">
        <v>0</v>
      </c>
      <c r="AC73" s="98">
        <v>0</v>
      </c>
      <c r="AD73" s="98">
        <v>0</v>
      </c>
      <c r="AE73" s="98">
        <v>0</v>
      </c>
      <c r="AF73" s="98">
        <v>0</v>
      </c>
    </row>
    <row r="74" spans="1:32" x14ac:dyDescent="0.25">
      <c r="A74" s="8"/>
      <c r="B74" s="99" t="s">
        <v>64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Z74" s="98">
        <v>0</v>
      </c>
      <c r="AA74" s="98">
        <v>0</v>
      </c>
      <c r="AB74" s="98">
        <v>0</v>
      </c>
      <c r="AC74" s="98">
        <v>0</v>
      </c>
      <c r="AD74" s="98">
        <v>0</v>
      </c>
      <c r="AE74" s="98">
        <v>0</v>
      </c>
      <c r="AF74" s="98">
        <v>0</v>
      </c>
    </row>
    <row r="75" spans="1:32" x14ac:dyDescent="0.25">
      <c r="A75" s="8"/>
      <c r="B75" s="99" t="s">
        <v>65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Z75" s="98">
        <v>0</v>
      </c>
      <c r="AA75" s="98">
        <v>0</v>
      </c>
      <c r="AB75" s="98">
        <v>0</v>
      </c>
      <c r="AC75" s="98">
        <v>0</v>
      </c>
      <c r="AD75" s="98">
        <v>0</v>
      </c>
      <c r="AE75" s="98">
        <v>0</v>
      </c>
      <c r="AF75" s="98">
        <v>0</v>
      </c>
    </row>
    <row r="76" spans="1:32" x14ac:dyDescent="0.25">
      <c r="A76" s="8"/>
      <c r="B76" s="99" t="s">
        <v>66</v>
      </c>
      <c r="C76" s="103">
        <f t="shared" ref="C76:AF76" si="28">C70-C75</f>
        <v>0</v>
      </c>
      <c r="D76" s="103">
        <f>D70-D75</f>
        <v>0</v>
      </c>
      <c r="E76" s="103">
        <f t="shared" si="28"/>
        <v>0</v>
      </c>
      <c r="F76" s="103">
        <f t="shared" si="28"/>
        <v>0</v>
      </c>
      <c r="G76" s="103">
        <f t="shared" si="28"/>
        <v>0</v>
      </c>
      <c r="H76" s="103">
        <f t="shared" si="28"/>
        <v>0</v>
      </c>
      <c r="I76" s="103">
        <f t="shared" si="28"/>
        <v>0</v>
      </c>
      <c r="J76" s="103">
        <f t="shared" si="28"/>
        <v>0</v>
      </c>
      <c r="K76" s="103">
        <f t="shared" si="28"/>
        <v>0</v>
      </c>
      <c r="L76" s="103">
        <f t="shared" si="28"/>
        <v>0</v>
      </c>
      <c r="M76" s="103">
        <f t="shared" si="28"/>
        <v>0</v>
      </c>
      <c r="N76" s="103">
        <f t="shared" si="28"/>
        <v>0</v>
      </c>
      <c r="O76" s="103">
        <f t="shared" si="28"/>
        <v>0</v>
      </c>
      <c r="P76" s="103">
        <f t="shared" si="28"/>
        <v>0</v>
      </c>
      <c r="Q76" s="103">
        <f t="shared" si="28"/>
        <v>0</v>
      </c>
      <c r="R76" s="103">
        <f t="shared" si="28"/>
        <v>0</v>
      </c>
      <c r="S76" s="103">
        <f t="shared" si="28"/>
        <v>0</v>
      </c>
      <c r="T76" s="103">
        <f t="shared" si="28"/>
        <v>0</v>
      </c>
      <c r="U76" s="103">
        <f t="shared" si="28"/>
        <v>0</v>
      </c>
      <c r="V76" s="103">
        <f t="shared" si="28"/>
        <v>0</v>
      </c>
      <c r="W76" s="103">
        <f t="shared" si="28"/>
        <v>0</v>
      </c>
      <c r="X76" s="103">
        <f t="shared" si="28"/>
        <v>0</v>
      </c>
      <c r="Y76" s="103">
        <f t="shared" si="28"/>
        <v>0</v>
      </c>
      <c r="Z76" s="103">
        <f t="shared" si="28"/>
        <v>0</v>
      </c>
      <c r="AA76" s="103">
        <f t="shared" si="28"/>
        <v>0</v>
      </c>
      <c r="AB76" s="103">
        <f t="shared" si="28"/>
        <v>0</v>
      </c>
      <c r="AC76" s="103">
        <f t="shared" si="28"/>
        <v>0</v>
      </c>
      <c r="AD76" s="103">
        <f t="shared" si="28"/>
        <v>0</v>
      </c>
      <c r="AE76" s="103">
        <f t="shared" si="28"/>
        <v>0</v>
      </c>
      <c r="AF76" s="103">
        <f t="shared" si="28"/>
        <v>0</v>
      </c>
    </row>
    <row r="77" spans="1:32" x14ac:dyDescent="0.25">
      <c r="A77" s="8"/>
      <c r="B77" s="99" t="s">
        <v>67</v>
      </c>
      <c r="C77" s="104" t="e">
        <f>C73/C72</f>
        <v>#DIV/0!</v>
      </c>
      <c r="D77" s="104" t="e">
        <f>D73/D72</f>
        <v>#DIV/0!</v>
      </c>
      <c r="E77" s="105">
        <v>0</v>
      </c>
      <c r="F77" s="104" t="e">
        <f t="shared" ref="F77:K77" si="29">F73/F72</f>
        <v>#DIV/0!</v>
      </c>
      <c r="G77" s="104" t="e">
        <f t="shared" si="29"/>
        <v>#DIV/0!</v>
      </c>
      <c r="H77" s="104" t="e">
        <f t="shared" si="29"/>
        <v>#DIV/0!</v>
      </c>
      <c r="I77" s="104" t="e">
        <f t="shared" si="29"/>
        <v>#DIV/0!</v>
      </c>
      <c r="J77" s="104" t="e">
        <f t="shared" si="29"/>
        <v>#DIV/0!</v>
      </c>
      <c r="K77" s="104" t="e">
        <f t="shared" si="29"/>
        <v>#DIV/0!</v>
      </c>
      <c r="L77" s="105">
        <v>0</v>
      </c>
      <c r="M77" s="104" t="e">
        <f t="shared" ref="M77:T77" si="30">M73/M72</f>
        <v>#DIV/0!</v>
      </c>
      <c r="N77" s="104" t="e">
        <f t="shared" si="30"/>
        <v>#DIV/0!</v>
      </c>
      <c r="O77" s="104" t="e">
        <f t="shared" si="30"/>
        <v>#DIV/0!</v>
      </c>
      <c r="P77" s="104" t="e">
        <f t="shared" si="30"/>
        <v>#DIV/0!</v>
      </c>
      <c r="Q77" s="104" t="e">
        <f t="shared" si="30"/>
        <v>#DIV/0!</v>
      </c>
      <c r="R77" s="104" t="e">
        <f t="shared" si="30"/>
        <v>#DIV/0!</v>
      </c>
      <c r="S77" s="105" t="e">
        <f t="shared" si="30"/>
        <v>#DIV/0!</v>
      </c>
      <c r="T77" s="104" t="e">
        <f t="shared" si="30"/>
        <v>#DIV/0!</v>
      </c>
      <c r="U77" s="104">
        <v>0</v>
      </c>
      <c r="V77" s="104" t="e">
        <f>V73/V72</f>
        <v>#DIV/0!</v>
      </c>
      <c r="W77" s="104" t="e">
        <f>W73/W72</f>
        <v>#DIV/0!</v>
      </c>
      <c r="X77" s="104" t="e">
        <f>X70/X69</f>
        <v>#DIV/0!</v>
      </c>
      <c r="Y77" s="104" t="e">
        <f>Y73/Y72</f>
        <v>#DIV/0!</v>
      </c>
      <c r="Z77" s="105">
        <v>0</v>
      </c>
      <c r="AA77" s="104" t="e">
        <f>AA73/AA72</f>
        <v>#DIV/0!</v>
      </c>
      <c r="AB77" s="104" t="e">
        <f>AB73/AB72</f>
        <v>#DIV/0!</v>
      </c>
      <c r="AC77" s="30">
        <v>0</v>
      </c>
      <c r="AD77" s="104" t="e">
        <f>AD73/AD72</f>
        <v>#DIV/0!</v>
      </c>
      <c r="AE77" s="104" t="e">
        <f>AE73/AE72</f>
        <v>#DIV/0!</v>
      </c>
      <c r="AF77" s="104" t="e">
        <f>AF73/AF72</f>
        <v>#DIV/0!</v>
      </c>
    </row>
    <row r="78" spans="1:32" ht="15.75" thickBot="1" x14ac:dyDescent="0.3">
      <c r="A78" s="31"/>
      <c r="B78" s="106" t="s">
        <v>68</v>
      </c>
      <c r="C78" s="107">
        <v>0.998</v>
      </c>
      <c r="D78" s="107">
        <v>0.998</v>
      </c>
      <c r="E78" s="108">
        <v>0</v>
      </c>
      <c r="F78" s="109">
        <v>0.998</v>
      </c>
      <c r="G78" s="107">
        <v>0.998</v>
      </c>
      <c r="H78" s="109">
        <v>0.998</v>
      </c>
      <c r="I78" s="107">
        <v>0.998</v>
      </c>
      <c r="J78" s="107">
        <v>0.998</v>
      </c>
      <c r="K78" s="107">
        <v>0.998</v>
      </c>
      <c r="L78" s="108">
        <v>0</v>
      </c>
      <c r="M78" s="107">
        <v>0.998</v>
      </c>
      <c r="N78" s="107">
        <v>0</v>
      </c>
      <c r="O78" s="107">
        <v>0</v>
      </c>
      <c r="P78" s="107">
        <v>0.998</v>
      </c>
      <c r="Q78" s="107">
        <v>0.998</v>
      </c>
      <c r="R78" s="107">
        <v>0.998</v>
      </c>
      <c r="S78" s="108">
        <v>0</v>
      </c>
      <c r="T78" s="107">
        <v>0.998</v>
      </c>
      <c r="U78" s="107">
        <v>0</v>
      </c>
      <c r="V78" s="107">
        <v>0.998</v>
      </c>
      <c r="W78" s="107">
        <v>0.998</v>
      </c>
      <c r="X78" s="107">
        <v>0.998</v>
      </c>
      <c r="Y78" s="107">
        <v>0.998</v>
      </c>
      <c r="Z78" s="108">
        <v>0</v>
      </c>
      <c r="AA78" s="110">
        <v>0.998</v>
      </c>
      <c r="AB78" s="107">
        <v>0.998</v>
      </c>
      <c r="AC78" s="110">
        <v>0.998</v>
      </c>
      <c r="AD78" s="107">
        <v>0.998</v>
      </c>
      <c r="AE78" s="107">
        <v>0.998</v>
      </c>
      <c r="AF78" s="107">
        <v>0.998</v>
      </c>
    </row>
    <row r="79" spans="1:32" ht="15.75" thickBot="1" x14ac:dyDescent="0.3">
      <c r="A79" s="37"/>
      <c r="B79" s="37"/>
      <c r="C79" s="37"/>
      <c r="D79" s="37"/>
      <c r="E79" s="111"/>
      <c r="F79" s="112"/>
      <c r="G79" s="37"/>
      <c r="H79" s="112"/>
      <c r="I79" s="37"/>
      <c r="J79" s="37"/>
      <c r="K79" s="37"/>
      <c r="L79" s="111"/>
      <c r="M79" s="37"/>
      <c r="N79" s="37"/>
      <c r="O79" s="37"/>
      <c r="P79" s="37"/>
      <c r="Q79" s="37"/>
      <c r="R79" s="37"/>
      <c r="S79" s="111"/>
      <c r="T79" s="37"/>
      <c r="U79" s="37"/>
      <c r="V79" s="37"/>
      <c r="W79" s="37"/>
      <c r="X79" s="37"/>
      <c r="Y79" s="37"/>
      <c r="Z79" s="111"/>
      <c r="AA79" s="38"/>
      <c r="AB79" s="37"/>
      <c r="AC79" s="38"/>
      <c r="AD79" s="37"/>
      <c r="AE79" s="39"/>
      <c r="AF79" s="39"/>
    </row>
    <row r="80" spans="1:32" x14ac:dyDescent="0.25">
      <c r="A80" s="40" t="s">
        <v>69</v>
      </c>
      <c r="B80" s="113" t="s">
        <v>70</v>
      </c>
      <c r="C80" s="114">
        <v>26</v>
      </c>
      <c r="D80" s="115">
        <v>12</v>
      </c>
      <c r="E80" s="115">
        <v>8</v>
      </c>
      <c r="F80" s="115">
        <v>29</v>
      </c>
      <c r="G80" s="116">
        <v>0</v>
      </c>
      <c r="H80" s="115">
        <v>8</v>
      </c>
      <c r="I80" s="116">
        <v>0</v>
      </c>
      <c r="J80" s="115">
        <v>7</v>
      </c>
      <c r="K80" s="115">
        <v>153</v>
      </c>
      <c r="L80" s="115">
        <v>801</v>
      </c>
      <c r="M80" s="115">
        <v>815</v>
      </c>
      <c r="N80" s="116">
        <v>0</v>
      </c>
      <c r="O80" s="115">
        <v>1287</v>
      </c>
      <c r="P80" s="115">
        <v>553</v>
      </c>
      <c r="Q80" s="115">
        <v>835</v>
      </c>
      <c r="R80" s="115">
        <v>945</v>
      </c>
      <c r="S80" s="115">
        <v>811</v>
      </c>
      <c r="T80" s="115">
        <v>756</v>
      </c>
      <c r="U80" s="116">
        <v>0</v>
      </c>
      <c r="V80" s="115">
        <v>1636</v>
      </c>
      <c r="W80" s="115">
        <v>661</v>
      </c>
      <c r="X80" s="115">
        <v>810</v>
      </c>
      <c r="Y80" s="115">
        <v>952</v>
      </c>
      <c r="Z80" s="115">
        <v>906</v>
      </c>
      <c r="AA80" s="115">
        <v>981</v>
      </c>
      <c r="AB80" s="115">
        <v>548</v>
      </c>
      <c r="AC80" s="115">
        <v>1302</v>
      </c>
      <c r="AD80" s="115">
        <v>1052</v>
      </c>
      <c r="AE80" s="115">
        <v>1108</v>
      </c>
      <c r="AF80" s="117">
        <v>2488</v>
      </c>
    </row>
    <row r="81" spans="1:32" x14ac:dyDescent="0.25">
      <c r="A81" s="46"/>
      <c r="B81" s="118" t="s">
        <v>71</v>
      </c>
      <c r="C81" s="119">
        <v>65</v>
      </c>
      <c r="D81" s="120">
        <v>61</v>
      </c>
      <c r="E81" s="120">
        <v>45</v>
      </c>
      <c r="F81" s="120">
        <v>382</v>
      </c>
      <c r="G81" s="121">
        <v>0</v>
      </c>
      <c r="H81" s="120">
        <v>27</v>
      </c>
      <c r="I81" s="121">
        <v>0</v>
      </c>
      <c r="J81" s="120">
        <v>18</v>
      </c>
      <c r="K81" s="120">
        <v>535</v>
      </c>
      <c r="L81" s="120">
        <v>2682</v>
      </c>
      <c r="M81" s="120">
        <v>3136</v>
      </c>
      <c r="N81" s="121">
        <v>0</v>
      </c>
      <c r="O81" s="120">
        <v>4939</v>
      </c>
      <c r="P81" s="120">
        <v>2193</v>
      </c>
      <c r="Q81" s="120">
        <v>3036</v>
      </c>
      <c r="R81" s="120">
        <v>2789</v>
      </c>
      <c r="S81" s="120">
        <v>2498</v>
      </c>
      <c r="T81" s="120">
        <v>2336</v>
      </c>
      <c r="U81" s="121">
        <v>0</v>
      </c>
      <c r="V81" s="120">
        <v>5114</v>
      </c>
      <c r="W81" s="120">
        <v>2187</v>
      </c>
      <c r="X81" s="120">
        <v>2252</v>
      </c>
      <c r="Y81" s="120">
        <v>3572</v>
      </c>
      <c r="Z81" s="120">
        <v>3207</v>
      </c>
      <c r="AA81" s="120">
        <v>3822</v>
      </c>
      <c r="AB81" s="120">
        <v>1547</v>
      </c>
      <c r="AC81" s="120">
        <v>4182</v>
      </c>
      <c r="AD81" s="120">
        <v>3135</v>
      </c>
      <c r="AE81" s="120">
        <v>3636</v>
      </c>
      <c r="AF81" s="122">
        <v>8159</v>
      </c>
    </row>
    <row r="82" spans="1:32" x14ac:dyDescent="0.25">
      <c r="A82" s="46"/>
      <c r="B82" s="118" t="s">
        <v>72</v>
      </c>
      <c r="C82" s="119">
        <v>1940</v>
      </c>
      <c r="D82" s="120">
        <v>1582</v>
      </c>
      <c r="E82" s="120">
        <v>874</v>
      </c>
      <c r="F82" s="120">
        <v>1343</v>
      </c>
      <c r="G82" s="121">
        <v>0</v>
      </c>
      <c r="H82" s="120">
        <v>3993</v>
      </c>
      <c r="I82" s="121">
        <v>0</v>
      </c>
      <c r="J82" s="120">
        <v>609</v>
      </c>
      <c r="K82" s="120">
        <v>59757</v>
      </c>
      <c r="L82" s="120">
        <v>52145</v>
      </c>
      <c r="M82" s="120">
        <v>90151</v>
      </c>
      <c r="N82" s="121">
        <v>0</v>
      </c>
      <c r="O82" s="120">
        <v>115584</v>
      </c>
      <c r="P82" s="120">
        <v>68797</v>
      </c>
      <c r="Q82" s="120">
        <v>109794</v>
      </c>
      <c r="R82" s="120">
        <v>52696</v>
      </c>
      <c r="S82" s="120">
        <v>114575</v>
      </c>
      <c r="T82" s="120">
        <v>70126</v>
      </c>
      <c r="U82" s="121">
        <v>0</v>
      </c>
      <c r="V82" s="120">
        <v>124189</v>
      </c>
      <c r="W82" s="120">
        <v>95363</v>
      </c>
      <c r="X82" s="120">
        <v>104047</v>
      </c>
      <c r="Y82" s="120">
        <v>173950</v>
      </c>
      <c r="Z82" s="120">
        <v>101735</v>
      </c>
      <c r="AA82" s="120">
        <v>95385</v>
      </c>
      <c r="AB82" s="120">
        <v>51326</v>
      </c>
      <c r="AC82" s="120">
        <v>96238</v>
      </c>
      <c r="AD82" s="120">
        <v>129731</v>
      </c>
      <c r="AE82" s="120">
        <v>113829</v>
      </c>
      <c r="AF82" s="122">
        <v>336961</v>
      </c>
    </row>
    <row r="83" spans="1:32" ht="15.75" thickBot="1" x14ac:dyDescent="0.3">
      <c r="A83" s="60"/>
      <c r="B83" s="123" t="s">
        <v>73</v>
      </c>
      <c r="C83" s="124">
        <v>1608060.42</v>
      </c>
      <c r="D83" s="125">
        <v>10885782.609999999</v>
      </c>
      <c r="E83" s="125">
        <v>5664407.7699999996</v>
      </c>
      <c r="F83" s="125">
        <v>8123172.6900000004</v>
      </c>
      <c r="G83" s="126">
        <v>0</v>
      </c>
      <c r="H83" s="125">
        <v>4206534.5999999996</v>
      </c>
      <c r="I83" s="126">
        <v>0</v>
      </c>
      <c r="J83" s="125">
        <v>2165640.7199999997</v>
      </c>
      <c r="K83" s="125">
        <v>52932474.739999995</v>
      </c>
      <c r="L83" s="125">
        <v>122440662.53999999</v>
      </c>
      <c r="M83" s="125">
        <v>141045859.86000001</v>
      </c>
      <c r="N83" s="126">
        <v>0</v>
      </c>
      <c r="O83" s="125">
        <v>218883462.56999999</v>
      </c>
      <c r="P83" s="125">
        <v>141714462.42000002</v>
      </c>
      <c r="Q83" s="125">
        <v>163317480.84</v>
      </c>
      <c r="R83" s="125">
        <v>222556789.86000001</v>
      </c>
      <c r="S83" s="125">
        <v>188070805.91000003</v>
      </c>
      <c r="T83" s="125">
        <v>162293419.80000001</v>
      </c>
      <c r="U83" s="126">
        <v>0</v>
      </c>
      <c r="V83" s="125">
        <v>230022252.95999998</v>
      </c>
      <c r="W83" s="125">
        <v>120105369.79000001</v>
      </c>
      <c r="X83" s="125">
        <v>177421611.16999999</v>
      </c>
      <c r="Y83" s="125">
        <v>224699187.30000001</v>
      </c>
      <c r="Z83" s="125">
        <v>182938699.63</v>
      </c>
      <c r="AA83" s="125">
        <v>234127755.99000001</v>
      </c>
      <c r="AB83" s="125">
        <v>132603073.92999999</v>
      </c>
      <c r="AC83" s="125">
        <v>261230568.22000003</v>
      </c>
      <c r="AD83" s="125">
        <v>209110765.65000001</v>
      </c>
      <c r="AE83" s="125">
        <v>213510305.53</v>
      </c>
      <c r="AF83" s="127">
        <v>550876889.59000003</v>
      </c>
    </row>
    <row r="84" spans="1:32" x14ac:dyDescent="0.25">
      <c r="A84" s="128" t="s">
        <v>74</v>
      </c>
      <c r="B84" s="113" t="s">
        <v>70</v>
      </c>
      <c r="C84" s="129">
        <v>26</v>
      </c>
      <c r="D84" s="130">
        <v>9</v>
      </c>
      <c r="E84" s="131">
        <v>8</v>
      </c>
      <c r="F84" s="132">
        <v>13</v>
      </c>
      <c r="G84" s="133"/>
      <c r="H84" s="134">
        <v>6</v>
      </c>
      <c r="I84" s="135"/>
      <c r="J84" s="134">
        <v>4</v>
      </c>
      <c r="K84" s="134">
        <v>132</v>
      </c>
      <c r="L84" s="134">
        <v>511</v>
      </c>
      <c r="M84" s="134">
        <v>541</v>
      </c>
      <c r="N84" s="135"/>
      <c r="O84" s="134">
        <v>893</v>
      </c>
      <c r="P84" s="134">
        <v>385</v>
      </c>
      <c r="Q84" s="134">
        <v>628</v>
      </c>
      <c r="R84" s="134">
        <v>640</v>
      </c>
      <c r="S84" s="134">
        <v>554</v>
      </c>
      <c r="T84" s="134">
        <v>558</v>
      </c>
      <c r="U84" s="135"/>
      <c r="V84" s="134">
        <v>1397</v>
      </c>
      <c r="W84" s="134">
        <v>544</v>
      </c>
      <c r="X84" s="134">
        <v>629</v>
      </c>
      <c r="Y84" s="134">
        <v>762</v>
      </c>
      <c r="Z84" s="134">
        <v>576</v>
      </c>
      <c r="AA84" s="134">
        <v>621</v>
      </c>
      <c r="AB84" s="134">
        <v>341</v>
      </c>
      <c r="AC84" s="134">
        <v>1033</v>
      </c>
      <c r="AD84" s="134">
        <v>875</v>
      </c>
      <c r="AE84" s="134">
        <v>858</v>
      </c>
      <c r="AF84" s="136">
        <v>2250</v>
      </c>
    </row>
    <row r="85" spans="1:32" x14ac:dyDescent="0.25">
      <c r="A85" s="46"/>
      <c r="B85" s="118" t="s">
        <v>71</v>
      </c>
      <c r="C85" s="137">
        <v>65</v>
      </c>
      <c r="D85" s="138">
        <v>58</v>
      </c>
      <c r="E85" s="139">
        <v>45</v>
      </c>
      <c r="F85" s="140">
        <v>26</v>
      </c>
      <c r="G85" s="141"/>
      <c r="H85" s="142">
        <v>20</v>
      </c>
      <c r="I85" s="143"/>
      <c r="J85" s="142">
        <v>5</v>
      </c>
      <c r="K85" s="142">
        <v>385</v>
      </c>
      <c r="L85" s="142">
        <v>1404</v>
      </c>
      <c r="M85" s="142">
        <v>1976</v>
      </c>
      <c r="N85" s="143"/>
      <c r="O85" s="142">
        <v>2659</v>
      </c>
      <c r="P85" s="142">
        <v>990</v>
      </c>
      <c r="Q85" s="142">
        <v>2184</v>
      </c>
      <c r="R85" s="142">
        <v>1543</v>
      </c>
      <c r="S85" s="142">
        <v>1445</v>
      </c>
      <c r="T85" s="142">
        <v>1287</v>
      </c>
      <c r="U85" s="143"/>
      <c r="V85" s="142">
        <v>3345</v>
      </c>
      <c r="W85" s="142">
        <v>1175</v>
      </c>
      <c r="X85" s="142">
        <v>1508</v>
      </c>
      <c r="Y85" s="142">
        <v>2037</v>
      </c>
      <c r="Z85" s="142">
        <v>1611</v>
      </c>
      <c r="AA85" s="142">
        <v>1683</v>
      </c>
      <c r="AB85" s="142">
        <v>1028</v>
      </c>
      <c r="AC85" s="142">
        <v>2323</v>
      </c>
      <c r="AD85" s="142">
        <v>2097</v>
      </c>
      <c r="AE85" s="142">
        <v>2320</v>
      </c>
      <c r="AF85" s="144">
        <v>6279</v>
      </c>
    </row>
    <row r="86" spans="1:32" x14ac:dyDescent="0.25">
      <c r="A86" s="46"/>
      <c r="B86" s="118" t="s">
        <v>72</v>
      </c>
      <c r="C86" s="145">
        <v>1940</v>
      </c>
      <c r="D86" s="146">
        <v>1566</v>
      </c>
      <c r="E86" s="147">
        <v>874</v>
      </c>
      <c r="F86" s="148">
        <v>937</v>
      </c>
      <c r="G86" s="149"/>
      <c r="H86" s="150">
        <v>3976</v>
      </c>
      <c r="I86" s="151"/>
      <c r="J86" s="150">
        <v>595</v>
      </c>
      <c r="K86" s="150">
        <v>58652</v>
      </c>
      <c r="L86" s="150">
        <v>45238</v>
      </c>
      <c r="M86" s="150">
        <v>85024</v>
      </c>
      <c r="N86" s="151"/>
      <c r="O86" s="150">
        <v>105798</v>
      </c>
      <c r="P86" s="150">
        <v>60916</v>
      </c>
      <c r="Q86" s="150">
        <v>104004</v>
      </c>
      <c r="R86" s="150">
        <v>46787</v>
      </c>
      <c r="S86" s="150">
        <v>105558</v>
      </c>
      <c r="T86" s="150">
        <v>64044</v>
      </c>
      <c r="U86" s="151"/>
      <c r="V86" s="150">
        <v>116776</v>
      </c>
      <c r="W86" s="150">
        <v>87563</v>
      </c>
      <c r="X86" s="150">
        <v>92432</v>
      </c>
      <c r="Y86" s="150">
        <v>167355</v>
      </c>
      <c r="Z86" s="150">
        <v>93621</v>
      </c>
      <c r="AA86" s="150">
        <v>81771</v>
      </c>
      <c r="AB86" s="150">
        <v>45977</v>
      </c>
      <c r="AC86" s="150">
        <v>89087</v>
      </c>
      <c r="AD86" s="150">
        <v>119699</v>
      </c>
      <c r="AE86" s="150">
        <v>106090</v>
      </c>
      <c r="AF86" s="152">
        <v>322606</v>
      </c>
    </row>
    <row r="87" spans="1:32" ht="15.75" thickBot="1" x14ac:dyDescent="0.3">
      <c r="A87" s="60"/>
      <c r="B87" s="123" t="s">
        <v>73</v>
      </c>
      <c r="C87" s="153">
        <v>1608060.42</v>
      </c>
      <c r="D87" s="154">
        <v>3519260.05</v>
      </c>
      <c r="E87" s="155">
        <v>5664407.7699999996</v>
      </c>
      <c r="F87" s="156">
        <v>2927409.49</v>
      </c>
      <c r="G87" s="157"/>
      <c r="H87" s="158">
        <v>2861793.6</v>
      </c>
      <c r="I87" s="159"/>
      <c r="J87" s="158">
        <v>816027.72</v>
      </c>
      <c r="K87" s="158">
        <v>31610090.539999999</v>
      </c>
      <c r="L87" s="158">
        <v>39164544.880000003</v>
      </c>
      <c r="M87" s="158">
        <v>59330430.810000002</v>
      </c>
      <c r="N87" s="159"/>
      <c r="O87" s="158">
        <v>92768044.090000004</v>
      </c>
      <c r="P87" s="158">
        <v>46580443.700000003</v>
      </c>
      <c r="Q87" s="158">
        <v>74257968.390000001</v>
      </c>
      <c r="R87" s="158">
        <v>85561322.340000004</v>
      </c>
      <c r="S87" s="158">
        <v>71921103.150000006</v>
      </c>
      <c r="T87" s="158">
        <v>62835395.780000001</v>
      </c>
      <c r="U87" s="159"/>
      <c r="V87" s="158">
        <v>126046495.39</v>
      </c>
      <c r="W87" s="158">
        <v>67580495.980000004</v>
      </c>
      <c r="X87" s="158">
        <v>67095336.289999999</v>
      </c>
      <c r="Y87" s="158">
        <v>107788286.15000001</v>
      </c>
      <c r="Z87" s="158">
        <v>70531714.480000004</v>
      </c>
      <c r="AA87" s="158">
        <v>71722326.739999995</v>
      </c>
      <c r="AB87" s="158">
        <v>48767560.909999996</v>
      </c>
      <c r="AC87" s="158">
        <v>99831105.790000007</v>
      </c>
      <c r="AD87" s="158">
        <v>100662588.65000001</v>
      </c>
      <c r="AE87" s="158">
        <v>85160228.299999997</v>
      </c>
      <c r="AF87" s="160">
        <v>316086449.99000001</v>
      </c>
    </row>
    <row r="88" spans="1:32" x14ac:dyDescent="0.25">
      <c r="A88" s="128" t="s">
        <v>75</v>
      </c>
      <c r="B88" s="113" t="s">
        <v>70</v>
      </c>
      <c r="C88" s="129">
        <v>3</v>
      </c>
      <c r="D88" s="130">
        <v>16</v>
      </c>
      <c r="E88" s="130">
        <v>2</v>
      </c>
      <c r="F88" s="130">
        <v>3</v>
      </c>
      <c r="G88" s="161"/>
      <c r="H88" s="130">
        <v>21</v>
      </c>
      <c r="I88" s="161"/>
      <c r="J88" s="130">
        <v>290</v>
      </c>
      <c r="K88" s="130">
        <v>274</v>
      </c>
      <c r="L88" s="130">
        <v>394</v>
      </c>
      <c r="M88" s="130">
        <v>168</v>
      </c>
      <c r="N88" s="161"/>
      <c r="O88" s="130">
        <v>207</v>
      </c>
      <c r="P88" s="130">
        <v>305</v>
      </c>
      <c r="Q88" s="130">
        <v>257</v>
      </c>
      <c r="R88" s="130">
        <v>198</v>
      </c>
      <c r="S88" s="130">
        <v>239</v>
      </c>
      <c r="T88" s="130">
        <v>117</v>
      </c>
      <c r="U88" s="161"/>
      <c r="V88" s="130">
        <v>239</v>
      </c>
      <c r="W88" s="130">
        <v>117</v>
      </c>
      <c r="X88" s="130">
        <v>181</v>
      </c>
      <c r="Y88" s="130">
        <v>190</v>
      </c>
      <c r="Z88" s="130">
        <v>330</v>
      </c>
      <c r="AA88" s="130">
        <v>360</v>
      </c>
      <c r="AB88" s="130">
        <v>207</v>
      </c>
      <c r="AC88" s="130">
        <v>269</v>
      </c>
      <c r="AD88" s="130">
        <v>177</v>
      </c>
      <c r="AE88" s="130">
        <v>250</v>
      </c>
      <c r="AF88" s="162">
        <v>238</v>
      </c>
    </row>
    <row r="89" spans="1:32" x14ac:dyDescent="0.25">
      <c r="A89" s="46"/>
      <c r="B89" s="118" t="s">
        <v>71</v>
      </c>
      <c r="C89" s="137">
        <v>3</v>
      </c>
      <c r="D89" s="138">
        <v>356</v>
      </c>
      <c r="E89" s="138">
        <v>7</v>
      </c>
      <c r="F89" s="138">
        <v>13</v>
      </c>
      <c r="G89" s="163"/>
      <c r="H89" s="138">
        <v>150</v>
      </c>
      <c r="I89" s="163"/>
      <c r="J89" s="138">
        <v>1278</v>
      </c>
      <c r="K89" s="138">
        <v>1160</v>
      </c>
      <c r="L89" s="138">
        <v>2280</v>
      </c>
      <c r="M89" s="138">
        <v>1203</v>
      </c>
      <c r="N89" s="163"/>
      <c r="O89" s="138">
        <v>852</v>
      </c>
      <c r="P89" s="138">
        <v>1246</v>
      </c>
      <c r="Q89" s="138">
        <v>1053</v>
      </c>
      <c r="R89" s="138">
        <v>1049</v>
      </c>
      <c r="S89" s="138">
        <v>1769</v>
      </c>
      <c r="T89" s="138">
        <v>1012</v>
      </c>
      <c r="U89" s="163"/>
      <c r="V89" s="138">
        <v>1769</v>
      </c>
      <c r="W89" s="138">
        <v>1012</v>
      </c>
      <c r="X89" s="138">
        <v>744</v>
      </c>
      <c r="Y89" s="138">
        <v>1535</v>
      </c>
      <c r="Z89" s="138">
        <v>1596</v>
      </c>
      <c r="AA89" s="138">
        <v>2139</v>
      </c>
      <c r="AB89" s="138">
        <v>519</v>
      </c>
      <c r="AC89" s="138">
        <v>1859</v>
      </c>
      <c r="AD89" s="138">
        <v>1038</v>
      </c>
      <c r="AE89" s="138">
        <v>1316</v>
      </c>
      <c r="AF89" s="164">
        <v>1880</v>
      </c>
    </row>
    <row r="90" spans="1:32" x14ac:dyDescent="0.25">
      <c r="A90" s="46"/>
      <c r="B90" s="118" t="s">
        <v>72</v>
      </c>
      <c r="C90" s="145">
        <v>16</v>
      </c>
      <c r="D90" s="146">
        <v>406</v>
      </c>
      <c r="E90" s="146">
        <v>17</v>
      </c>
      <c r="F90" s="146">
        <v>14</v>
      </c>
      <c r="G90" s="163"/>
      <c r="H90" s="146">
        <v>1105</v>
      </c>
      <c r="I90" s="163"/>
      <c r="J90" s="146">
        <v>6907</v>
      </c>
      <c r="K90" s="146">
        <v>5127</v>
      </c>
      <c r="L90" s="146">
        <v>9786</v>
      </c>
      <c r="M90" s="146">
        <v>7881</v>
      </c>
      <c r="N90" s="163"/>
      <c r="O90" s="146">
        <v>5790</v>
      </c>
      <c r="P90" s="146">
        <v>5909</v>
      </c>
      <c r="Q90" s="146">
        <v>9017</v>
      </c>
      <c r="R90" s="146">
        <v>6082</v>
      </c>
      <c r="S90" s="146">
        <v>7413</v>
      </c>
      <c r="T90" s="146">
        <v>7800</v>
      </c>
      <c r="U90" s="163"/>
      <c r="V90" s="146">
        <v>7413</v>
      </c>
      <c r="W90" s="146">
        <v>7800</v>
      </c>
      <c r="X90" s="146">
        <v>11615</v>
      </c>
      <c r="Y90" s="146">
        <v>6595</v>
      </c>
      <c r="Z90" s="146">
        <v>8114</v>
      </c>
      <c r="AA90" s="146">
        <v>13614</v>
      </c>
      <c r="AB90" s="146">
        <v>5349</v>
      </c>
      <c r="AC90" s="146">
        <v>7151</v>
      </c>
      <c r="AD90" s="146">
        <v>10032</v>
      </c>
      <c r="AE90" s="146">
        <v>7739</v>
      </c>
      <c r="AF90" s="165">
        <v>14355</v>
      </c>
    </row>
    <row r="91" spans="1:32" ht="15.75" thickBot="1" x14ac:dyDescent="0.3">
      <c r="A91" s="60"/>
      <c r="B91" s="123" t="s">
        <v>73</v>
      </c>
      <c r="C91" s="153">
        <v>7366522.5599999996</v>
      </c>
      <c r="D91" s="154">
        <v>5195763.2</v>
      </c>
      <c r="E91" s="154">
        <v>1344741</v>
      </c>
      <c r="F91" s="154">
        <v>1349613</v>
      </c>
      <c r="G91" s="166"/>
      <c r="H91" s="154">
        <v>21322384.199999999</v>
      </c>
      <c r="I91" s="166"/>
      <c r="J91" s="154">
        <v>83276117.659999996</v>
      </c>
      <c r="K91" s="154">
        <v>81715429.049999997</v>
      </c>
      <c r="L91" s="154">
        <v>126115418.48</v>
      </c>
      <c r="M91" s="154">
        <v>95134018.719999999</v>
      </c>
      <c r="N91" s="166"/>
      <c r="O91" s="154">
        <v>89059512.450000003</v>
      </c>
      <c r="P91" s="154">
        <v>136995467.52000001</v>
      </c>
      <c r="Q91" s="154">
        <v>116149702.76000001</v>
      </c>
      <c r="R91" s="154">
        <v>99458024.019999996</v>
      </c>
      <c r="S91" s="154">
        <v>103975757.56999999</v>
      </c>
      <c r="T91" s="154">
        <v>52524873.810000002</v>
      </c>
      <c r="U91" s="166"/>
      <c r="V91" s="154">
        <v>103975757.56999999</v>
      </c>
      <c r="W91" s="154">
        <v>52524873.810000002</v>
      </c>
      <c r="X91" s="154">
        <v>110326274.88</v>
      </c>
      <c r="Y91" s="154">
        <v>116910901.15000001</v>
      </c>
      <c r="Z91" s="154">
        <v>112406985.15000001</v>
      </c>
      <c r="AA91" s="154">
        <v>162405429.25</v>
      </c>
      <c r="AB91" s="154">
        <v>83835513.019999996</v>
      </c>
      <c r="AC91" s="154">
        <v>161399462.43000001</v>
      </c>
      <c r="AD91" s="154">
        <v>108448177</v>
      </c>
      <c r="AE91" s="154">
        <v>128350077.23</v>
      </c>
      <c r="AF91" s="167">
        <v>234790439.59999999</v>
      </c>
    </row>
    <row r="92" spans="1:32" ht="15.75" thickBot="1" x14ac:dyDescent="0.3">
      <c r="A92" s="36"/>
      <c r="B92" s="37"/>
      <c r="C92" s="168"/>
      <c r="D92" s="168"/>
      <c r="E92" s="169"/>
      <c r="F92" s="168"/>
      <c r="G92" s="168"/>
      <c r="H92" s="168"/>
      <c r="I92" s="168"/>
      <c r="J92" s="168"/>
      <c r="K92" s="168"/>
      <c r="L92" s="169"/>
      <c r="M92" s="168"/>
      <c r="N92" s="168"/>
      <c r="O92" s="168"/>
      <c r="P92" s="168"/>
      <c r="Q92" s="168"/>
      <c r="R92" s="168"/>
      <c r="S92" s="169"/>
      <c r="T92" s="168"/>
      <c r="U92" s="168"/>
      <c r="V92" s="168"/>
      <c r="W92" s="168"/>
      <c r="X92" s="168"/>
      <c r="Y92" s="168"/>
      <c r="Z92" s="169"/>
      <c r="AA92" s="168"/>
      <c r="AB92" s="170"/>
      <c r="AC92" s="170"/>
      <c r="AD92" s="171"/>
      <c r="AE92" s="39"/>
      <c r="AF92" s="39"/>
    </row>
    <row r="93" spans="1:32" x14ac:dyDescent="0.25">
      <c r="A93" s="172" t="s">
        <v>76</v>
      </c>
      <c r="B93" s="173" t="s">
        <v>77</v>
      </c>
      <c r="C93" s="174">
        <v>3</v>
      </c>
      <c r="D93" s="175">
        <v>1</v>
      </c>
      <c r="E93" s="176">
        <v>2</v>
      </c>
      <c r="F93" s="175">
        <v>1</v>
      </c>
      <c r="G93" s="175">
        <v>0</v>
      </c>
      <c r="H93" s="175">
        <v>0</v>
      </c>
      <c r="I93" s="175">
        <v>1</v>
      </c>
      <c r="J93" s="177">
        <v>1</v>
      </c>
      <c r="K93" s="177">
        <v>4</v>
      </c>
      <c r="L93" s="178">
        <v>1</v>
      </c>
      <c r="M93" s="177">
        <v>1</v>
      </c>
      <c r="N93" s="177">
        <v>0</v>
      </c>
      <c r="O93" s="177">
        <v>1</v>
      </c>
      <c r="P93" s="179">
        <v>0</v>
      </c>
      <c r="Q93" s="177">
        <v>6</v>
      </c>
      <c r="R93" s="177">
        <v>6</v>
      </c>
      <c r="S93" s="178">
        <v>0</v>
      </c>
      <c r="T93" s="178">
        <v>0</v>
      </c>
      <c r="U93" s="178">
        <v>0</v>
      </c>
      <c r="V93" s="177">
        <v>1</v>
      </c>
      <c r="W93" s="177">
        <v>2</v>
      </c>
      <c r="X93" s="177">
        <v>0</v>
      </c>
      <c r="Y93" s="177">
        <v>5</v>
      </c>
      <c r="Z93" s="178">
        <v>6</v>
      </c>
      <c r="AA93" s="177">
        <v>1</v>
      </c>
      <c r="AB93" s="175">
        <v>0</v>
      </c>
      <c r="AC93" s="177">
        <v>3</v>
      </c>
      <c r="AD93" s="177">
        <v>2</v>
      </c>
      <c r="AE93" s="177">
        <v>1</v>
      </c>
      <c r="AF93" s="180">
        <v>0</v>
      </c>
    </row>
    <row r="94" spans="1:32" x14ac:dyDescent="0.25">
      <c r="A94" s="181"/>
      <c r="B94" s="182" t="s">
        <v>78</v>
      </c>
      <c r="C94" s="183">
        <v>0</v>
      </c>
      <c r="D94" s="184">
        <v>0</v>
      </c>
      <c r="E94" s="185">
        <v>0</v>
      </c>
      <c r="F94" s="184">
        <v>0</v>
      </c>
      <c r="G94" s="184">
        <v>0</v>
      </c>
      <c r="H94" s="184">
        <v>0</v>
      </c>
      <c r="I94" s="184">
        <v>0</v>
      </c>
      <c r="J94" s="186">
        <v>0</v>
      </c>
      <c r="K94" s="186">
        <v>0</v>
      </c>
      <c r="L94" s="187">
        <v>0</v>
      </c>
      <c r="M94" s="186">
        <v>0</v>
      </c>
      <c r="N94" s="186">
        <v>0</v>
      </c>
      <c r="O94" s="186">
        <v>0</v>
      </c>
      <c r="P94" s="188">
        <v>0</v>
      </c>
      <c r="Q94" s="186">
        <v>0</v>
      </c>
      <c r="R94" s="186">
        <v>0</v>
      </c>
      <c r="S94" s="187">
        <v>0</v>
      </c>
      <c r="T94" s="187">
        <v>0</v>
      </c>
      <c r="U94" s="187">
        <v>1</v>
      </c>
      <c r="V94" s="186">
        <v>0</v>
      </c>
      <c r="W94" s="186">
        <v>0</v>
      </c>
      <c r="X94" s="186">
        <v>0</v>
      </c>
      <c r="Y94" s="186">
        <v>0</v>
      </c>
      <c r="Z94" s="187">
        <v>0</v>
      </c>
      <c r="AA94" s="186">
        <v>0</v>
      </c>
      <c r="AB94" s="184">
        <v>0</v>
      </c>
      <c r="AC94" s="186">
        <v>0</v>
      </c>
      <c r="AD94" s="186">
        <v>0</v>
      </c>
      <c r="AE94" s="186">
        <v>0</v>
      </c>
      <c r="AF94" s="189">
        <v>0</v>
      </c>
    </row>
    <row r="95" spans="1:32" x14ac:dyDescent="0.25">
      <c r="A95" s="181"/>
      <c r="B95" s="182" t="s">
        <v>79</v>
      </c>
      <c r="C95" s="183">
        <v>0</v>
      </c>
      <c r="D95" s="184">
        <v>0</v>
      </c>
      <c r="E95" s="185">
        <v>7</v>
      </c>
      <c r="F95" s="184">
        <v>0</v>
      </c>
      <c r="G95" s="184">
        <v>0</v>
      </c>
      <c r="H95" s="184">
        <v>0</v>
      </c>
      <c r="I95" s="184">
        <v>0</v>
      </c>
      <c r="J95" s="186">
        <v>0</v>
      </c>
      <c r="K95" s="186">
        <v>0</v>
      </c>
      <c r="L95" s="187">
        <v>6</v>
      </c>
      <c r="M95" s="186">
        <v>6</v>
      </c>
      <c r="N95" s="186">
        <v>0</v>
      </c>
      <c r="O95" s="186">
        <v>0</v>
      </c>
      <c r="P95" s="188">
        <v>0</v>
      </c>
      <c r="Q95" s="186">
        <v>0</v>
      </c>
      <c r="R95" s="186">
        <v>13</v>
      </c>
      <c r="S95" s="187">
        <v>0</v>
      </c>
      <c r="T95" s="187">
        <v>0</v>
      </c>
      <c r="U95" s="187">
        <v>4</v>
      </c>
      <c r="V95" s="186">
        <v>0</v>
      </c>
      <c r="W95" s="186">
        <v>0</v>
      </c>
      <c r="X95" s="186">
        <v>5</v>
      </c>
      <c r="Y95" s="186">
        <v>2</v>
      </c>
      <c r="Z95" s="187">
        <v>0</v>
      </c>
      <c r="AA95" s="186">
        <v>5</v>
      </c>
      <c r="AB95" s="184">
        <v>0</v>
      </c>
      <c r="AC95" s="186">
        <v>0</v>
      </c>
      <c r="AD95" s="186">
        <v>9</v>
      </c>
      <c r="AE95" s="186">
        <v>0</v>
      </c>
      <c r="AF95" s="189">
        <v>0</v>
      </c>
    </row>
    <row r="96" spans="1:32" x14ac:dyDescent="0.25">
      <c r="A96" s="181"/>
      <c r="B96" s="182" t="s">
        <v>80</v>
      </c>
      <c r="C96" s="183">
        <v>48</v>
      </c>
      <c r="D96" s="184">
        <v>49</v>
      </c>
      <c r="E96" s="185">
        <v>44</v>
      </c>
      <c r="F96" s="184">
        <v>45</v>
      </c>
      <c r="G96" s="184">
        <v>45</v>
      </c>
      <c r="H96" s="184">
        <v>45</v>
      </c>
      <c r="I96" s="184">
        <v>46</v>
      </c>
      <c r="J96" s="186">
        <v>47</v>
      </c>
      <c r="K96" s="186">
        <v>51</v>
      </c>
      <c r="L96" s="187">
        <v>46</v>
      </c>
      <c r="M96" s="186">
        <v>41</v>
      </c>
      <c r="N96" s="186">
        <v>41</v>
      </c>
      <c r="O96" s="186">
        <v>42</v>
      </c>
      <c r="P96" s="188">
        <v>42</v>
      </c>
      <c r="Q96" s="186">
        <v>48</v>
      </c>
      <c r="R96" s="186">
        <v>41</v>
      </c>
      <c r="S96" s="187">
        <v>41</v>
      </c>
      <c r="T96" s="187">
        <v>41</v>
      </c>
      <c r="U96" s="187">
        <v>36</v>
      </c>
      <c r="V96" s="186">
        <v>37</v>
      </c>
      <c r="W96" s="186">
        <v>39</v>
      </c>
      <c r="X96" s="186">
        <v>34</v>
      </c>
      <c r="Y96" s="186">
        <v>37</v>
      </c>
      <c r="Z96" s="187">
        <v>43</v>
      </c>
      <c r="AA96" s="186">
        <v>39</v>
      </c>
      <c r="AB96" s="184">
        <v>39</v>
      </c>
      <c r="AC96" s="186">
        <v>42</v>
      </c>
      <c r="AD96" s="186">
        <v>35</v>
      </c>
      <c r="AE96" s="186">
        <v>36</v>
      </c>
      <c r="AF96" s="189">
        <v>36</v>
      </c>
    </row>
    <row r="97" spans="1:32" x14ac:dyDescent="0.25">
      <c r="A97" s="181"/>
      <c r="B97" s="182" t="s">
        <v>81</v>
      </c>
      <c r="C97" s="183">
        <v>1</v>
      </c>
      <c r="D97" s="184">
        <v>0</v>
      </c>
      <c r="E97" s="185">
        <v>0</v>
      </c>
      <c r="F97" s="184">
        <v>1</v>
      </c>
      <c r="G97" s="184">
        <v>0</v>
      </c>
      <c r="H97" s="184">
        <v>0</v>
      </c>
      <c r="I97" s="184">
        <v>0</v>
      </c>
      <c r="J97" s="186">
        <v>0</v>
      </c>
      <c r="K97" s="186">
        <v>1</v>
      </c>
      <c r="L97" s="187">
        <v>0</v>
      </c>
      <c r="M97" s="186">
        <v>0</v>
      </c>
      <c r="N97" s="186">
        <v>0</v>
      </c>
      <c r="O97" s="186">
        <v>0</v>
      </c>
      <c r="P97" s="188">
        <v>0</v>
      </c>
      <c r="Q97" s="186">
        <v>0</v>
      </c>
      <c r="R97" s="186">
        <v>1</v>
      </c>
      <c r="S97" s="187">
        <v>0</v>
      </c>
      <c r="T97" s="187">
        <v>0</v>
      </c>
      <c r="U97" s="187">
        <v>0</v>
      </c>
      <c r="V97" s="186">
        <v>0</v>
      </c>
      <c r="W97" s="186">
        <v>0</v>
      </c>
      <c r="X97" s="186">
        <v>0</v>
      </c>
      <c r="Y97" s="186">
        <v>0</v>
      </c>
      <c r="Z97" s="187">
        <v>0</v>
      </c>
      <c r="AA97" s="186">
        <v>1</v>
      </c>
      <c r="AB97" s="184">
        <v>0</v>
      </c>
      <c r="AC97" s="186">
        <v>0</v>
      </c>
      <c r="AD97" s="186">
        <v>1</v>
      </c>
      <c r="AE97" s="186">
        <v>0</v>
      </c>
      <c r="AF97" s="189">
        <v>0</v>
      </c>
    </row>
    <row r="98" spans="1:32" x14ac:dyDescent="0.25">
      <c r="A98" s="181"/>
      <c r="B98" s="182" t="s">
        <v>82</v>
      </c>
      <c r="C98" s="183">
        <v>1</v>
      </c>
      <c r="D98" s="184">
        <v>0</v>
      </c>
      <c r="E98" s="185">
        <v>0</v>
      </c>
      <c r="F98" s="184">
        <v>0</v>
      </c>
      <c r="G98" s="184">
        <v>0</v>
      </c>
      <c r="H98" s="184">
        <v>0</v>
      </c>
      <c r="I98" s="184">
        <v>0</v>
      </c>
      <c r="J98" s="186">
        <v>1</v>
      </c>
      <c r="K98" s="186">
        <v>1</v>
      </c>
      <c r="L98" s="187">
        <v>0</v>
      </c>
      <c r="M98" s="186">
        <v>0</v>
      </c>
      <c r="N98" s="186">
        <v>0</v>
      </c>
      <c r="O98" s="186">
        <v>0</v>
      </c>
      <c r="P98" s="188">
        <v>0</v>
      </c>
      <c r="Q98" s="186">
        <v>4</v>
      </c>
      <c r="R98" s="186">
        <v>0</v>
      </c>
      <c r="S98" s="187">
        <v>0</v>
      </c>
      <c r="T98" s="187">
        <v>0</v>
      </c>
      <c r="U98" s="187">
        <v>0</v>
      </c>
      <c r="V98" s="186">
        <v>0</v>
      </c>
      <c r="W98" s="186">
        <v>0</v>
      </c>
      <c r="X98" s="186">
        <v>0</v>
      </c>
      <c r="Y98" s="186">
        <v>1</v>
      </c>
      <c r="Z98" s="187">
        <v>2</v>
      </c>
      <c r="AA98" s="186">
        <v>0</v>
      </c>
      <c r="AB98" s="184">
        <v>0</v>
      </c>
      <c r="AC98" s="186">
        <v>2</v>
      </c>
      <c r="AD98" s="186">
        <v>0</v>
      </c>
      <c r="AE98" s="186">
        <v>0</v>
      </c>
      <c r="AF98" s="189">
        <v>0</v>
      </c>
    </row>
    <row r="99" spans="1:32" x14ac:dyDescent="0.25">
      <c r="A99" s="181"/>
      <c r="B99" s="182" t="s">
        <v>83</v>
      </c>
      <c r="C99" s="183">
        <v>0</v>
      </c>
      <c r="D99" s="184">
        <v>0</v>
      </c>
      <c r="E99" s="185">
        <v>0</v>
      </c>
      <c r="F99" s="184">
        <v>0</v>
      </c>
      <c r="G99" s="184">
        <v>0</v>
      </c>
      <c r="H99" s="184">
        <v>0</v>
      </c>
      <c r="I99" s="184">
        <v>0</v>
      </c>
      <c r="J99" s="186">
        <v>0</v>
      </c>
      <c r="K99" s="186">
        <v>0</v>
      </c>
      <c r="L99" s="187">
        <v>0</v>
      </c>
      <c r="M99" s="186">
        <v>0</v>
      </c>
      <c r="N99" s="186">
        <v>0</v>
      </c>
      <c r="O99" s="186">
        <v>0</v>
      </c>
      <c r="P99" s="188">
        <v>0</v>
      </c>
      <c r="Q99" s="186">
        <v>0</v>
      </c>
      <c r="R99" s="186">
        <v>0</v>
      </c>
      <c r="S99" s="187">
        <v>0</v>
      </c>
      <c r="T99" s="187">
        <v>0</v>
      </c>
      <c r="U99" s="187">
        <v>0</v>
      </c>
      <c r="V99" s="186">
        <v>0</v>
      </c>
      <c r="W99" s="186">
        <v>0</v>
      </c>
      <c r="X99" s="186">
        <v>0</v>
      </c>
      <c r="Y99" s="186">
        <v>0</v>
      </c>
      <c r="Z99" s="187">
        <v>0</v>
      </c>
      <c r="AA99" s="186">
        <v>0</v>
      </c>
      <c r="AB99" s="184">
        <v>0</v>
      </c>
      <c r="AC99" s="186">
        <v>0</v>
      </c>
      <c r="AD99" s="186">
        <v>0</v>
      </c>
      <c r="AE99" s="186">
        <v>0</v>
      </c>
      <c r="AF99" s="189">
        <v>0</v>
      </c>
    </row>
    <row r="100" spans="1:32" x14ac:dyDescent="0.25">
      <c r="A100" s="181"/>
      <c r="B100" s="182" t="s">
        <v>84</v>
      </c>
      <c r="C100" s="183">
        <v>1</v>
      </c>
      <c r="D100" s="184">
        <v>0</v>
      </c>
      <c r="E100" s="185">
        <v>0</v>
      </c>
      <c r="F100" s="184">
        <v>0</v>
      </c>
      <c r="G100" s="184">
        <v>0</v>
      </c>
      <c r="H100" s="184">
        <v>0</v>
      </c>
      <c r="I100" s="184">
        <v>0</v>
      </c>
      <c r="J100" s="186">
        <v>0</v>
      </c>
      <c r="K100" s="186">
        <v>1</v>
      </c>
      <c r="L100" s="187">
        <v>0</v>
      </c>
      <c r="M100" s="186">
        <v>0</v>
      </c>
      <c r="N100" s="186">
        <v>0</v>
      </c>
      <c r="O100" s="186">
        <v>0</v>
      </c>
      <c r="P100" s="188">
        <v>0</v>
      </c>
      <c r="Q100" s="186">
        <v>0</v>
      </c>
      <c r="R100" s="186">
        <v>0</v>
      </c>
      <c r="S100" s="187">
        <v>0</v>
      </c>
      <c r="T100" s="187">
        <v>0</v>
      </c>
      <c r="U100" s="187">
        <v>0</v>
      </c>
      <c r="V100" s="186">
        <v>0</v>
      </c>
      <c r="W100" s="186">
        <v>0</v>
      </c>
      <c r="X100" s="186">
        <v>0</v>
      </c>
      <c r="Y100" s="186">
        <v>0</v>
      </c>
      <c r="Z100" s="187">
        <v>0</v>
      </c>
      <c r="AA100" s="186">
        <v>0</v>
      </c>
      <c r="AB100" s="184">
        <v>0</v>
      </c>
      <c r="AC100" s="186">
        <v>0</v>
      </c>
      <c r="AD100" s="186">
        <v>0</v>
      </c>
      <c r="AE100" s="186">
        <v>0</v>
      </c>
      <c r="AF100" s="189">
        <v>0</v>
      </c>
    </row>
    <row r="101" spans="1:32" x14ac:dyDescent="0.25">
      <c r="A101" s="181"/>
      <c r="B101" s="182" t="s">
        <v>85</v>
      </c>
      <c r="C101" s="183">
        <v>0</v>
      </c>
      <c r="D101" s="184">
        <v>1</v>
      </c>
      <c r="E101" s="185">
        <v>2</v>
      </c>
      <c r="F101" s="184">
        <v>0</v>
      </c>
      <c r="G101" s="184">
        <v>0</v>
      </c>
      <c r="H101" s="184">
        <v>0</v>
      </c>
      <c r="I101" s="184">
        <v>1</v>
      </c>
      <c r="J101" s="186">
        <v>0</v>
      </c>
      <c r="K101" s="186">
        <v>1</v>
      </c>
      <c r="L101" s="187">
        <v>1</v>
      </c>
      <c r="M101" s="186">
        <v>1</v>
      </c>
      <c r="N101" s="186">
        <v>0</v>
      </c>
      <c r="O101" s="186">
        <v>1</v>
      </c>
      <c r="P101" s="188">
        <v>0</v>
      </c>
      <c r="Q101" s="186">
        <v>0</v>
      </c>
      <c r="R101" s="186">
        <v>5</v>
      </c>
      <c r="S101" s="187">
        <v>0</v>
      </c>
      <c r="T101" s="187">
        <v>0</v>
      </c>
      <c r="U101" s="187">
        <v>0</v>
      </c>
      <c r="V101" s="186">
        <v>1</v>
      </c>
      <c r="W101" s="186">
        <v>1</v>
      </c>
      <c r="X101" s="186">
        <v>0</v>
      </c>
      <c r="Y101" s="186">
        <v>3</v>
      </c>
      <c r="Z101" s="187">
        <v>4</v>
      </c>
      <c r="AA101" s="186">
        <v>0</v>
      </c>
      <c r="AB101" s="184">
        <v>0</v>
      </c>
      <c r="AC101" s="186">
        <v>1</v>
      </c>
      <c r="AD101" s="186">
        <v>1</v>
      </c>
      <c r="AE101" s="186">
        <v>0</v>
      </c>
      <c r="AF101" s="189">
        <v>0</v>
      </c>
    </row>
    <row r="102" spans="1:32" ht="15.75" thickBot="1" x14ac:dyDescent="0.3">
      <c r="A102" s="190"/>
      <c r="B102" s="191" t="s">
        <v>86</v>
      </c>
      <c r="C102" s="192">
        <v>0</v>
      </c>
      <c r="D102" s="193">
        <v>0</v>
      </c>
      <c r="E102" s="194">
        <v>0</v>
      </c>
      <c r="F102" s="193">
        <v>0</v>
      </c>
      <c r="G102" s="193">
        <v>0</v>
      </c>
      <c r="H102" s="193">
        <v>0</v>
      </c>
      <c r="I102" s="193">
        <v>0</v>
      </c>
      <c r="J102" s="195">
        <v>0</v>
      </c>
      <c r="K102" s="195">
        <v>0</v>
      </c>
      <c r="L102" s="196">
        <v>0</v>
      </c>
      <c r="M102" s="195">
        <v>0</v>
      </c>
      <c r="N102" s="195">
        <v>0</v>
      </c>
      <c r="O102" s="195">
        <v>0</v>
      </c>
      <c r="P102" s="197">
        <v>0</v>
      </c>
      <c r="Q102" s="195">
        <v>2</v>
      </c>
      <c r="R102" s="195">
        <v>0</v>
      </c>
      <c r="S102" s="196">
        <v>0</v>
      </c>
      <c r="T102" s="196">
        <v>0</v>
      </c>
      <c r="U102" s="196">
        <v>0</v>
      </c>
      <c r="V102" s="195">
        <v>0</v>
      </c>
      <c r="W102" s="195">
        <v>1</v>
      </c>
      <c r="X102" s="195">
        <v>0</v>
      </c>
      <c r="Y102" s="195">
        <v>1</v>
      </c>
      <c r="Z102" s="196">
        <v>0</v>
      </c>
      <c r="AA102" s="195">
        <v>0</v>
      </c>
      <c r="AB102" s="193">
        <v>0</v>
      </c>
      <c r="AC102" s="195">
        <v>0</v>
      </c>
      <c r="AD102" s="195">
        <v>0</v>
      </c>
      <c r="AE102" s="195">
        <v>1</v>
      </c>
      <c r="AF102" s="198">
        <v>0</v>
      </c>
    </row>
    <row r="103" spans="1:32" ht="15.75" thickBot="1" x14ac:dyDescent="0.3">
      <c r="A103" s="80"/>
      <c r="B103" s="199"/>
      <c r="C103" s="199"/>
      <c r="D103" s="199"/>
      <c r="E103" s="200"/>
      <c r="F103" s="201"/>
      <c r="G103" s="199"/>
      <c r="H103" s="201"/>
      <c r="I103" s="199"/>
      <c r="J103" s="199"/>
      <c r="K103" s="80"/>
      <c r="L103" s="202"/>
      <c r="M103" s="80"/>
      <c r="N103" s="80"/>
      <c r="O103" s="80"/>
      <c r="P103" s="80"/>
      <c r="Q103" s="80"/>
      <c r="R103" s="80"/>
      <c r="S103" s="202"/>
      <c r="T103" s="80"/>
      <c r="U103" s="80"/>
      <c r="V103" s="80"/>
      <c r="W103" s="80"/>
      <c r="X103" s="80"/>
      <c r="Y103" s="80"/>
      <c r="Z103" s="202"/>
      <c r="AA103" s="203"/>
      <c r="AB103" s="80"/>
      <c r="AC103" s="203"/>
      <c r="AD103" s="80"/>
      <c r="AE103" s="39"/>
      <c r="AF103" s="39"/>
    </row>
    <row r="104" spans="1:32" x14ac:dyDescent="0.25">
      <c r="A104" s="96" t="s">
        <v>87</v>
      </c>
      <c r="B104" s="204" t="s">
        <v>88</v>
      </c>
      <c r="C104" s="205">
        <f>255+15</f>
        <v>270</v>
      </c>
      <c r="D104" s="205">
        <f t="shared" ref="D104:AF104" si="31">255+15</f>
        <v>270</v>
      </c>
      <c r="E104" s="205">
        <f t="shared" si="31"/>
        <v>270</v>
      </c>
      <c r="F104" s="205">
        <f t="shared" si="31"/>
        <v>270</v>
      </c>
      <c r="G104" s="205">
        <f t="shared" si="31"/>
        <v>270</v>
      </c>
      <c r="H104" s="205">
        <f t="shared" si="31"/>
        <v>270</v>
      </c>
      <c r="I104" s="205">
        <f t="shared" si="31"/>
        <v>270</v>
      </c>
      <c r="J104" s="205">
        <f t="shared" si="31"/>
        <v>270</v>
      </c>
      <c r="K104" s="206">
        <f t="shared" si="31"/>
        <v>270</v>
      </c>
      <c r="L104" s="206">
        <f t="shared" si="31"/>
        <v>270</v>
      </c>
      <c r="M104" s="206">
        <f t="shared" si="31"/>
        <v>270</v>
      </c>
      <c r="N104" s="206">
        <f t="shared" si="31"/>
        <v>270</v>
      </c>
      <c r="O104" s="206">
        <f t="shared" si="31"/>
        <v>270</v>
      </c>
      <c r="P104" s="206">
        <f t="shared" si="31"/>
        <v>270</v>
      </c>
      <c r="Q104" s="206">
        <f t="shared" si="31"/>
        <v>270</v>
      </c>
      <c r="R104" s="206">
        <f t="shared" si="31"/>
        <v>270</v>
      </c>
      <c r="S104" s="206">
        <f t="shared" si="31"/>
        <v>270</v>
      </c>
      <c r="T104" s="206">
        <f t="shared" si="31"/>
        <v>270</v>
      </c>
      <c r="U104" s="206">
        <f t="shared" si="31"/>
        <v>270</v>
      </c>
      <c r="V104" s="206">
        <f t="shared" si="31"/>
        <v>270</v>
      </c>
      <c r="W104" s="206">
        <f t="shared" si="31"/>
        <v>270</v>
      </c>
      <c r="X104" s="206">
        <f t="shared" si="31"/>
        <v>270</v>
      </c>
      <c r="Y104" s="206">
        <f t="shared" si="31"/>
        <v>270</v>
      </c>
      <c r="Z104" s="206">
        <f t="shared" si="31"/>
        <v>270</v>
      </c>
      <c r="AA104" s="206">
        <f t="shared" si="31"/>
        <v>270</v>
      </c>
      <c r="AB104" s="206">
        <f t="shared" si="31"/>
        <v>270</v>
      </c>
      <c r="AC104" s="206">
        <f t="shared" si="31"/>
        <v>270</v>
      </c>
      <c r="AD104" s="206">
        <f t="shared" si="31"/>
        <v>270</v>
      </c>
      <c r="AE104" s="206">
        <f t="shared" si="31"/>
        <v>270</v>
      </c>
      <c r="AF104" s="206">
        <f t="shared" si="31"/>
        <v>270</v>
      </c>
    </row>
    <row r="105" spans="1:32" x14ac:dyDescent="0.25">
      <c r="A105" s="8"/>
      <c r="B105" s="207" t="s">
        <v>89</v>
      </c>
      <c r="C105" s="208"/>
      <c r="D105" s="208"/>
      <c r="E105" s="209"/>
      <c r="F105" s="208"/>
      <c r="G105" s="208"/>
      <c r="H105" s="208"/>
      <c r="I105" s="208"/>
      <c r="J105" s="210"/>
      <c r="K105" s="208"/>
      <c r="L105" s="209"/>
      <c r="M105" s="208"/>
      <c r="N105" s="208"/>
      <c r="O105" s="208"/>
      <c r="P105" s="208"/>
      <c r="Q105" s="210"/>
      <c r="R105" s="208"/>
      <c r="S105" s="209"/>
      <c r="T105" s="208"/>
      <c r="U105" s="208"/>
      <c r="V105" s="208"/>
      <c r="W105" s="208"/>
      <c r="X105" s="210"/>
      <c r="Y105" s="208"/>
      <c r="Z105" s="209"/>
      <c r="AA105" s="208"/>
      <c r="AB105" s="208"/>
      <c r="AC105" s="208"/>
      <c r="AD105" s="208"/>
      <c r="AE105" s="208"/>
      <c r="AF105" s="208"/>
    </row>
    <row r="106" spans="1:32" x14ac:dyDescent="0.25">
      <c r="A106" s="8"/>
      <c r="B106" s="28" t="s">
        <v>90</v>
      </c>
      <c r="C106" s="211"/>
      <c r="D106" s="211"/>
      <c r="E106" s="212"/>
      <c r="F106" s="211"/>
      <c r="G106" s="211"/>
      <c r="H106" s="211"/>
      <c r="I106" s="211"/>
      <c r="J106" s="213"/>
      <c r="K106" s="211"/>
      <c r="L106" s="211"/>
      <c r="M106" s="211"/>
      <c r="N106" s="211"/>
      <c r="O106" s="214"/>
      <c r="P106" s="214"/>
      <c r="Q106" s="213"/>
      <c r="R106" s="211"/>
      <c r="S106" s="211"/>
      <c r="T106" s="211"/>
      <c r="U106" s="211"/>
      <c r="V106" s="211"/>
      <c r="W106" s="211"/>
      <c r="X106" s="213"/>
      <c r="Y106" s="211"/>
      <c r="Z106" s="211"/>
      <c r="AA106" s="211"/>
      <c r="AB106" s="211"/>
      <c r="AC106" s="211"/>
      <c r="AD106" s="211"/>
      <c r="AE106" s="211"/>
      <c r="AF106" s="211"/>
    </row>
    <row r="107" spans="1:32" x14ac:dyDescent="0.25">
      <c r="A107" s="8"/>
      <c r="B107" s="28" t="s">
        <v>91</v>
      </c>
      <c r="C107" s="211"/>
      <c r="D107" s="211"/>
      <c r="E107" s="212"/>
      <c r="F107" s="211"/>
      <c r="G107" s="211"/>
      <c r="H107" s="211"/>
      <c r="I107" s="211"/>
      <c r="J107" s="213"/>
      <c r="K107" s="211"/>
      <c r="L107" s="211"/>
      <c r="M107" s="211"/>
      <c r="N107" s="211"/>
      <c r="O107" s="211"/>
      <c r="P107" s="211"/>
      <c r="Q107" s="213"/>
      <c r="R107" s="211"/>
      <c r="S107" s="211"/>
      <c r="T107" s="211"/>
      <c r="U107" s="211"/>
      <c r="V107" s="211"/>
      <c r="W107" s="211"/>
      <c r="X107" s="213"/>
      <c r="Y107" s="211"/>
      <c r="Z107" s="211"/>
      <c r="AA107" s="211"/>
      <c r="AB107" s="211"/>
      <c r="AC107" s="211"/>
      <c r="AD107" s="211"/>
      <c r="AE107" s="211"/>
      <c r="AF107" s="211"/>
    </row>
    <row r="108" spans="1:32" x14ac:dyDescent="0.25">
      <c r="A108" s="8"/>
      <c r="B108" s="28" t="s">
        <v>92</v>
      </c>
      <c r="C108" s="211"/>
      <c r="D108" s="211"/>
      <c r="E108" s="212"/>
      <c r="F108" s="211"/>
      <c r="G108" s="211"/>
      <c r="H108" s="211"/>
      <c r="I108" s="211"/>
      <c r="J108" s="213"/>
      <c r="K108" s="211"/>
      <c r="L108" s="211"/>
      <c r="M108" s="211"/>
      <c r="N108" s="211"/>
      <c r="O108" s="211"/>
      <c r="P108" s="211"/>
      <c r="Q108" s="213"/>
      <c r="R108" s="211"/>
      <c r="S108" s="211"/>
      <c r="T108" s="211"/>
      <c r="U108" s="211"/>
      <c r="V108" s="211"/>
      <c r="W108" s="211"/>
      <c r="X108" s="213"/>
      <c r="Y108" s="211"/>
      <c r="Z108" s="211"/>
      <c r="AA108" s="211"/>
      <c r="AB108" s="211"/>
      <c r="AC108" s="211"/>
      <c r="AD108" s="211"/>
      <c r="AE108" s="211"/>
      <c r="AF108" s="211"/>
    </row>
    <row r="109" spans="1:32" x14ac:dyDescent="0.25">
      <c r="A109" s="8"/>
      <c r="B109" s="207" t="s">
        <v>93</v>
      </c>
      <c r="C109" s="208">
        <f t="shared" ref="C109:AF109" si="32">C108+C107</f>
        <v>0</v>
      </c>
      <c r="D109" s="208">
        <f t="shared" si="32"/>
        <v>0</v>
      </c>
      <c r="E109" s="209">
        <f t="shared" si="32"/>
        <v>0</v>
      </c>
      <c r="F109" s="208">
        <f t="shared" si="32"/>
        <v>0</v>
      </c>
      <c r="G109" s="208">
        <f t="shared" si="32"/>
        <v>0</v>
      </c>
      <c r="H109" s="208">
        <f t="shared" si="32"/>
        <v>0</v>
      </c>
      <c r="I109" s="208">
        <f t="shared" si="32"/>
        <v>0</v>
      </c>
      <c r="J109" s="210">
        <f t="shared" si="32"/>
        <v>0</v>
      </c>
      <c r="K109" s="208">
        <f t="shared" si="32"/>
        <v>0</v>
      </c>
      <c r="L109" s="209">
        <f t="shared" si="32"/>
        <v>0</v>
      </c>
      <c r="M109" s="208">
        <f t="shared" si="32"/>
        <v>0</v>
      </c>
      <c r="N109" s="208">
        <f t="shared" si="32"/>
        <v>0</v>
      </c>
      <c r="O109" s="208">
        <f t="shared" si="32"/>
        <v>0</v>
      </c>
      <c r="P109" s="208">
        <f t="shared" si="32"/>
        <v>0</v>
      </c>
      <c r="Q109" s="210">
        <f t="shared" si="32"/>
        <v>0</v>
      </c>
      <c r="R109" s="208">
        <f t="shared" si="32"/>
        <v>0</v>
      </c>
      <c r="S109" s="215"/>
      <c r="T109" s="208">
        <f t="shared" si="32"/>
        <v>0</v>
      </c>
      <c r="U109" s="208">
        <f t="shared" si="32"/>
        <v>0</v>
      </c>
      <c r="V109" s="208">
        <f t="shared" si="32"/>
        <v>0</v>
      </c>
      <c r="W109" s="208">
        <f t="shared" si="32"/>
        <v>0</v>
      </c>
      <c r="X109" s="210">
        <f t="shared" si="32"/>
        <v>0</v>
      </c>
      <c r="Y109" s="208">
        <f t="shared" si="32"/>
        <v>0</v>
      </c>
      <c r="Z109" s="209">
        <f t="shared" si="32"/>
        <v>0</v>
      </c>
      <c r="AA109" s="208">
        <f t="shared" si="32"/>
        <v>0</v>
      </c>
      <c r="AB109" s="208">
        <f t="shared" si="32"/>
        <v>0</v>
      </c>
      <c r="AC109" s="208">
        <f t="shared" si="32"/>
        <v>0</v>
      </c>
      <c r="AD109" s="208">
        <f t="shared" si="32"/>
        <v>0</v>
      </c>
      <c r="AE109" s="208">
        <f t="shared" si="32"/>
        <v>0</v>
      </c>
      <c r="AF109" s="208">
        <f t="shared" si="32"/>
        <v>0</v>
      </c>
    </row>
    <row r="110" spans="1:32" x14ac:dyDescent="0.25">
      <c r="A110" s="8"/>
      <c r="B110" s="28" t="s">
        <v>94</v>
      </c>
      <c r="C110" s="211"/>
      <c r="D110" s="211"/>
      <c r="E110" s="212"/>
      <c r="F110" s="211"/>
      <c r="G110" s="211"/>
      <c r="H110" s="211"/>
      <c r="I110" s="211"/>
      <c r="J110" s="213"/>
      <c r="K110" s="211"/>
      <c r="L110" s="211"/>
      <c r="M110" s="211"/>
      <c r="N110" s="211"/>
      <c r="O110" s="211"/>
      <c r="P110" s="211"/>
      <c r="Q110" s="213"/>
      <c r="R110" s="211"/>
      <c r="S110" s="211"/>
      <c r="T110" s="211"/>
      <c r="U110" s="211"/>
      <c r="V110" s="211"/>
      <c r="W110" s="211"/>
      <c r="X110" s="213"/>
      <c r="Y110" s="211"/>
      <c r="Z110" s="211"/>
      <c r="AA110" s="211"/>
      <c r="AB110" s="211"/>
      <c r="AC110" s="211"/>
      <c r="AD110" s="211"/>
      <c r="AE110" s="211"/>
      <c r="AF110" s="211"/>
    </row>
    <row r="111" spans="1:32" x14ac:dyDescent="0.25">
      <c r="A111" s="8"/>
      <c r="B111" s="28" t="s">
        <v>95</v>
      </c>
      <c r="C111" s="211"/>
      <c r="D111" s="211"/>
      <c r="E111" s="212"/>
      <c r="F111" s="211"/>
      <c r="G111" s="211"/>
      <c r="H111" s="211"/>
      <c r="I111" s="211"/>
      <c r="J111" s="213"/>
      <c r="K111" s="211"/>
      <c r="L111" s="211"/>
      <c r="M111" s="211"/>
      <c r="N111" s="211"/>
      <c r="O111" s="211"/>
      <c r="P111" s="211"/>
      <c r="Q111" s="213"/>
      <c r="R111" s="211"/>
      <c r="S111" s="211"/>
      <c r="T111" s="211"/>
      <c r="U111" s="211"/>
      <c r="V111" s="211"/>
      <c r="W111" s="211"/>
      <c r="X111" s="213"/>
      <c r="Y111" s="211"/>
      <c r="Z111" s="211"/>
      <c r="AA111" s="211"/>
      <c r="AB111" s="211"/>
      <c r="AC111" s="211"/>
      <c r="AD111" s="211"/>
      <c r="AE111" s="211"/>
      <c r="AF111" s="211"/>
    </row>
    <row r="112" spans="1:32" x14ac:dyDescent="0.25">
      <c r="A112" s="8"/>
      <c r="B112" s="207" t="s">
        <v>96</v>
      </c>
      <c r="C112" s="208"/>
      <c r="D112" s="208"/>
      <c r="E112" s="209"/>
      <c r="F112" s="208"/>
      <c r="G112" s="208"/>
      <c r="H112" s="208"/>
      <c r="I112" s="208"/>
      <c r="J112" s="210"/>
      <c r="K112" s="208"/>
      <c r="L112" s="209"/>
      <c r="M112" s="208"/>
      <c r="N112" s="208"/>
      <c r="O112" s="208"/>
      <c r="P112" s="208"/>
      <c r="Q112" s="210"/>
      <c r="R112" s="208"/>
      <c r="S112" s="209"/>
      <c r="T112" s="208"/>
      <c r="U112" s="208"/>
      <c r="V112" s="208"/>
      <c r="W112" s="208"/>
      <c r="X112" s="210"/>
      <c r="Y112" s="208"/>
      <c r="Z112" s="209"/>
      <c r="AA112" s="208"/>
      <c r="AB112" s="208"/>
      <c r="AC112" s="208"/>
      <c r="AD112" s="208"/>
      <c r="AE112" s="208"/>
      <c r="AF112" s="208"/>
    </row>
    <row r="113" spans="1:32" x14ac:dyDescent="0.25">
      <c r="A113" s="8"/>
      <c r="B113" s="207" t="s">
        <v>97</v>
      </c>
      <c r="C113" s="216">
        <f>187*8*10%</f>
        <v>149.6</v>
      </c>
      <c r="D113" s="216">
        <f t="shared" ref="D113:AF113" si="33">187*8*10%</f>
        <v>149.6</v>
      </c>
      <c r="E113" s="217">
        <f t="shared" si="33"/>
        <v>149.6</v>
      </c>
      <c r="F113" s="216">
        <f t="shared" si="33"/>
        <v>149.6</v>
      </c>
      <c r="G113" s="216">
        <f t="shared" si="33"/>
        <v>149.6</v>
      </c>
      <c r="H113" s="216">
        <f t="shared" si="33"/>
        <v>149.6</v>
      </c>
      <c r="I113" s="216">
        <f t="shared" si="33"/>
        <v>149.6</v>
      </c>
      <c r="J113" s="218">
        <f t="shared" si="33"/>
        <v>149.6</v>
      </c>
      <c r="K113" s="216">
        <f t="shared" si="33"/>
        <v>149.6</v>
      </c>
      <c r="L113" s="217">
        <f t="shared" si="33"/>
        <v>149.6</v>
      </c>
      <c r="M113" s="216">
        <f t="shared" si="33"/>
        <v>149.6</v>
      </c>
      <c r="N113" s="216">
        <f t="shared" si="33"/>
        <v>149.6</v>
      </c>
      <c r="O113" s="216">
        <f t="shared" si="33"/>
        <v>149.6</v>
      </c>
      <c r="P113" s="216">
        <f t="shared" si="33"/>
        <v>149.6</v>
      </c>
      <c r="Q113" s="218">
        <f t="shared" si="33"/>
        <v>149.6</v>
      </c>
      <c r="R113" s="216">
        <f t="shared" si="33"/>
        <v>149.6</v>
      </c>
      <c r="S113" s="217">
        <f t="shared" si="33"/>
        <v>149.6</v>
      </c>
      <c r="T113" s="216">
        <f t="shared" si="33"/>
        <v>149.6</v>
      </c>
      <c r="U113" s="216">
        <f t="shared" si="33"/>
        <v>149.6</v>
      </c>
      <c r="V113" s="216">
        <f t="shared" si="33"/>
        <v>149.6</v>
      </c>
      <c r="W113" s="216">
        <f t="shared" si="33"/>
        <v>149.6</v>
      </c>
      <c r="X113" s="218">
        <f t="shared" si="33"/>
        <v>149.6</v>
      </c>
      <c r="Y113" s="216">
        <f t="shared" si="33"/>
        <v>149.6</v>
      </c>
      <c r="Z113" s="217">
        <f t="shared" si="33"/>
        <v>149.6</v>
      </c>
      <c r="AA113" s="216">
        <f t="shared" si="33"/>
        <v>149.6</v>
      </c>
      <c r="AB113" s="216">
        <f t="shared" si="33"/>
        <v>149.6</v>
      </c>
      <c r="AC113" s="216">
        <f t="shared" si="33"/>
        <v>149.6</v>
      </c>
      <c r="AD113" s="216">
        <f t="shared" si="33"/>
        <v>149.6</v>
      </c>
      <c r="AE113" s="216">
        <f t="shared" si="33"/>
        <v>149.6</v>
      </c>
      <c r="AF113" s="216">
        <f t="shared" si="33"/>
        <v>149.6</v>
      </c>
    </row>
    <row r="114" spans="1:32" ht="15.75" thickBot="1" x14ac:dyDescent="0.3">
      <c r="A114" s="31"/>
      <c r="B114" s="219" t="s">
        <v>98</v>
      </c>
      <c r="C114" s="220">
        <v>11</v>
      </c>
      <c r="D114" s="220">
        <v>11</v>
      </c>
      <c r="E114" s="220">
        <v>11</v>
      </c>
      <c r="F114" s="220">
        <v>11</v>
      </c>
      <c r="G114" s="220">
        <v>11</v>
      </c>
      <c r="H114" s="220">
        <v>11</v>
      </c>
      <c r="I114" s="220">
        <v>8</v>
      </c>
      <c r="J114" s="220">
        <v>11</v>
      </c>
      <c r="K114" s="220">
        <v>11</v>
      </c>
      <c r="L114" s="220">
        <v>11</v>
      </c>
      <c r="M114" s="220">
        <v>11</v>
      </c>
      <c r="N114" s="220">
        <v>11</v>
      </c>
      <c r="O114" s="220">
        <v>11</v>
      </c>
      <c r="P114" s="220">
        <v>6</v>
      </c>
      <c r="Q114" s="220">
        <v>11</v>
      </c>
      <c r="R114" s="220">
        <v>11</v>
      </c>
      <c r="S114" s="220">
        <v>11</v>
      </c>
      <c r="T114" s="220">
        <v>11</v>
      </c>
      <c r="U114" s="220">
        <v>11</v>
      </c>
      <c r="V114" s="220">
        <v>11</v>
      </c>
      <c r="W114" s="220">
        <v>11</v>
      </c>
      <c r="X114" s="220">
        <v>11</v>
      </c>
      <c r="Y114" s="220">
        <v>11</v>
      </c>
      <c r="Z114" s="220">
        <v>11</v>
      </c>
      <c r="AA114" s="220">
        <v>11</v>
      </c>
      <c r="AB114" s="220">
        <v>11</v>
      </c>
      <c r="AC114" s="220">
        <v>11</v>
      </c>
      <c r="AD114" s="220">
        <v>8</v>
      </c>
      <c r="AE114" s="220">
        <v>8</v>
      </c>
      <c r="AF114" s="220">
        <v>8</v>
      </c>
    </row>
  </sheetData>
  <mergeCells count="11">
    <mergeCell ref="A80:A83"/>
    <mergeCell ref="A84:A87"/>
    <mergeCell ref="A88:A91"/>
    <mergeCell ref="A93:A102"/>
    <mergeCell ref="A104:A114"/>
    <mergeCell ref="A2:A9"/>
    <mergeCell ref="A10:A30"/>
    <mergeCell ref="A32:A44"/>
    <mergeCell ref="A46:A58"/>
    <mergeCell ref="A60:A67"/>
    <mergeCell ref="A69:A78"/>
  </mergeCells>
  <conditionalFormatting sqref="B60:B67">
    <cfRule type="cellIs" dxfId="10" priority="2" operator="equal">
      <formula>0</formula>
    </cfRule>
  </conditionalFormatting>
  <conditionalFormatting sqref="C60:AF67">
    <cfRule type="cellIs" dxfId="9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4"/>
  <sheetViews>
    <sheetView tabSelected="1" topLeftCell="V1" workbookViewId="0">
      <selection activeCell="AH7" sqref="AH7"/>
    </sheetView>
  </sheetViews>
  <sheetFormatPr defaultRowHeight="15" x14ac:dyDescent="0.25"/>
  <cols>
    <col min="1" max="1" width="22.7109375" bestFit="1" customWidth="1"/>
    <col min="2" max="2" width="28.42578125" bestFit="1" customWidth="1"/>
    <col min="3" max="3" width="8.28515625" bestFit="1" customWidth="1"/>
    <col min="4" max="4" width="14.5703125" bestFit="1" customWidth="1"/>
    <col min="5" max="5" width="8.28515625" bestFit="1" customWidth="1"/>
    <col min="6" max="6" width="14.5703125" bestFit="1" customWidth="1"/>
    <col min="7" max="11" width="15.5703125" bestFit="1" customWidth="1"/>
    <col min="12" max="12" width="9.28515625" bestFit="1" customWidth="1"/>
    <col min="13" max="18" width="15.5703125" bestFit="1" customWidth="1"/>
    <col min="19" max="19" width="9.28515625" bestFit="1" customWidth="1"/>
    <col min="20" max="25" width="15.5703125" bestFit="1" customWidth="1"/>
    <col min="26" max="26" width="9.28515625" bestFit="1" customWidth="1"/>
    <col min="27" max="32" width="15.5703125" bestFit="1" customWidth="1"/>
    <col min="33" max="33" width="9.28515625" bestFit="1" customWidth="1"/>
  </cols>
  <sheetData>
    <row r="1" spans="1:33" x14ac:dyDescent="0.25">
      <c r="A1" s="1" t="s">
        <v>0</v>
      </c>
      <c r="B1" s="2" t="s">
        <v>1</v>
      </c>
      <c r="C1" s="3">
        <v>46143</v>
      </c>
      <c r="D1" s="3">
        <v>46144</v>
      </c>
      <c r="E1" s="3">
        <v>46145</v>
      </c>
      <c r="F1" s="3">
        <v>46146</v>
      </c>
      <c r="G1" s="3">
        <v>46147</v>
      </c>
      <c r="H1" s="3">
        <v>46148</v>
      </c>
      <c r="I1" s="3">
        <v>46149</v>
      </c>
      <c r="J1" s="3">
        <v>46150</v>
      </c>
      <c r="K1" s="3">
        <v>46151</v>
      </c>
      <c r="L1" s="3">
        <v>46152</v>
      </c>
      <c r="M1" s="3">
        <v>46153</v>
      </c>
      <c r="N1" s="3">
        <v>46154</v>
      </c>
      <c r="O1" s="3">
        <v>46155</v>
      </c>
      <c r="P1" s="3">
        <v>46156</v>
      </c>
      <c r="Q1" s="3">
        <v>46157</v>
      </c>
      <c r="R1" s="3">
        <v>46158</v>
      </c>
      <c r="S1" s="3">
        <v>46159</v>
      </c>
      <c r="T1" s="3">
        <v>46160</v>
      </c>
      <c r="U1" s="3">
        <v>46161</v>
      </c>
      <c r="V1" s="3">
        <v>46162</v>
      </c>
      <c r="W1" s="3">
        <v>46163</v>
      </c>
      <c r="X1" s="3">
        <v>46164</v>
      </c>
      <c r="Y1" s="3">
        <v>46165</v>
      </c>
      <c r="Z1" s="3">
        <v>46166</v>
      </c>
      <c r="AA1" s="3">
        <v>46167</v>
      </c>
      <c r="AB1" s="3">
        <v>46168</v>
      </c>
      <c r="AC1" s="3">
        <v>46169</v>
      </c>
      <c r="AD1" s="3">
        <v>46170</v>
      </c>
      <c r="AE1" s="3">
        <v>46171</v>
      </c>
      <c r="AF1" s="3">
        <v>46172</v>
      </c>
      <c r="AG1" s="3">
        <v>46173</v>
      </c>
    </row>
    <row r="2" spans="1:33" x14ac:dyDescent="0.25">
      <c r="A2" s="4" t="s">
        <v>2</v>
      </c>
      <c r="B2" s="5" t="s">
        <v>3</v>
      </c>
      <c r="C2" s="6">
        <v>0</v>
      </c>
      <c r="D2" s="6">
        <v>3</v>
      </c>
      <c r="E2" s="6">
        <v>0</v>
      </c>
      <c r="F2" s="6">
        <v>7</v>
      </c>
      <c r="G2" s="6">
        <v>10</v>
      </c>
      <c r="H2" s="6">
        <v>10</v>
      </c>
      <c r="I2" s="6">
        <v>4</v>
      </c>
      <c r="J2" s="6">
        <v>2</v>
      </c>
      <c r="K2" s="6">
        <v>4</v>
      </c>
      <c r="L2" s="6">
        <v>0</v>
      </c>
      <c r="M2" s="6">
        <v>5</v>
      </c>
      <c r="N2" s="6">
        <v>7</v>
      </c>
      <c r="O2" s="6">
        <v>6</v>
      </c>
      <c r="P2" s="6">
        <v>1</v>
      </c>
      <c r="Q2" s="6">
        <v>4</v>
      </c>
      <c r="R2" s="6">
        <v>0</v>
      </c>
      <c r="S2" s="6">
        <v>0</v>
      </c>
      <c r="T2" s="6">
        <v>9</v>
      </c>
      <c r="U2" s="6">
        <v>6</v>
      </c>
      <c r="V2" s="6">
        <v>6</v>
      </c>
      <c r="W2" s="6">
        <v>4</v>
      </c>
      <c r="X2" s="6">
        <v>7</v>
      </c>
      <c r="Y2" s="6">
        <v>5</v>
      </c>
      <c r="Z2" s="6">
        <v>0</v>
      </c>
      <c r="AA2" s="6">
        <v>1</v>
      </c>
      <c r="AB2" s="6">
        <v>8</v>
      </c>
      <c r="AC2" s="6">
        <v>10</v>
      </c>
      <c r="AD2" s="6">
        <v>4</v>
      </c>
      <c r="AE2" s="6">
        <v>4</v>
      </c>
      <c r="AF2" s="6">
        <v>3</v>
      </c>
      <c r="AG2" s="6">
        <v>0</v>
      </c>
    </row>
    <row r="3" spans="1:33" x14ac:dyDescent="0.25">
      <c r="A3" s="8"/>
      <c r="B3" s="5" t="s">
        <v>99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4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</row>
    <row r="4" spans="1:33" x14ac:dyDescent="0.25">
      <c r="A4" s="8"/>
      <c r="B4" s="5" t="s">
        <v>5</v>
      </c>
      <c r="C4" s="6">
        <v>0</v>
      </c>
      <c r="D4" s="6">
        <v>0</v>
      </c>
      <c r="E4" s="6">
        <v>0</v>
      </c>
      <c r="F4" s="6">
        <v>2</v>
      </c>
      <c r="G4" s="6">
        <v>2</v>
      </c>
      <c r="H4" s="6">
        <v>2</v>
      </c>
      <c r="I4" s="6">
        <v>2</v>
      </c>
      <c r="J4" s="6">
        <v>1</v>
      </c>
      <c r="K4" s="6">
        <v>1</v>
      </c>
      <c r="L4" s="6">
        <v>0</v>
      </c>
      <c r="M4" s="6">
        <v>1</v>
      </c>
      <c r="N4" s="6">
        <v>3</v>
      </c>
      <c r="O4" s="6">
        <v>1</v>
      </c>
      <c r="P4" s="6">
        <v>1</v>
      </c>
      <c r="Q4" s="6">
        <v>3</v>
      </c>
      <c r="R4" s="6">
        <v>1</v>
      </c>
      <c r="S4" s="6">
        <v>0</v>
      </c>
      <c r="T4" s="6">
        <v>2</v>
      </c>
      <c r="U4" s="6">
        <v>2</v>
      </c>
      <c r="V4" s="6">
        <v>2</v>
      </c>
      <c r="W4" s="6">
        <v>3</v>
      </c>
      <c r="X4" s="6">
        <v>2</v>
      </c>
      <c r="Y4" s="6">
        <v>3</v>
      </c>
      <c r="Z4" s="6">
        <v>0</v>
      </c>
      <c r="AA4" s="6">
        <v>2</v>
      </c>
      <c r="AB4" s="6">
        <v>3</v>
      </c>
      <c r="AC4" s="6">
        <v>2</v>
      </c>
      <c r="AD4" s="6">
        <v>3</v>
      </c>
      <c r="AE4" s="6">
        <v>3</v>
      </c>
      <c r="AF4" s="6">
        <v>0</v>
      </c>
      <c r="AG4" s="6">
        <v>0</v>
      </c>
    </row>
    <row r="5" spans="1:33" x14ac:dyDescent="0.25">
      <c r="A5" s="8"/>
      <c r="B5" s="5" t="s">
        <v>6</v>
      </c>
      <c r="C5" s="6">
        <v>0</v>
      </c>
      <c r="D5" s="6">
        <v>4</v>
      </c>
      <c r="E5" s="6">
        <v>0</v>
      </c>
      <c r="F5" s="6">
        <v>0</v>
      </c>
      <c r="G5" s="6">
        <v>1</v>
      </c>
      <c r="H5" s="6">
        <v>2</v>
      </c>
      <c r="I5" s="6">
        <v>2</v>
      </c>
      <c r="J5" s="6">
        <v>2</v>
      </c>
      <c r="K5" s="6">
        <v>1</v>
      </c>
      <c r="L5" s="6">
        <v>0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0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0</v>
      </c>
      <c r="AA5" s="6">
        <v>1</v>
      </c>
      <c r="AB5" s="6">
        <v>2</v>
      </c>
      <c r="AC5" s="6">
        <v>1</v>
      </c>
      <c r="AD5" s="6">
        <v>2</v>
      </c>
      <c r="AE5" s="6">
        <v>1</v>
      </c>
      <c r="AF5" s="6">
        <v>0</v>
      </c>
      <c r="AG5" s="6">
        <v>0</v>
      </c>
    </row>
    <row r="6" spans="1:33" x14ac:dyDescent="0.25">
      <c r="A6" s="8"/>
      <c r="B6" s="5" t="s">
        <v>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</row>
    <row r="7" spans="1:33" x14ac:dyDescent="0.25">
      <c r="A7" s="8"/>
      <c r="B7" s="5" t="s">
        <v>8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</row>
    <row r="8" spans="1:33" x14ac:dyDescent="0.25">
      <c r="A8" s="8"/>
      <c r="B8" s="5" t="s">
        <v>10</v>
      </c>
      <c r="C8" s="6">
        <v>0</v>
      </c>
      <c r="D8" s="6">
        <v>5</v>
      </c>
      <c r="E8" s="6">
        <v>0</v>
      </c>
      <c r="F8" s="6">
        <v>4</v>
      </c>
      <c r="G8" s="6">
        <v>6</v>
      </c>
      <c r="H8" s="6">
        <v>2</v>
      </c>
      <c r="I8" s="6">
        <v>5</v>
      </c>
      <c r="J8" s="6">
        <v>3</v>
      </c>
      <c r="K8" s="6">
        <v>6</v>
      </c>
      <c r="L8" s="6">
        <v>0</v>
      </c>
      <c r="M8" s="6">
        <v>2</v>
      </c>
      <c r="N8" s="6">
        <v>3</v>
      </c>
      <c r="O8" s="6">
        <v>8</v>
      </c>
      <c r="P8" s="6">
        <v>4</v>
      </c>
      <c r="Q8" s="6">
        <v>2</v>
      </c>
      <c r="R8" s="6">
        <v>7</v>
      </c>
      <c r="S8" s="6">
        <v>0</v>
      </c>
      <c r="T8" s="6">
        <v>2</v>
      </c>
      <c r="U8" s="6">
        <v>5</v>
      </c>
      <c r="V8" s="6">
        <v>4</v>
      </c>
      <c r="W8" s="6">
        <v>0</v>
      </c>
      <c r="X8" s="6">
        <v>2</v>
      </c>
      <c r="Y8" s="6">
        <v>6</v>
      </c>
      <c r="Z8" s="6">
        <v>0</v>
      </c>
      <c r="AA8" s="6">
        <v>3</v>
      </c>
      <c r="AB8" s="6">
        <v>2</v>
      </c>
      <c r="AC8" s="6">
        <v>3</v>
      </c>
      <c r="AD8" s="6">
        <v>2</v>
      </c>
      <c r="AE8" s="6">
        <v>5</v>
      </c>
      <c r="AF8" s="6">
        <v>0</v>
      </c>
      <c r="AG8" s="6">
        <v>0</v>
      </c>
    </row>
    <row r="9" spans="1:33" x14ac:dyDescent="0.25">
      <c r="A9" s="9"/>
      <c r="B9" s="10" t="s">
        <v>11</v>
      </c>
      <c r="C9" s="11">
        <f t="shared" ref="C9:AG9" si="0">SUM(C2:C8)</f>
        <v>0</v>
      </c>
      <c r="D9" s="11">
        <f t="shared" si="0"/>
        <v>12</v>
      </c>
      <c r="E9" s="11">
        <f t="shared" si="0"/>
        <v>0</v>
      </c>
      <c r="F9" s="12">
        <f t="shared" si="0"/>
        <v>13</v>
      </c>
      <c r="G9" s="11">
        <f t="shared" si="0"/>
        <v>19</v>
      </c>
      <c r="H9" s="13">
        <f t="shared" si="0"/>
        <v>16</v>
      </c>
      <c r="I9" s="11">
        <f t="shared" si="0"/>
        <v>13</v>
      </c>
      <c r="J9" s="13">
        <f t="shared" si="0"/>
        <v>8</v>
      </c>
      <c r="K9" s="11">
        <f t="shared" si="0"/>
        <v>12</v>
      </c>
      <c r="L9" s="11">
        <f t="shared" si="0"/>
        <v>0</v>
      </c>
      <c r="M9" s="13">
        <f t="shared" si="0"/>
        <v>9</v>
      </c>
      <c r="N9" s="11">
        <f t="shared" si="0"/>
        <v>14</v>
      </c>
      <c r="O9" s="12">
        <f t="shared" si="0"/>
        <v>16</v>
      </c>
      <c r="P9" s="11">
        <f t="shared" si="0"/>
        <v>7</v>
      </c>
      <c r="Q9" s="11">
        <f t="shared" si="0"/>
        <v>10</v>
      </c>
      <c r="R9" s="11">
        <f t="shared" si="0"/>
        <v>13</v>
      </c>
      <c r="S9" s="11">
        <f t="shared" si="0"/>
        <v>0</v>
      </c>
      <c r="T9" s="11">
        <f t="shared" si="0"/>
        <v>14</v>
      </c>
      <c r="U9" s="11">
        <f t="shared" si="0"/>
        <v>14</v>
      </c>
      <c r="V9" s="11">
        <f t="shared" si="0"/>
        <v>13</v>
      </c>
      <c r="W9" s="11">
        <f t="shared" si="0"/>
        <v>9</v>
      </c>
      <c r="X9" s="11">
        <f t="shared" si="0"/>
        <v>12</v>
      </c>
      <c r="Y9" s="11">
        <f t="shared" si="0"/>
        <v>15</v>
      </c>
      <c r="Z9" s="11">
        <f t="shared" si="0"/>
        <v>0</v>
      </c>
      <c r="AA9" s="11">
        <f t="shared" si="0"/>
        <v>7</v>
      </c>
      <c r="AB9" s="11">
        <f t="shared" si="0"/>
        <v>15</v>
      </c>
      <c r="AC9" s="11">
        <f t="shared" si="0"/>
        <v>16</v>
      </c>
      <c r="AD9" s="11">
        <f t="shared" si="0"/>
        <v>11</v>
      </c>
      <c r="AE9" s="11">
        <f t="shared" si="0"/>
        <v>13</v>
      </c>
      <c r="AF9" s="11">
        <f t="shared" si="0"/>
        <v>3</v>
      </c>
      <c r="AG9" s="11">
        <f t="shared" si="0"/>
        <v>0</v>
      </c>
    </row>
    <row r="10" spans="1:33" x14ac:dyDescent="0.25">
      <c r="A10" s="4" t="s">
        <v>12</v>
      </c>
      <c r="B10" s="14" t="s">
        <v>13</v>
      </c>
      <c r="C10" s="221">
        <v>1674</v>
      </c>
      <c r="D10" s="222">
        <f>+C13</f>
        <v>1674</v>
      </c>
      <c r="E10" s="222">
        <f t="shared" ref="E10:AG10" si="1">+D13</f>
        <v>1716</v>
      </c>
      <c r="F10" s="222">
        <f t="shared" si="1"/>
        <v>1386</v>
      </c>
      <c r="G10" s="222">
        <f t="shared" si="1"/>
        <v>1397</v>
      </c>
      <c r="H10" s="222">
        <f t="shared" si="1"/>
        <v>1251</v>
      </c>
      <c r="I10" s="222">
        <f t="shared" si="1"/>
        <v>1706</v>
      </c>
      <c r="J10" s="222">
        <f t="shared" si="1"/>
        <v>1656</v>
      </c>
      <c r="K10" s="222">
        <f t="shared" si="1"/>
        <v>1286</v>
      </c>
      <c r="L10" s="222">
        <f t="shared" si="1"/>
        <v>1209</v>
      </c>
      <c r="M10" s="222">
        <f t="shared" si="1"/>
        <v>1052</v>
      </c>
      <c r="N10" s="222">
        <f t="shared" si="1"/>
        <v>828</v>
      </c>
      <c r="O10" s="222">
        <f t="shared" si="1"/>
        <v>1046</v>
      </c>
      <c r="P10" s="222">
        <f t="shared" si="1"/>
        <v>1256</v>
      </c>
      <c r="Q10" s="222">
        <f t="shared" si="1"/>
        <v>1135</v>
      </c>
      <c r="R10" s="222">
        <f t="shared" si="1"/>
        <v>1062</v>
      </c>
      <c r="S10" s="222">
        <f t="shared" si="1"/>
        <v>1021</v>
      </c>
      <c r="T10" s="222">
        <f t="shared" si="1"/>
        <v>776</v>
      </c>
      <c r="U10" s="222">
        <f t="shared" si="1"/>
        <v>1069</v>
      </c>
      <c r="V10" s="222">
        <f t="shared" si="1"/>
        <v>1417</v>
      </c>
      <c r="W10" s="222">
        <f t="shared" si="1"/>
        <v>1373</v>
      </c>
      <c r="X10" s="222">
        <f t="shared" si="1"/>
        <v>1442</v>
      </c>
      <c r="Y10" s="222">
        <f t="shared" si="1"/>
        <v>1249</v>
      </c>
      <c r="Z10" s="222">
        <f t="shared" si="1"/>
        <v>1284</v>
      </c>
      <c r="AA10" s="222">
        <f t="shared" si="1"/>
        <v>710</v>
      </c>
      <c r="AB10" s="222">
        <f t="shared" si="1"/>
        <v>550</v>
      </c>
      <c r="AC10" s="222">
        <f t="shared" si="1"/>
        <v>683</v>
      </c>
      <c r="AD10" s="222">
        <f t="shared" si="1"/>
        <v>980</v>
      </c>
      <c r="AE10" s="222">
        <f t="shared" si="1"/>
        <v>699</v>
      </c>
      <c r="AF10" s="222">
        <f t="shared" si="1"/>
        <v>1231</v>
      </c>
      <c r="AG10" s="222">
        <f t="shared" si="1"/>
        <v>1618</v>
      </c>
    </row>
    <row r="11" spans="1:33" x14ac:dyDescent="0.25">
      <c r="A11" s="8"/>
      <c r="B11" s="5" t="s">
        <v>14</v>
      </c>
      <c r="C11" s="6">
        <v>0</v>
      </c>
      <c r="D11" s="6">
        <v>345</v>
      </c>
      <c r="E11" s="6">
        <v>0</v>
      </c>
      <c r="F11" s="6">
        <v>485</v>
      </c>
      <c r="G11" s="6">
        <v>307</v>
      </c>
      <c r="H11" s="6">
        <v>766</v>
      </c>
      <c r="I11" s="6">
        <v>491</v>
      </c>
      <c r="J11" s="6">
        <v>211</v>
      </c>
      <c r="K11" s="6">
        <v>291</v>
      </c>
      <c r="L11" s="6">
        <v>0</v>
      </c>
      <c r="M11" s="6">
        <v>516</v>
      </c>
      <c r="N11" s="6">
        <v>534</v>
      </c>
      <c r="O11" s="6">
        <v>577</v>
      </c>
      <c r="P11" s="6">
        <v>205</v>
      </c>
      <c r="Q11" s="6">
        <v>361</v>
      </c>
      <c r="R11" s="6">
        <v>413</v>
      </c>
      <c r="S11" s="6">
        <v>0</v>
      </c>
      <c r="T11" s="6">
        <v>658</v>
      </c>
      <c r="U11" s="6">
        <v>711</v>
      </c>
      <c r="V11" s="6">
        <v>528</v>
      </c>
      <c r="W11" s="6">
        <v>489</v>
      </c>
      <c r="X11" s="6">
        <v>419</v>
      </c>
      <c r="Y11" s="6">
        <v>418</v>
      </c>
      <c r="Z11" s="6">
        <v>0</v>
      </c>
      <c r="AA11" s="6">
        <v>290</v>
      </c>
      <c r="AB11" s="6">
        <v>600</v>
      </c>
      <c r="AC11" s="6">
        <v>693</v>
      </c>
      <c r="AD11" s="6">
        <v>318</v>
      </c>
      <c r="AE11" s="6">
        <v>703</v>
      </c>
      <c r="AF11" s="6">
        <v>387</v>
      </c>
      <c r="AG11" s="6">
        <v>0</v>
      </c>
    </row>
    <row r="12" spans="1:33" x14ac:dyDescent="0.25">
      <c r="A12" s="8"/>
      <c r="B12" s="5" t="s">
        <v>15</v>
      </c>
      <c r="C12" s="6">
        <v>0</v>
      </c>
      <c r="D12" s="6">
        <v>303</v>
      </c>
      <c r="E12" s="6">
        <v>330</v>
      </c>
      <c r="F12" s="6">
        <v>474</v>
      </c>
      <c r="G12" s="6">
        <v>453</v>
      </c>
      <c r="H12" s="6">
        <v>311</v>
      </c>
      <c r="I12" s="6">
        <v>541</v>
      </c>
      <c r="J12" s="6">
        <v>581</v>
      </c>
      <c r="K12" s="6">
        <v>368</v>
      </c>
      <c r="L12" s="6">
        <v>157</v>
      </c>
      <c r="M12" s="6">
        <v>740</v>
      </c>
      <c r="N12" s="6">
        <v>316</v>
      </c>
      <c r="O12" s="6">
        <v>367</v>
      </c>
      <c r="P12" s="6">
        <v>326</v>
      </c>
      <c r="Q12" s="6">
        <v>434</v>
      </c>
      <c r="R12" s="6">
        <v>454</v>
      </c>
      <c r="S12" s="6">
        <v>245</v>
      </c>
      <c r="T12" s="6">
        <v>365</v>
      </c>
      <c r="U12" s="6">
        <v>363</v>
      </c>
      <c r="V12" s="6">
        <v>572</v>
      </c>
      <c r="W12" s="6">
        <v>420</v>
      </c>
      <c r="X12" s="6">
        <v>612</v>
      </c>
      <c r="Y12" s="6">
        <v>383</v>
      </c>
      <c r="Z12" s="6">
        <v>574</v>
      </c>
      <c r="AA12" s="6">
        <v>450</v>
      </c>
      <c r="AB12" s="6">
        <v>467</v>
      </c>
      <c r="AC12" s="6">
        <v>396</v>
      </c>
      <c r="AD12" s="6">
        <v>599</v>
      </c>
      <c r="AE12" s="6">
        <v>171</v>
      </c>
      <c r="AF12" s="6">
        <v>0</v>
      </c>
      <c r="AG12" s="6">
        <v>0</v>
      </c>
    </row>
    <row r="13" spans="1:33" x14ac:dyDescent="0.25">
      <c r="A13" s="8"/>
      <c r="B13" s="14" t="s">
        <v>16</v>
      </c>
      <c r="C13" s="6">
        <v>1674</v>
      </c>
      <c r="D13" s="6">
        <f>+D10+D11-D12</f>
        <v>1716</v>
      </c>
      <c r="E13" s="6">
        <f t="shared" ref="E13:AG13" si="2">+E10+E11-E12</f>
        <v>1386</v>
      </c>
      <c r="F13" s="6">
        <f t="shared" si="2"/>
        <v>1397</v>
      </c>
      <c r="G13" s="6">
        <f t="shared" si="2"/>
        <v>1251</v>
      </c>
      <c r="H13" s="6">
        <f t="shared" si="2"/>
        <v>1706</v>
      </c>
      <c r="I13" s="6">
        <f t="shared" si="2"/>
        <v>1656</v>
      </c>
      <c r="J13" s="6">
        <f t="shared" si="2"/>
        <v>1286</v>
      </c>
      <c r="K13" s="6">
        <f t="shared" si="2"/>
        <v>1209</v>
      </c>
      <c r="L13" s="6">
        <f t="shared" si="2"/>
        <v>1052</v>
      </c>
      <c r="M13" s="6">
        <f t="shared" si="2"/>
        <v>828</v>
      </c>
      <c r="N13" s="6">
        <f t="shared" si="2"/>
        <v>1046</v>
      </c>
      <c r="O13" s="6">
        <f t="shared" si="2"/>
        <v>1256</v>
      </c>
      <c r="P13" s="6">
        <f t="shared" si="2"/>
        <v>1135</v>
      </c>
      <c r="Q13" s="6">
        <f t="shared" si="2"/>
        <v>1062</v>
      </c>
      <c r="R13" s="6">
        <f t="shared" si="2"/>
        <v>1021</v>
      </c>
      <c r="S13" s="6">
        <f t="shared" si="2"/>
        <v>776</v>
      </c>
      <c r="T13" s="6">
        <f t="shared" si="2"/>
        <v>1069</v>
      </c>
      <c r="U13" s="6">
        <f t="shared" si="2"/>
        <v>1417</v>
      </c>
      <c r="V13" s="6">
        <f t="shared" si="2"/>
        <v>1373</v>
      </c>
      <c r="W13" s="6">
        <f t="shared" si="2"/>
        <v>1442</v>
      </c>
      <c r="X13" s="6">
        <f t="shared" si="2"/>
        <v>1249</v>
      </c>
      <c r="Y13" s="6">
        <f t="shared" si="2"/>
        <v>1284</v>
      </c>
      <c r="Z13" s="6">
        <f t="shared" si="2"/>
        <v>710</v>
      </c>
      <c r="AA13" s="6">
        <f t="shared" si="2"/>
        <v>550</v>
      </c>
      <c r="AB13" s="6">
        <f t="shared" si="2"/>
        <v>683</v>
      </c>
      <c r="AC13" s="6">
        <f t="shared" si="2"/>
        <v>980</v>
      </c>
      <c r="AD13" s="6">
        <f t="shared" si="2"/>
        <v>699</v>
      </c>
      <c r="AE13" s="6">
        <f t="shared" si="2"/>
        <v>1231</v>
      </c>
      <c r="AF13" s="6">
        <f t="shared" si="2"/>
        <v>1618</v>
      </c>
      <c r="AG13" s="6">
        <f t="shared" si="2"/>
        <v>1618</v>
      </c>
    </row>
    <row r="14" spans="1:33" x14ac:dyDescent="0.25">
      <c r="A14" s="8"/>
      <c r="B14" s="14" t="s">
        <v>17</v>
      </c>
      <c r="C14" s="223">
        <v>3248</v>
      </c>
      <c r="D14" s="222">
        <f>+C17</f>
        <v>3248</v>
      </c>
      <c r="E14" s="222">
        <f t="shared" ref="E14:AG14" si="3">+D17</f>
        <v>2920</v>
      </c>
      <c r="F14" s="222">
        <f t="shared" si="3"/>
        <v>2551</v>
      </c>
      <c r="G14" s="222">
        <f t="shared" si="3"/>
        <v>2729</v>
      </c>
      <c r="H14" s="222">
        <f t="shared" si="3"/>
        <v>3846</v>
      </c>
      <c r="I14" s="222">
        <f t="shared" si="3"/>
        <v>4402</v>
      </c>
      <c r="J14" s="222">
        <f t="shared" si="3"/>
        <v>3363</v>
      </c>
      <c r="K14" s="222">
        <f t="shared" si="3"/>
        <v>2894</v>
      </c>
      <c r="L14" s="222">
        <f t="shared" si="3"/>
        <v>3159</v>
      </c>
      <c r="M14" s="222">
        <f t="shared" si="3"/>
        <v>2848</v>
      </c>
      <c r="N14" s="222">
        <f t="shared" si="3"/>
        <v>1924</v>
      </c>
      <c r="O14" s="222">
        <f t="shared" si="3"/>
        <v>2821</v>
      </c>
      <c r="P14" s="222">
        <f t="shared" si="3"/>
        <v>2227</v>
      </c>
      <c r="Q14" s="222">
        <f t="shared" si="3"/>
        <v>2891</v>
      </c>
      <c r="R14" s="222">
        <f t="shared" si="3"/>
        <v>2494</v>
      </c>
      <c r="S14" s="222">
        <f t="shared" si="3"/>
        <v>2560</v>
      </c>
      <c r="T14" s="222">
        <f t="shared" si="3"/>
        <v>2161</v>
      </c>
      <c r="U14" s="222">
        <f t="shared" si="3"/>
        <v>2673</v>
      </c>
      <c r="V14" s="222">
        <f t="shared" si="3"/>
        <v>2282</v>
      </c>
      <c r="W14" s="222">
        <f t="shared" si="3"/>
        <v>2274</v>
      </c>
      <c r="X14" s="222">
        <f t="shared" si="3"/>
        <v>2375</v>
      </c>
      <c r="Y14" s="222">
        <f t="shared" si="3"/>
        <v>1949</v>
      </c>
      <c r="Z14" s="222">
        <f t="shared" si="3"/>
        <v>2960</v>
      </c>
      <c r="AA14" s="222">
        <f t="shared" si="3"/>
        <v>1953</v>
      </c>
      <c r="AB14" s="222">
        <f t="shared" si="3"/>
        <v>1477</v>
      </c>
      <c r="AC14" s="222">
        <f t="shared" si="3"/>
        <v>1432</v>
      </c>
      <c r="AD14" s="222">
        <f t="shared" si="3"/>
        <v>1497</v>
      </c>
      <c r="AE14" s="222">
        <f t="shared" si="3"/>
        <v>1492</v>
      </c>
      <c r="AF14" s="222">
        <f t="shared" si="3"/>
        <v>2662</v>
      </c>
      <c r="AG14" s="222">
        <f t="shared" si="3"/>
        <v>3296</v>
      </c>
    </row>
    <row r="15" spans="1:33" x14ac:dyDescent="0.25">
      <c r="A15" s="8"/>
      <c r="B15" s="14" t="s">
        <v>18</v>
      </c>
      <c r="C15" s="224">
        <v>0</v>
      </c>
      <c r="D15" s="6">
        <v>511</v>
      </c>
      <c r="E15" s="6">
        <v>0</v>
      </c>
      <c r="F15" s="6">
        <v>798</v>
      </c>
      <c r="G15" s="6">
        <v>2156</v>
      </c>
      <c r="H15" s="6">
        <v>1263</v>
      </c>
      <c r="I15" s="6">
        <v>1424</v>
      </c>
      <c r="J15" s="6">
        <v>844</v>
      </c>
      <c r="K15" s="6">
        <v>830</v>
      </c>
      <c r="L15" s="6">
        <v>0</v>
      </c>
      <c r="M15" s="6">
        <v>739</v>
      </c>
      <c r="N15" s="6">
        <v>1466</v>
      </c>
      <c r="O15" s="6">
        <v>855</v>
      </c>
      <c r="P15" s="6">
        <v>1251</v>
      </c>
      <c r="Q15" s="6">
        <v>1088</v>
      </c>
      <c r="R15" s="6">
        <v>842</v>
      </c>
      <c r="S15" s="6">
        <v>0</v>
      </c>
      <c r="T15" s="6">
        <v>1209</v>
      </c>
      <c r="U15" s="6">
        <v>1224</v>
      </c>
      <c r="V15" s="6">
        <v>910</v>
      </c>
      <c r="W15" s="6">
        <v>872</v>
      </c>
      <c r="X15" s="6">
        <v>467</v>
      </c>
      <c r="Y15" s="6">
        <v>1537</v>
      </c>
      <c r="Z15" s="6">
        <v>0</v>
      </c>
      <c r="AA15" s="6">
        <v>461</v>
      </c>
      <c r="AB15" s="6">
        <v>1042</v>
      </c>
      <c r="AC15" s="6">
        <v>1135</v>
      </c>
      <c r="AD15" s="6">
        <v>700</v>
      </c>
      <c r="AE15" s="6">
        <v>1680</v>
      </c>
      <c r="AF15" s="6">
        <v>634</v>
      </c>
      <c r="AG15" s="6">
        <v>0</v>
      </c>
    </row>
    <row r="16" spans="1:33" x14ac:dyDescent="0.25">
      <c r="A16" s="8"/>
      <c r="B16" s="14" t="s">
        <v>19</v>
      </c>
      <c r="C16" s="224">
        <v>0</v>
      </c>
      <c r="D16" s="6">
        <v>839</v>
      </c>
      <c r="E16" s="6">
        <v>369</v>
      </c>
      <c r="F16" s="6">
        <v>620</v>
      </c>
      <c r="G16" s="6">
        <v>1039</v>
      </c>
      <c r="H16" s="6">
        <v>707</v>
      </c>
      <c r="I16" s="6">
        <v>2463</v>
      </c>
      <c r="J16" s="6">
        <v>1313</v>
      </c>
      <c r="K16" s="6">
        <v>565</v>
      </c>
      <c r="L16" s="6">
        <v>311</v>
      </c>
      <c r="M16" s="6">
        <v>1663</v>
      </c>
      <c r="N16" s="6">
        <v>569</v>
      </c>
      <c r="O16" s="6">
        <v>1449</v>
      </c>
      <c r="P16" s="6">
        <v>587</v>
      </c>
      <c r="Q16" s="6">
        <v>1485</v>
      </c>
      <c r="R16" s="6">
        <v>776</v>
      </c>
      <c r="S16" s="6">
        <v>399</v>
      </c>
      <c r="T16" s="6">
        <v>697</v>
      </c>
      <c r="U16" s="6">
        <v>1615</v>
      </c>
      <c r="V16" s="6">
        <v>918</v>
      </c>
      <c r="W16" s="6">
        <v>771</v>
      </c>
      <c r="X16" s="6">
        <v>893</v>
      </c>
      <c r="Y16" s="6">
        <v>526</v>
      </c>
      <c r="Z16" s="6">
        <v>1007</v>
      </c>
      <c r="AA16" s="6">
        <v>937</v>
      </c>
      <c r="AB16" s="6">
        <v>1087</v>
      </c>
      <c r="AC16" s="6">
        <v>1070</v>
      </c>
      <c r="AD16" s="6">
        <v>705</v>
      </c>
      <c r="AE16" s="6">
        <v>510</v>
      </c>
      <c r="AF16" s="6">
        <v>0</v>
      </c>
      <c r="AG16" s="6">
        <v>0</v>
      </c>
    </row>
    <row r="17" spans="1:33" ht="15.75" thickBot="1" x14ac:dyDescent="0.3">
      <c r="A17" s="8"/>
      <c r="B17" s="18" t="s">
        <v>20</v>
      </c>
      <c r="C17" s="225">
        <f t="shared" ref="C17:AG17" si="4">+C14+C15-C16</f>
        <v>3248</v>
      </c>
      <c r="D17" s="225">
        <f t="shared" si="4"/>
        <v>2920</v>
      </c>
      <c r="E17" s="226">
        <f t="shared" si="4"/>
        <v>2551</v>
      </c>
      <c r="F17" s="226">
        <f t="shared" si="4"/>
        <v>2729</v>
      </c>
      <c r="G17" s="226">
        <f t="shared" si="4"/>
        <v>3846</v>
      </c>
      <c r="H17" s="227">
        <f t="shared" si="4"/>
        <v>4402</v>
      </c>
      <c r="I17" s="226">
        <f t="shared" si="4"/>
        <v>3363</v>
      </c>
      <c r="J17" s="227">
        <f t="shared" si="4"/>
        <v>2894</v>
      </c>
      <c r="K17" s="226">
        <f t="shared" si="4"/>
        <v>3159</v>
      </c>
      <c r="L17" s="226">
        <f t="shared" si="4"/>
        <v>2848</v>
      </c>
      <c r="M17" s="227">
        <f t="shared" si="4"/>
        <v>1924</v>
      </c>
      <c r="N17" s="226">
        <f t="shared" si="4"/>
        <v>2821</v>
      </c>
      <c r="O17" s="226">
        <f t="shared" si="4"/>
        <v>2227</v>
      </c>
      <c r="P17" s="226">
        <f t="shared" si="4"/>
        <v>2891</v>
      </c>
      <c r="Q17" s="226">
        <f t="shared" si="4"/>
        <v>2494</v>
      </c>
      <c r="R17" s="226">
        <f t="shared" si="4"/>
        <v>2560</v>
      </c>
      <c r="S17" s="226">
        <f t="shared" si="4"/>
        <v>2161</v>
      </c>
      <c r="T17" s="226">
        <f t="shared" si="4"/>
        <v>2673</v>
      </c>
      <c r="U17" s="226">
        <f t="shared" si="4"/>
        <v>2282</v>
      </c>
      <c r="V17" s="226">
        <f t="shared" si="4"/>
        <v>2274</v>
      </c>
      <c r="W17" s="226">
        <f t="shared" si="4"/>
        <v>2375</v>
      </c>
      <c r="X17" s="226">
        <f t="shared" si="4"/>
        <v>1949</v>
      </c>
      <c r="Y17" s="226">
        <f t="shared" si="4"/>
        <v>2960</v>
      </c>
      <c r="Z17" s="226">
        <f t="shared" si="4"/>
        <v>1953</v>
      </c>
      <c r="AA17" s="226">
        <f t="shared" si="4"/>
        <v>1477</v>
      </c>
      <c r="AB17" s="226">
        <f t="shared" si="4"/>
        <v>1432</v>
      </c>
      <c r="AC17" s="226">
        <f t="shared" si="4"/>
        <v>1497</v>
      </c>
      <c r="AD17" s="226">
        <f t="shared" si="4"/>
        <v>1492</v>
      </c>
      <c r="AE17" s="226">
        <f t="shared" si="4"/>
        <v>2662</v>
      </c>
      <c r="AF17" s="226">
        <f t="shared" si="4"/>
        <v>3296</v>
      </c>
      <c r="AG17" s="226">
        <f t="shared" si="4"/>
        <v>3296</v>
      </c>
    </row>
    <row r="18" spans="1:33" x14ac:dyDescent="0.25">
      <c r="A18" s="8"/>
      <c r="B18" s="22" t="s">
        <v>21</v>
      </c>
      <c r="C18" s="228">
        <v>4065</v>
      </c>
      <c r="D18" s="229">
        <f>+C21</f>
        <v>4065</v>
      </c>
      <c r="E18" s="229">
        <f t="shared" ref="E18:AG18" si="5">+D21</f>
        <v>4223</v>
      </c>
      <c r="F18" s="229">
        <f t="shared" si="5"/>
        <v>3664</v>
      </c>
      <c r="G18" s="229">
        <f t="shared" si="5"/>
        <v>3589</v>
      </c>
      <c r="H18" s="229">
        <f t="shared" si="5"/>
        <v>4094</v>
      </c>
      <c r="I18" s="229">
        <f t="shared" si="5"/>
        <v>5178</v>
      </c>
      <c r="J18" s="229">
        <f t="shared" si="5"/>
        <v>4917</v>
      </c>
      <c r="K18" s="229">
        <f t="shared" si="5"/>
        <v>4097</v>
      </c>
      <c r="L18" s="229">
        <f t="shared" si="5"/>
        <v>4338</v>
      </c>
      <c r="M18" s="229">
        <f t="shared" si="5"/>
        <v>3906</v>
      </c>
      <c r="N18" s="229">
        <f t="shared" si="5"/>
        <v>2702</v>
      </c>
      <c r="O18" s="229">
        <f t="shared" si="5"/>
        <v>3291</v>
      </c>
      <c r="P18" s="229">
        <f t="shared" si="5"/>
        <v>3535</v>
      </c>
      <c r="Q18" s="229">
        <f t="shared" si="5"/>
        <v>3235</v>
      </c>
      <c r="R18" s="229">
        <f t="shared" si="5"/>
        <v>3320</v>
      </c>
      <c r="S18" s="229">
        <f t="shared" si="5"/>
        <v>3431</v>
      </c>
      <c r="T18" s="229">
        <f t="shared" si="5"/>
        <v>2776</v>
      </c>
      <c r="U18" s="229">
        <f t="shared" si="5"/>
        <v>3359</v>
      </c>
      <c r="V18" s="229">
        <f t="shared" si="5"/>
        <v>4065</v>
      </c>
      <c r="W18" s="229">
        <f t="shared" si="5"/>
        <v>3875</v>
      </c>
      <c r="X18" s="229">
        <f t="shared" si="5"/>
        <v>4213</v>
      </c>
      <c r="Y18" s="229">
        <f t="shared" si="5"/>
        <v>3775</v>
      </c>
      <c r="Z18" s="229">
        <f t="shared" si="5"/>
        <v>4023</v>
      </c>
      <c r="AA18" s="229">
        <f t="shared" si="5"/>
        <v>2730</v>
      </c>
      <c r="AB18" s="229">
        <f t="shared" si="5"/>
        <v>2148</v>
      </c>
      <c r="AC18" s="229">
        <f t="shared" si="5"/>
        <v>2176</v>
      </c>
      <c r="AD18" s="229">
        <f t="shared" si="5"/>
        <v>2966</v>
      </c>
      <c r="AE18" s="229">
        <f t="shared" si="5"/>
        <v>2288</v>
      </c>
      <c r="AF18" s="229">
        <f t="shared" si="5"/>
        <v>3783</v>
      </c>
      <c r="AG18" s="229">
        <f t="shared" si="5"/>
        <v>4528</v>
      </c>
    </row>
    <row r="19" spans="1:33" x14ac:dyDescent="0.25">
      <c r="A19" s="8"/>
      <c r="B19" s="25" t="s">
        <v>22</v>
      </c>
      <c r="C19" s="228">
        <v>0</v>
      </c>
      <c r="D19" s="229">
        <v>834</v>
      </c>
      <c r="E19" s="229">
        <v>0</v>
      </c>
      <c r="F19" s="229">
        <v>1287</v>
      </c>
      <c r="G19" s="229">
        <v>1380</v>
      </c>
      <c r="H19" s="229">
        <v>1919</v>
      </c>
      <c r="I19" s="229">
        <v>1211</v>
      </c>
      <c r="J19" s="229">
        <v>475</v>
      </c>
      <c r="K19" s="229">
        <v>938</v>
      </c>
      <c r="L19" s="229">
        <v>0</v>
      </c>
      <c r="M19" s="229">
        <v>1014</v>
      </c>
      <c r="N19" s="229">
        <v>1372</v>
      </c>
      <c r="O19" s="229">
        <v>1116</v>
      </c>
      <c r="P19" s="229">
        <v>493</v>
      </c>
      <c r="Q19" s="229">
        <v>889</v>
      </c>
      <c r="R19" s="229">
        <v>1070</v>
      </c>
      <c r="S19" s="229">
        <v>0</v>
      </c>
      <c r="T19" s="229">
        <v>1631</v>
      </c>
      <c r="U19" s="229">
        <v>1479</v>
      </c>
      <c r="V19" s="229">
        <v>1204</v>
      </c>
      <c r="W19" s="229">
        <v>1252</v>
      </c>
      <c r="X19" s="229">
        <v>915</v>
      </c>
      <c r="Y19" s="229">
        <v>1010</v>
      </c>
      <c r="Z19" s="229">
        <v>0</v>
      </c>
      <c r="AA19" s="229">
        <v>706</v>
      </c>
      <c r="AB19" s="229">
        <v>1346</v>
      </c>
      <c r="AC19" s="229">
        <v>1564</v>
      </c>
      <c r="AD19" s="229">
        <v>681</v>
      </c>
      <c r="AE19" s="229">
        <v>1770</v>
      </c>
      <c r="AF19" s="229">
        <v>745</v>
      </c>
      <c r="AG19" s="229">
        <v>0</v>
      </c>
    </row>
    <row r="20" spans="1:33" x14ac:dyDescent="0.25">
      <c r="A20" s="8"/>
      <c r="B20" s="25" t="s">
        <v>23</v>
      </c>
      <c r="C20" s="228">
        <v>0</v>
      </c>
      <c r="D20" s="229">
        <v>676</v>
      </c>
      <c r="E20" s="229">
        <v>559</v>
      </c>
      <c r="F20" s="229">
        <v>1362</v>
      </c>
      <c r="G20" s="229">
        <v>875</v>
      </c>
      <c r="H20" s="229">
        <v>835</v>
      </c>
      <c r="I20" s="229">
        <v>1472</v>
      </c>
      <c r="J20" s="229">
        <v>1295</v>
      </c>
      <c r="K20" s="229">
        <v>697</v>
      </c>
      <c r="L20" s="229">
        <v>432</v>
      </c>
      <c r="M20" s="229">
        <v>2218</v>
      </c>
      <c r="N20" s="229">
        <v>783</v>
      </c>
      <c r="O20" s="229">
        <v>872</v>
      </c>
      <c r="P20" s="229">
        <v>793</v>
      </c>
      <c r="Q20" s="229">
        <v>804</v>
      </c>
      <c r="R20" s="229">
        <v>959</v>
      </c>
      <c r="S20" s="229">
        <v>655</v>
      </c>
      <c r="T20" s="229">
        <v>1048</v>
      </c>
      <c r="U20" s="229">
        <v>773</v>
      </c>
      <c r="V20" s="229">
        <v>1394</v>
      </c>
      <c r="W20" s="229">
        <v>914</v>
      </c>
      <c r="X20" s="229">
        <v>1353</v>
      </c>
      <c r="Y20" s="229">
        <v>762</v>
      </c>
      <c r="Z20" s="229">
        <v>1293</v>
      </c>
      <c r="AA20" s="229">
        <v>1288</v>
      </c>
      <c r="AB20" s="229">
        <v>1318</v>
      </c>
      <c r="AC20" s="229">
        <v>774</v>
      </c>
      <c r="AD20" s="229">
        <v>1359</v>
      </c>
      <c r="AE20" s="229">
        <v>275</v>
      </c>
      <c r="AF20" s="229">
        <v>0</v>
      </c>
      <c r="AG20" s="229">
        <v>0</v>
      </c>
    </row>
    <row r="21" spans="1:33" x14ac:dyDescent="0.25">
      <c r="A21" s="8"/>
      <c r="B21" s="25" t="s">
        <v>24</v>
      </c>
      <c r="C21" s="228">
        <v>4065</v>
      </c>
      <c r="D21" s="228">
        <f t="shared" ref="D21:AG21" si="6">+D18+D19-D20</f>
        <v>4223</v>
      </c>
      <c r="E21" s="228">
        <f t="shared" si="6"/>
        <v>3664</v>
      </c>
      <c r="F21" s="228">
        <f t="shared" si="6"/>
        <v>3589</v>
      </c>
      <c r="G21" s="228">
        <f t="shared" si="6"/>
        <v>4094</v>
      </c>
      <c r="H21" s="228">
        <f t="shared" si="6"/>
        <v>5178</v>
      </c>
      <c r="I21" s="228">
        <f t="shared" si="6"/>
        <v>4917</v>
      </c>
      <c r="J21" s="228">
        <f t="shared" si="6"/>
        <v>4097</v>
      </c>
      <c r="K21" s="228">
        <f t="shared" si="6"/>
        <v>4338</v>
      </c>
      <c r="L21" s="228">
        <f t="shared" si="6"/>
        <v>3906</v>
      </c>
      <c r="M21" s="228">
        <f t="shared" si="6"/>
        <v>2702</v>
      </c>
      <c r="N21" s="228">
        <f t="shared" si="6"/>
        <v>3291</v>
      </c>
      <c r="O21" s="228">
        <f t="shared" si="6"/>
        <v>3535</v>
      </c>
      <c r="P21" s="228">
        <f t="shared" si="6"/>
        <v>3235</v>
      </c>
      <c r="Q21" s="228">
        <f t="shared" si="6"/>
        <v>3320</v>
      </c>
      <c r="R21" s="228">
        <f t="shared" si="6"/>
        <v>3431</v>
      </c>
      <c r="S21" s="228">
        <f t="shared" si="6"/>
        <v>2776</v>
      </c>
      <c r="T21" s="228">
        <f t="shared" si="6"/>
        <v>3359</v>
      </c>
      <c r="U21" s="228">
        <f t="shared" si="6"/>
        <v>4065</v>
      </c>
      <c r="V21" s="228">
        <f t="shared" si="6"/>
        <v>3875</v>
      </c>
      <c r="W21" s="228">
        <f t="shared" si="6"/>
        <v>4213</v>
      </c>
      <c r="X21" s="228">
        <f t="shared" si="6"/>
        <v>3775</v>
      </c>
      <c r="Y21" s="228">
        <f t="shared" si="6"/>
        <v>4023</v>
      </c>
      <c r="Z21" s="228">
        <f t="shared" si="6"/>
        <v>2730</v>
      </c>
      <c r="AA21" s="228">
        <f t="shared" si="6"/>
        <v>2148</v>
      </c>
      <c r="AB21" s="228">
        <f t="shared" si="6"/>
        <v>2176</v>
      </c>
      <c r="AC21" s="228">
        <f t="shared" si="6"/>
        <v>2966</v>
      </c>
      <c r="AD21" s="228">
        <f t="shared" si="6"/>
        <v>2288</v>
      </c>
      <c r="AE21" s="228">
        <f t="shared" si="6"/>
        <v>3783</v>
      </c>
      <c r="AF21" s="228">
        <f t="shared" si="6"/>
        <v>4528</v>
      </c>
      <c r="AG21" s="228">
        <f t="shared" si="6"/>
        <v>4528</v>
      </c>
    </row>
    <row r="22" spans="1:33" x14ac:dyDescent="0.25">
      <c r="A22" s="8"/>
      <c r="B22" s="25" t="s">
        <v>25</v>
      </c>
      <c r="C22" s="228">
        <v>0</v>
      </c>
      <c r="D22" s="229">
        <v>834</v>
      </c>
      <c r="E22" s="229">
        <v>0</v>
      </c>
      <c r="F22" s="229">
        <v>1287</v>
      </c>
      <c r="G22" s="229">
        <v>1377</v>
      </c>
      <c r="H22" s="229">
        <v>1918</v>
      </c>
      <c r="I22" s="229">
        <v>1211</v>
      </c>
      <c r="J22" s="229">
        <v>473</v>
      </c>
      <c r="K22" s="229">
        <f>652+286</f>
        <v>938</v>
      </c>
      <c r="L22" s="229">
        <v>0</v>
      </c>
      <c r="M22" s="229">
        <v>1014</v>
      </c>
      <c r="N22" s="229">
        <v>1342</v>
      </c>
      <c r="O22" s="229">
        <v>1116</v>
      </c>
      <c r="P22" s="229">
        <v>492</v>
      </c>
      <c r="Q22" s="229">
        <v>888</v>
      </c>
      <c r="R22" s="229">
        <v>1070</v>
      </c>
      <c r="S22" s="229">
        <v>0</v>
      </c>
      <c r="T22" s="229">
        <v>1631</v>
      </c>
      <c r="U22" s="229">
        <v>1476</v>
      </c>
      <c r="V22" s="229">
        <v>1204</v>
      </c>
      <c r="W22" s="229">
        <v>1250</v>
      </c>
      <c r="X22" s="229">
        <v>915</v>
      </c>
      <c r="Y22" s="229">
        <v>1009</v>
      </c>
      <c r="Z22" s="229">
        <v>0</v>
      </c>
      <c r="AA22" s="229">
        <v>706</v>
      </c>
      <c r="AB22" s="229">
        <v>1346</v>
      </c>
      <c r="AC22" s="229">
        <v>1562</v>
      </c>
      <c r="AD22" s="229">
        <v>681</v>
      </c>
      <c r="AE22" s="229">
        <v>1770</v>
      </c>
      <c r="AF22" s="229">
        <v>745</v>
      </c>
      <c r="AG22" s="229">
        <v>0</v>
      </c>
    </row>
    <row r="23" spans="1:33" x14ac:dyDescent="0.25">
      <c r="A23" s="8"/>
      <c r="B23" s="25" t="s">
        <v>26</v>
      </c>
      <c r="C23" s="228">
        <v>0</v>
      </c>
      <c r="D23" s="229">
        <v>797</v>
      </c>
      <c r="E23" s="229">
        <v>808</v>
      </c>
      <c r="F23" s="229">
        <v>733</v>
      </c>
      <c r="G23" s="229">
        <v>1196</v>
      </c>
      <c r="H23" s="229">
        <v>1329</v>
      </c>
      <c r="I23" s="229">
        <v>1792</v>
      </c>
      <c r="J23" s="229">
        <v>1050</v>
      </c>
      <c r="K23" s="229">
        <f>298+65</f>
        <v>363</v>
      </c>
      <c r="L23" s="229">
        <f>652+266</f>
        <v>918</v>
      </c>
      <c r="M23" s="229">
        <v>0</v>
      </c>
      <c r="N23" s="229">
        <v>817</v>
      </c>
      <c r="O23" s="229">
        <v>1027</v>
      </c>
      <c r="P23" s="229">
        <v>834</v>
      </c>
      <c r="Q23" s="229">
        <v>209</v>
      </c>
      <c r="R23" s="229">
        <v>615</v>
      </c>
      <c r="S23" s="229">
        <v>977</v>
      </c>
      <c r="T23" s="229">
        <v>659</v>
      </c>
      <c r="U23" s="229">
        <v>1306</v>
      </c>
      <c r="V23" s="229">
        <v>1201</v>
      </c>
      <c r="W23" s="229">
        <v>864</v>
      </c>
      <c r="X23" s="229">
        <v>976</v>
      </c>
      <c r="Y23" s="229">
        <v>701</v>
      </c>
      <c r="Z23" s="229">
        <v>757</v>
      </c>
      <c r="AA23" s="229">
        <v>520</v>
      </c>
      <c r="AB23" s="229">
        <v>234</v>
      </c>
      <c r="AC23" s="229">
        <v>1012</v>
      </c>
      <c r="AD23" s="229">
        <v>1128</v>
      </c>
      <c r="AE23" s="229">
        <v>500</v>
      </c>
      <c r="AF23" s="229">
        <v>1770</v>
      </c>
      <c r="AG23" s="229">
        <v>0</v>
      </c>
    </row>
    <row r="24" spans="1:33" ht="15.75" thickBot="1" x14ac:dyDescent="0.3">
      <c r="A24" s="8"/>
      <c r="B24" s="26" t="s">
        <v>27</v>
      </c>
      <c r="C24" s="228">
        <v>0</v>
      </c>
      <c r="D24" s="229">
        <v>2592</v>
      </c>
      <c r="E24" s="229">
        <v>2856</v>
      </c>
      <c r="F24" s="229">
        <v>1569</v>
      </c>
      <c r="G24" s="229">
        <v>1521</v>
      </c>
      <c r="H24" s="229">
        <v>1931</v>
      </c>
      <c r="I24" s="229">
        <v>1914</v>
      </c>
      <c r="J24" s="229">
        <v>2574</v>
      </c>
      <c r="K24" s="229">
        <v>3037</v>
      </c>
      <c r="L24" s="229">
        <f>2597+391</f>
        <v>2988</v>
      </c>
      <c r="M24" s="229">
        <v>1688</v>
      </c>
      <c r="N24" s="229">
        <v>1132</v>
      </c>
      <c r="O24" s="229">
        <v>1392</v>
      </c>
      <c r="P24" s="229">
        <v>1909</v>
      </c>
      <c r="Q24" s="229">
        <v>2223</v>
      </c>
      <c r="R24" s="229">
        <v>1746</v>
      </c>
      <c r="S24" s="229">
        <v>1799</v>
      </c>
      <c r="T24" s="229">
        <v>1069</v>
      </c>
      <c r="U24" s="229">
        <v>1283</v>
      </c>
      <c r="V24" s="229">
        <v>1470</v>
      </c>
      <c r="W24" s="229">
        <v>2099</v>
      </c>
      <c r="X24" s="229">
        <v>1884</v>
      </c>
      <c r="Y24" s="229">
        <v>2313</v>
      </c>
      <c r="Z24" s="229">
        <v>1973</v>
      </c>
      <c r="AA24" s="229">
        <v>922</v>
      </c>
      <c r="AB24" s="229">
        <v>596</v>
      </c>
      <c r="AC24" s="229">
        <v>392</v>
      </c>
      <c r="AD24" s="229">
        <v>479</v>
      </c>
      <c r="AE24" s="229">
        <v>1513</v>
      </c>
      <c r="AF24" s="229">
        <v>2013</v>
      </c>
      <c r="AG24" s="229">
        <v>0</v>
      </c>
    </row>
    <row r="25" spans="1:33" x14ac:dyDescent="0.25">
      <c r="A25" s="8"/>
      <c r="B25" s="27" t="s">
        <v>28</v>
      </c>
      <c r="C25" s="7">
        <v>313428</v>
      </c>
      <c r="D25" s="6">
        <f>+C28</f>
        <v>313428</v>
      </c>
      <c r="E25" s="6">
        <f t="shared" ref="E25:AG25" si="7">+D28</f>
        <v>382861</v>
      </c>
      <c r="F25" s="6">
        <f t="shared" si="7"/>
        <v>260110</v>
      </c>
      <c r="G25" s="6">
        <f t="shared" si="7"/>
        <v>261828</v>
      </c>
      <c r="H25" s="6">
        <f t="shared" si="7"/>
        <v>282075</v>
      </c>
      <c r="I25" s="6">
        <f t="shared" si="7"/>
        <v>311989</v>
      </c>
      <c r="J25" s="6">
        <f t="shared" si="7"/>
        <v>241881</v>
      </c>
      <c r="K25" s="6">
        <f t="shared" si="7"/>
        <v>195428</v>
      </c>
      <c r="L25" s="6">
        <f t="shared" si="7"/>
        <v>249340</v>
      </c>
      <c r="M25" s="6">
        <f t="shared" si="7"/>
        <v>217338</v>
      </c>
      <c r="N25" s="6">
        <f t="shared" si="7"/>
        <v>217064</v>
      </c>
      <c r="O25" s="6">
        <f t="shared" si="7"/>
        <v>222038</v>
      </c>
      <c r="P25" s="6">
        <f t="shared" si="7"/>
        <v>222020</v>
      </c>
      <c r="Q25" s="6">
        <f t="shared" si="7"/>
        <v>178666</v>
      </c>
      <c r="R25" s="6">
        <f t="shared" si="7"/>
        <v>173652</v>
      </c>
      <c r="S25" s="6">
        <f t="shared" si="7"/>
        <v>186472</v>
      </c>
      <c r="T25" s="6">
        <f t="shared" si="7"/>
        <v>139354</v>
      </c>
      <c r="U25" s="6">
        <f t="shared" si="7"/>
        <v>182226</v>
      </c>
      <c r="V25" s="6">
        <f t="shared" si="7"/>
        <v>218028</v>
      </c>
      <c r="W25" s="6">
        <f t="shared" si="7"/>
        <v>227489</v>
      </c>
      <c r="X25" s="6">
        <f t="shared" si="7"/>
        <v>169530</v>
      </c>
      <c r="Y25" s="6">
        <f t="shared" si="7"/>
        <v>177314</v>
      </c>
      <c r="Z25" s="6">
        <f t="shared" si="7"/>
        <v>210758</v>
      </c>
      <c r="AA25" s="6">
        <f t="shared" si="7"/>
        <v>122622</v>
      </c>
      <c r="AB25" s="6">
        <f t="shared" si="7"/>
        <v>144054</v>
      </c>
      <c r="AC25" s="6">
        <f t="shared" si="7"/>
        <v>213242</v>
      </c>
      <c r="AD25" s="6">
        <f t="shared" si="7"/>
        <v>175704</v>
      </c>
      <c r="AE25" s="6">
        <f t="shared" si="7"/>
        <v>167171</v>
      </c>
      <c r="AF25" s="6">
        <f t="shared" si="7"/>
        <v>251530</v>
      </c>
      <c r="AG25" s="6">
        <f t="shared" si="7"/>
        <v>384840</v>
      </c>
    </row>
    <row r="26" spans="1:33" x14ac:dyDescent="0.25">
      <c r="A26" s="8"/>
      <c r="B26" s="28" t="s">
        <v>29</v>
      </c>
      <c r="C26" s="7">
        <v>0</v>
      </c>
      <c r="D26" s="6">
        <v>98592</v>
      </c>
      <c r="E26" s="6">
        <v>0</v>
      </c>
      <c r="F26" s="6">
        <v>90465</v>
      </c>
      <c r="G26" s="6">
        <v>102597</v>
      </c>
      <c r="H26" s="6">
        <v>114296</v>
      </c>
      <c r="I26" s="6">
        <v>89191</v>
      </c>
      <c r="J26" s="6">
        <v>62859</v>
      </c>
      <c r="K26" s="6">
        <v>104621</v>
      </c>
      <c r="L26" s="6">
        <v>0</v>
      </c>
      <c r="M26" s="6">
        <v>91712</v>
      </c>
      <c r="N26" s="6">
        <v>104341</v>
      </c>
      <c r="O26" s="6">
        <v>87625</v>
      </c>
      <c r="P26" s="6">
        <v>57908</v>
      </c>
      <c r="Q26" s="6">
        <v>69358</v>
      </c>
      <c r="R26" s="6">
        <v>86300</v>
      </c>
      <c r="S26" s="6">
        <v>0</v>
      </c>
      <c r="T26" s="6">
        <v>108777</v>
      </c>
      <c r="U26" s="6">
        <v>129347</v>
      </c>
      <c r="V26" s="6">
        <v>105749</v>
      </c>
      <c r="W26" s="6">
        <v>78297</v>
      </c>
      <c r="X26" s="6">
        <v>82462</v>
      </c>
      <c r="Y26" s="6">
        <v>95219</v>
      </c>
      <c r="Z26" s="6">
        <v>0</v>
      </c>
      <c r="AA26" s="6">
        <v>62561</v>
      </c>
      <c r="AB26" s="6">
        <v>157690</v>
      </c>
      <c r="AC26" s="6">
        <v>107345</v>
      </c>
      <c r="AD26" s="6">
        <v>70274</v>
      </c>
      <c r="AE26" s="6">
        <v>152458</v>
      </c>
      <c r="AF26" s="6">
        <v>133310</v>
      </c>
      <c r="AG26" s="6">
        <v>0</v>
      </c>
    </row>
    <row r="27" spans="1:33" x14ac:dyDescent="0.25">
      <c r="A27" s="8"/>
      <c r="B27" s="28" t="s">
        <v>30</v>
      </c>
      <c r="C27" s="7">
        <v>0</v>
      </c>
      <c r="D27" s="6">
        <v>29159</v>
      </c>
      <c r="E27" s="6">
        <v>122751</v>
      </c>
      <c r="F27" s="6">
        <v>88747</v>
      </c>
      <c r="G27" s="6">
        <v>82350</v>
      </c>
      <c r="H27" s="6">
        <v>84382</v>
      </c>
      <c r="I27" s="6">
        <v>159299</v>
      </c>
      <c r="J27" s="6">
        <v>109312</v>
      </c>
      <c r="K27" s="6">
        <v>50709</v>
      </c>
      <c r="L27" s="6">
        <v>32002</v>
      </c>
      <c r="M27" s="6">
        <v>91986</v>
      </c>
      <c r="N27" s="6">
        <v>99367</v>
      </c>
      <c r="O27" s="6">
        <v>87643</v>
      </c>
      <c r="P27" s="6">
        <v>101262</v>
      </c>
      <c r="Q27" s="6">
        <v>74372</v>
      </c>
      <c r="R27" s="6">
        <v>73480</v>
      </c>
      <c r="S27" s="6">
        <v>47118</v>
      </c>
      <c r="T27" s="6">
        <v>65905</v>
      </c>
      <c r="U27" s="6">
        <v>93545</v>
      </c>
      <c r="V27" s="6">
        <v>96288</v>
      </c>
      <c r="W27" s="6">
        <v>136256</v>
      </c>
      <c r="X27" s="6">
        <v>74678</v>
      </c>
      <c r="Y27" s="6">
        <v>61775</v>
      </c>
      <c r="Z27" s="6">
        <v>88136</v>
      </c>
      <c r="AA27" s="6">
        <v>41129</v>
      </c>
      <c r="AB27" s="6">
        <v>88502</v>
      </c>
      <c r="AC27" s="6">
        <v>144883</v>
      </c>
      <c r="AD27" s="6">
        <v>78807</v>
      </c>
      <c r="AE27" s="6">
        <v>68099</v>
      </c>
      <c r="AF27" s="6">
        <v>0</v>
      </c>
      <c r="AG27" s="6">
        <v>0</v>
      </c>
    </row>
    <row r="28" spans="1:33" x14ac:dyDescent="0.25">
      <c r="A28" s="8"/>
      <c r="B28" s="28" t="s">
        <v>31</v>
      </c>
      <c r="C28" s="230">
        <v>313428</v>
      </c>
      <c r="D28" s="230">
        <f t="shared" ref="D28:AG28" si="8">+D25+D26-D27</f>
        <v>382861</v>
      </c>
      <c r="E28" s="230">
        <f t="shared" si="8"/>
        <v>260110</v>
      </c>
      <c r="F28" s="230">
        <f t="shared" si="8"/>
        <v>261828</v>
      </c>
      <c r="G28" s="230">
        <f t="shared" si="8"/>
        <v>282075</v>
      </c>
      <c r="H28" s="230">
        <f t="shared" si="8"/>
        <v>311989</v>
      </c>
      <c r="I28" s="230">
        <f t="shared" si="8"/>
        <v>241881</v>
      </c>
      <c r="J28" s="230">
        <f t="shared" si="8"/>
        <v>195428</v>
      </c>
      <c r="K28" s="230">
        <f t="shared" si="8"/>
        <v>249340</v>
      </c>
      <c r="L28" s="230">
        <f t="shared" si="8"/>
        <v>217338</v>
      </c>
      <c r="M28" s="230">
        <f t="shared" si="8"/>
        <v>217064</v>
      </c>
      <c r="N28" s="230">
        <f t="shared" si="8"/>
        <v>222038</v>
      </c>
      <c r="O28" s="230">
        <f t="shared" si="8"/>
        <v>222020</v>
      </c>
      <c r="P28" s="230">
        <f t="shared" si="8"/>
        <v>178666</v>
      </c>
      <c r="Q28" s="230">
        <f t="shared" si="8"/>
        <v>173652</v>
      </c>
      <c r="R28" s="230">
        <f t="shared" si="8"/>
        <v>186472</v>
      </c>
      <c r="S28" s="230">
        <f t="shared" si="8"/>
        <v>139354</v>
      </c>
      <c r="T28" s="230">
        <f t="shared" si="8"/>
        <v>182226</v>
      </c>
      <c r="U28" s="230">
        <f t="shared" si="8"/>
        <v>218028</v>
      </c>
      <c r="V28" s="230">
        <f t="shared" si="8"/>
        <v>227489</v>
      </c>
      <c r="W28" s="230">
        <f t="shared" si="8"/>
        <v>169530</v>
      </c>
      <c r="X28" s="230">
        <f t="shared" si="8"/>
        <v>177314</v>
      </c>
      <c r="Y28" s="230">
        <f t="shared" si="8"/>
        <v>210758</v>
      </c>
      <c r="Z28" s="230">
        <f t="shared" si="8"/>
        <v>122622</v>
      </c>
      <c r="AA28" s="230">
        <f t="shared" si="8"/>
        <v>144054</v>
      </c>
      <c r="AB28" s="230">
        <f t="shared" si="8"/>
        <v>213242</v>
      </c>
      <c r="AC28" s="230">
        <f t="shared" si="8"/>
        <v>175704</v>
      </c>
      <c r="AD28" s="230">
        <f t="shared" si="8"/>
        <v>167171</v>
      </c>
      <c r="AE28" s="230">
        <f t="shared" si="8"/>
        <v>251530</v>
      </c>
      <c r="AF28" s="230">
        <f t="shared" si="8"/>
        <v>384840</v>
      </c>
      <c r="AG28" s="230">
        <f t="shared" si="8"/>
        <v>384840</v>
      </c>
    </row>
    <row r="29" spans="1:33" x14ac:dyDescent="0.25">
      <c r="A29" s="8"/>
      <c r="B29" s="29" t="s">
        <v>32</v>
      </c>
      <c r="C29" s="30">
        <v>70000</v>
      </c>
      <c r="D29" s="30">
        <v>70000</v>
      </c>
      <c r="E29" s="231">
        <v>70000</v>
      </c>
      <c r="F29" s="232">
        <v>70000</v>
      </c>
      <c r="G29" s="30">
        <v>70000</v>
      </c>
      <c r="H29" s="232">
        <v>70000</v>
      </c>
      <c r="I29" s="30">
        <v>70000</v>
      </c>
      <c r="J29" s="232">
        <v>70000</v>
      </c>
      <c r="K29" s="232">
        <v>70000</v>
      </c>
      <c r="L29" s="232">
        <v>70000</v>
      </c>
      <c r="M29" s="232">
        <v>70000</v>
      </c>
      <c r="N29" s="232">
        <v>70000</v>
      </c>
      <c r="O29" s="232">
        <v>70000</v>
      </c>
      <c r="P29" s="232">
        <v>70000</v>
      </c>
      <c r="Q29" s="232">
        <v>70000</v>
      </c>
      <c r="R29" s="232">
        <v>70000</v>
      </c>
      <c r="S29" s="232">
        <v>70000</v>
      </c>
      <c r="T29" s="232">
        <v>70000</v>
      </c>
      <c r="U29" s="232">
        <v>70000</v>
      </c>
      <c r="V29" s="232">
        <v>70000</v>
      </c>
      <c r="W29" s="233">
        <v>70000</v>
      </c>
      <c r="X29" s="232">
        <v>70000</v>
      </c>
      <c r="Y29" s="232">
        <v>70000</v>
      </c>
      <c r="Z29" s="232">
        <v>70000</v>
      </c>
      <c r="AA29" s="232">
        <v>70000</v>
      </c>
      <c r="AB29" s="232">
        <v>70000</v>
      </c>
      <c r="AC29" s="232">
        <v>70000</v>
      </c>
      <c r="AD29" s="233">
        <v>70000</v>
      </c>
      <c r="AE29" s="232">
        <v>70000</v>
      </c>
      <c r="AF29" s="232">
        <v>70000</v>
      </c>
      <c r="AG29" s="232">
        <v>70000</v>
      </c>
    </row>
    <row r="30" spans="1:33" ht="15.75" thickBot="1" x14ac:dyDescent="0.3">
      <c r="A30" s="31"/>
      <c r="B30" s="32" t="s">
        <v>33</v>
      </c>
      <c r="C30" s="33">
        <f>IFERROR(C27/C29,)</f>
        <v>0</v>
      </c>
      <c r="D30" s="33">
        <f t="shared" ref="D30:AG30" si="9">IFERROR(D27/D29,)</f>
        <v>0.41655714285714285</v>
      </c>
      <c r="E30" s="33">
        <f t="shared" si="9"/>
        <v>1.7535857142857143</v>
      </c>
      <c r="F30" s="35">
        <f t="shared" si="9"/>
        <v>1.2678142857142858</v>
      </c>
      <c r="G30" s="33">
        <f t="shared" si="9"/>
        <v>1.1764285714285714</v>
      </c>
      <c r="H30" s="35">
        <f t="shared" si="9"/>
        <v>1.2054571428571428</v>
      </c>
      <c r="I30" s="33">
        <f t="shared" si="9"/>
        <v>2.2757000000000001</v>
      </c>
      <c r="J30" s="35">
        <f t="shared" si="9"/>
        <v>1.5616000000000001</v>
      </c>
      <c r="K30" s="35">
        <f t="shared" si="9"/>
        <v>0.72441428571428568</v>
      </c>
      <c r="L30" s="35">
        <f t="shared" si="9"/>
        <v>0.45717142857142856</v>
      </c>
      <c r="M30" s="35">
        <f t="shared" si="9"/>
        <v>1.3140857142857143</v>
      </c>
      <c r="N30" s="35">
        <f t="shared" si="9"/>
        <v>1.4195285714285715</v>
      </c>
      <c r="O30" s="35">
        <f t="shared" si="9"/>
        <v>1.2520428571428572</v>
      </c>
      <c r="P30" s="35">
        <f t="shared" si="9"/>
        <v>1.4466000000000001</v>
      </c>
      <c r="Q30" s="35">
        <f t="shared" si="9"/>
        <v>1.0624571428571428</v>
      </c>
      <c r="R30" s="35">
        <f t="shared" si="9"/>
        <v>1.0497142857142858</v>
      </c>
      <c r="S30" s="35">
        <f t="shared" si="9"/>
        <v>0.67311428571428567</v>
      </c>
      <c r="T30" s="35">
        <f t="shared" si="9"/>
        <v>0.9415</v>
      </c>
      <c r="U30" s="35">
        <f t="shared" si="9"/>
        <v>1.3363571428571428</v>
      </c>
      <c r="V30" s="35">
        <f t="shared" si="9"/>
        <v>1.3755428571428572</v>
      </c>
      <c r="W30" s="35">
        <f t="shared" si="9"/>
        <v>1.9465142857142856</v>
      </c>
      <c r="X30" s="35">
        <f t="shared" si="9"/>
        <v>1.0668285714285715</v>
      </c>
      <c r="Y30" s="35">
        <f t="shared" si="9"/>
        <v>0.88249999999999995</v>
      </c>
      <c r="Z30" s="35">
        <f t="shared" si="9"/>
        <v>1.2590857142857144</v>
      </c>
      <c r="AA30" s="35">
        <f t="shared" si="9"/>
        <v>0.58755714285714289</v>
      </c>
      <c r="AB30" s="35">
        <f t="shared" si="9"/>
        <v>1.2643142857142857</v>
      </c>
      <c r="AC30" s="35">
        <f t="shared" si="9"/>
        <v>2.0697571428571431</v>
      </c>
      <c r="AD30" s="35">
        <f t="shared" si="9"/>
        <v>1.1258142857142857</v>
      </c>
      <c r="AE30" s="35">
        <f t="shared" si="9"/>
        <v>0.97284285714285712</v>
      </c>
      <c r="AF30" s="35">
        <f t="shared" si="9"/>
        <v>0</v>
      </c>
      <c r="AG30" s="35">
        <f t="shared" si="9"/>
        <v>0</v>
      </c>
    </row>
    <row r="31" spans="1:33" ht="15.75" thickBot="1" x14ac:dyDescent="0.3">
      <c r="A31" s="36"/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9"/>
      <c r="AF31" s="39"/>
      <c r="AG31" s="39"/>
    </row>
    <row r="32" spans="1:33" x14ac:dyDescent="0.25">
      <c r="A32" s="40" t="s">
        <v>34</v>
      </c>
      <c r="B32" s="41" t="s">
        <v>35</v>
      </c>
      <c r="C32" s="42">
        <v>0</v>
      </c>
      <c r="D32" s="42">
        <v>0</v>
      </c>
      <c r="E32" s="42">
        <f>+D44</f>
        <v>3137</v>
      </c>
      <c r="F32" s="42">
        <v>3137</v>
      </c>
      <c r="G32" s="42">
        <v>1953</v>
      </c>
      <c r="H32" s="42">
        <v>1776</v>
      </c>
      <c r="I32" s="42">
        <v>2560</v>
      </c>
      <c r="J32" s="42">
        <v>2085</v>
      </c>
      <c r="K32" s="42">
        <v>2384</v>
      </c>
      <c r="L32" s="42">
        <v>2470</v>
      </c>
      <c r="M32" s="42">
        <v>1463</v>
      </c>
      <c r="N32" s="42">
        <v>1397</v>
      </c>
      <c r="O32" s="42">
        <v>1974</v>
      </c>
      <c r="P32" s="42">
        <v>4616</v>
      </c>
      <c r="Q32" s="42">
        <v>6457</v>
      </c>
      <c r="R32" s="42">
        <v>6144</v>
      </c>
      <c r="S32" s="42">
        <v>5837</v>
      </c>
      <c r="T32" s="42">
        <v>4658</v>
      </c>
      <c r="U32" s="42">
        <v>4589</v>
      </c>
      <c r="V32" s="42">
        <v>7526</v>
      </c>
      <c r="W32" s="42">
        <v>8607</v>
      </c>
      <c r="X32" s="42">
        <v>9873</v>
      </c>
      <c r="Y32" s="42">
        <v>10657</v>
      </c>
      <c r="Z32" s="42">
        <v>11313</v>
      </c>
      <c r="AA32" s="42">
        <v>9619</v>
      </c>
      <c r="AB32" s="42">
        <v>9520</v>
      </c>
      <c r="AC32" s="42">
        <v>10041</v>
      </c>
      <c r="AD32" s="45">
        <v>11066</v>
      </c>
      <c r="AE32" s="45">
        <v>11136</v>
      </c>
      <c r="AF32" s="45">
        <f t="shared" ref="AF32:AG32" si="10">+AE44</f>
        <v>8592</v>
      </c>
      <c r="AG32" s="45">
        <f t="shared" si="10"/>
        <v>8592</v>
      </c>
    </row>
    <row r="33" spans="1:33" x14ac:dyDescent="0.25">
      <c r="A33" s="46"/>
      <c r="B33" s="47" t="s">
        <v>36</v>
      </c>
      <c r="C33" s="48">
        <v>0</v>
      </c>
      <c r="D33" s="48">
        <v>3397</v>
      </c>
      <c r="E33" s="48">
        <v>0</v>
      </c>
      <c r="F33" s="48">
        <v>1346</v>
      </c>
      <c r="G33" s="48">
        <v>1751</v>
      </c>
      <c r="H33" s="48">
        <v>2100</v>
      </c>
      <c r="I33" s="48">
        <v>1163</v>
      </c>
      <c r="J33" s="48">
        <v>2019</v>
      </c>
      <c r="K33" s="48">
        <v>1198</v>
      </c>
      <c r="L33" s="48">
        <v>0</v>
      </c>
      <c r="M33" s="48">
        <v>1753</v>
      </c>
      <c r="N33" s="48">
        <v>2397</v>
      </c>
      <c r="O33" s="48">
        <v>4393</v>
      </c>
      <c r="P33" s="48">
        <v>3802</v>
      </c>
      <c r="Q33" s="48">
        <v>1937</v>
      </c>
      <c r="R33" s="48">
        <v>1731</v>
      </c>
      <c r="S33" s="48">
        <v>0</v>
      </c>
      <c r="T33" s="48">
        <v>2364</v>
      </c>
      <c r="U33" s="48">
        <v>4982</v>
      </c>
      <c r="V33" s="48">
        <v>3164</v>
      </c>
      <c r="W33" s="48">
        <v>3446</v>
      </c>
      <c r="X33" s="48">
        <v>2870</v>
      </c>
      <c r="Y33" s="48">
        <v>2868</v>
      </c>
      <c r="Z33" s="48">
        <v>0</v>
      </c>
      <c r="AA33" s="48">
        <v>2123</v>
      </c>
      <c r="AB33" s="48">
        <v>3278</v>
      </c>
      <c r="AC33" s="48">
        <v>3471</v>
      </c>
      <c r="AD33" s="49">
        <v>2496</v>
      </c>
      <c r="AE33" s="49">
        <v>98</v>
      </c>
      <c r="AF33" s="49">
        <v>0</v>
      </c>
      <c r="AG33" s="49">
        <v>0</v>
      </c>
    </row>
    <row r="34" spans="1:33" x14ac:dyDescent="0.25">
      <c r="A34" s="46"/>
      <c r="B34" s="47" t="s">
        <v>37</v>
      </c>
      <c r="C34" s="50">
        <f t="shared" ref="C34:E34" si="11">C32+C33</f>
        <v>0</v>
      </c>
      <c r="D34" s="50">
        <v>3397</v>
      </c>
      <c r="E34" s="56">
        <f t="shared" si="11"/>
        <v>3137</v>
      </c>
      <c r="F34" s="50">
        <v>4483</v>
      </c>
      <c r="G34" s="50">
        <v>3704</v>
      </c>
      <c r="H34" s="50">
        <v>3876</v>
      </c>
      <c r="I34" s="50">
        <v>3723</v>
      </c>
      <c r="J34" s="50">
        <v>4104</v>
      </c>
      <c r="K34" s="50">
        <v>3582</v>
      </c>
      <c r="L34" s="50">
        <v>2470</v>
      </c>
      <c r="M34" s="50">
        <v>3216</v>
      </c>
      <c r="N34" s="50">
        <v>3794</v>
      </c>
      <c r="O34" s="50">
        <v>6367</v>
      </c>
      <c r="P34" s="50">
        <v>8418</v>
      </c>
      <c r="Q34" s="50">
        <v>8394</v>
      </c>
      <c r="R34" s="50">
        <v>7875</v>
      </c>
      <c r="S34" s="50">
        <v>5837</v>
      </c>
      <c r="T34" s="50">
        <v>7022</v>
      </c>
      <c r="U34" s="50">
        <v>9571</v>
      </c>
      <c r="V34" s="50">
        <v>10690</v>
      </c>
      <c r="W34" s="50">
        <v>12053</v>
      </c>
      <c r="X34" s="50">
        <v>12743</v>
      </c>
      <c r="Y34" s="50">
        <v>13525</v>
      </c>
      <c r="Z34" s="50">
        <v>11313</v>
      </c>
      <c r="AA34" s="50">
        <v>11742</v>
      </c>
      <c r="AB34" s="50">
        <v>12798</v>
      </c>
      <c r="AC34" s="50">
        <v>13512</v>
      </c>
      <c r="AD34" s="53">
        <v>13562</v>
      </c>
      <c r="AE34" s="53">
        <v>11234</v>
      </c>
      <c r="AF34" s="53">
        <f t="shared" ref="AF34:AG34" si="12">AF32+AF33</f>
        <v>8592</v>
      </c>
      <c r="AG34" s="53">
        <f t="shared" si="12"/>
        <v>8592</v>
      </c>
    </row>
    <row r="35" spans="1:33" x14ac:dyDescent="0.25">
      <c r="A35" s="46"/>
      <c r="B35" s="47" t="s">
        <v>38</v>
      </c>
      <c r="C35" s="48">
        <v>0</v>
      </c>
      <c r="D35" s="48">
        <v>395</v>
      </c>
      <c r="E35" s="48">
        <v>0</v>
      </c>
      <c r="F35" s="48">
        <v>3</v>
      </c>
      <c r="G35" s="48">
        <v>380</v>
      </c>
      <c r="H35" s="48">
        <v>28</v>
      </c>
      <c r="I35" s="48">
        <v>126</v>
      </c>
      <c r="J35" s="48">
        <v>10</v>
      </c>
      <c r="K35" s="48">
        <v>29</v>
      </c>
      <c r="L35" s="48">
        <v>0</v>
      </c>
      <c r="M35" s="48">
        <v>140</v>
      </c>
      <c r="N35" s="48">
        <v>375</v>
      </c>
      <c r="O35" s="48">
        <v>78</v>
      </c>
      <c r="P35" s="48">
        <v>69</v>
      </c>
      <c r="Q35" s="48">
        <v>24</v>
      </c>
      <c r="R35" s="48">
        <v>47</v>
      </c>
      <c r="S35" s="48">
        <v>0</v>
      </c>
      <c r="T35" s="48">
        <v>147</v>
      </c>
      <c r="U35" s="48">
        <v>486</v>
      </c>
      <c r="V35" s="48">
        <v>188</v>
      </c>
      <c r="W35" s="48">
        <v>32</v>
      </c>
      <c r="X35" s="48">
        <v>54</v>
      </c>
      <c r="Y35" s="48">
        <v>116</v>
      </c>
      <c r="Z35" s="48">
        <v>0</v>
      </c>
      <c r="AA35" s="48">
        <v>96</v>
      </c>
      <c r="AB35" s="48">
        <v>18</v>
      </c>
      <c r="AC35" s="48">
        <v>476</v>
      </c>
      <c r="AD35" s="49">
        <v>83</v>
      </c>
      <c r="AE35" s="49">
        <v>19</v>
      </c>
      <c r="AF35" s="49">
        <v>0</v>
      </c>
      <c r="AG35" s="49">
        <v>0</v>
      </c>
    </row>
    <row r="36" spans="1:33" x14ac:dyDescent="0.25">
      <c r="A36" s="46"/>
      <c r="B36" s="47" t="s">
        <v>39</v>
      </c>
      <c r="C36" s="48">
        <v>0</v>
      </c>
      <c r="D36" s="48">
        <v>149978</v>
      </c>
      <c r="E36" s="48">
        <v>0</v>
      </c>
      <c r="F36" s="48">
        <v>31582</v>
      </c>
      <c r="G36" s="48">
        <v>60239</v>
      </c>
      <c r="H36" s="48">
        <v>66098</v>
      </c>
      <c r="I36" s="48">
        <v>55349</v>
      </c>
      <c r="J36" s="48">
        <v>40588</v>
      </c>
      <c r="K36" s="48">
        <v>40995</v>
      </c>
      <c r="L36" s="48">
        <v>0</v>
      </c>
      <c r="M36" s="48">
        <v>55933</v>
      </c>
      <c r="N36" s="48">
        <v>157123</v>
      </c>
      <c r="O36" s="48">
        <v>131296</v>
      </c>
      <c r="P36" s="48">
        <v>85563</v>
      </c>
      <c r="Q36" s="48">
        <v>56232</v>
      </c>
      <c r="R36" s="48">
        <v>71063</v>
      </c>
      <c r="S36" s="48">
        <v>0</v>
      </c>
      <c r="T36" s="48">
        <v>91110</v>
      </c>
      <c r="U36" s="48">
        <v>180197</v>
      </c>
      <c r="V36" s="48">
        <v>83967</v>
      </c>
      <c r="W36" s="48">
        <v>169578</v>
      </c>
      <c r="X36" s="48">
        <v>110450</v>
      </c>
      <c r="Y36" s="48">
        <v>108580</v>
      </c>
      <c r="Z36" s="48">
        <v>0</v>
      </c>
      <c r="AA36" s="48">
        <v>77392</v>
      </c>
      <c r="AB36" s="48">
        <v>104396</v>
      </c>
      <c r="AC36" s="48">
        <v>178203</v>
      </c>
      <c r="AD36" s="49">
        <v>21</v>
      </c>
      <c r="AE36" s="49">
        <v>4754</v>
      </c>
      <c r="AF36" s="49">
        <v>0</v>
      </c>
      <c r="AG36" s="49">
        <v>0</v>
      </c>
    </row>
    <row r="37" spans="1:33" x14ac:dyDescent="0.25">
      <c r="A37" s="46"/>
      <c r="B37" s="47" t="s">
        <v>40</v>
      </c>
      <c r="C37" s="48">
        <v>0</v>
      </c>
      <c r="D37" s="48">
        <v>2180</v>
      </c>
      <c r="E37" s="48">
        <v>0</v>
      </c>
      <c r="F37" s="48">
        <v>65405</v>
      </c>
      <c r="G37" s="48">
        <v>71866</v>
      </c>
      <c r="H37" s="48">
        <v>49917</v>
      </c>
      <c r="I37" s="48">
        <v>76605</v>
      </c>
      <c r="J37" s="48">
        <v>50954</v>
      </c>
      <c r="K37" s="48">
        <v>29881</v>
      </c>
      <c r="L37" s="48">
        <v>17352</v>
      </c>
      <c r="M37" s="48">
        <v>63831</v>
      </c>
      <c r="N37" s="48">
        <v>65216</v>
      </c>
      <c r="O37" s="48">
        <v>63650</v>
      </c>
      <c r="P37" s="48">
        <v>46172</v>
      </c>
      <c r="Q37" s="48">
        <v>83303</v>
      </c>
      <c r="R37" s="48">
        <v>51633</v>
      </c>
      <c r="S37" s="48">
        <v>62693</v>
      </c>
      <c r="T37" s="48">
        <v>82882</v>
      </c>
      <c r="U37" s="48">
        <v>62453</v>
      </c>
      <c r="V37" s="48">
        <v>72768</v>
      </c>
      <c r="W37" s="48">
        <v>72851</v>
      </c>
      <c r="X37" s="48">
        <v>75045</v>
      </c>
      <c r="Y37" s="48">
        <v>92841</v>
      </c>
      <c r="Z37" s="48">
        <v>54845</v>
      </c>
      <c r="AA37" s="48">
        <v>68488</v>
      </c>
      <c r="AB37" s="48">
        <v>100424</v>
      </c>
      <c r="AC37" s="48">
        <v>99134</v>
      </c>
      <c r="AD37" s="49">
        <v>89847</v>
      </c>
      <c r="AE37" s="49">
        <v>103729</v>
      </c>
      <c r="AF37" s="49">
        <v>0</v>
      </c>
      <c r="AG37" s="49">
        <v>0</v>
      </c>
    </row>
    <row r="38" spans="1:33" x14ac:dyDescent="0.25">
      <c r="A38" s="46"/>
      <c r="B38" s="47" t="s">
        <v>41</v>
      </c>
      <c r="C38" s="48">
        <v>0</v>
      </c>
      <c r="D38" s="48">
        <v>260</v>
      </c>
      <c r="E38" s="48">
        <v>0</v>
      </c>
      <c r="F38" s="48">
        <v>2530</v>
      </c>
      <c r="G38" s="48">
        <v>1928</v>
      </c>
      <c r="H38" s="48">
        <v>1316</v>
      </c>
      <c r="I38" s="48">
        <v>1638</v>
      </c>
      <c r="J38" s="48">
        <v>1720</v>
      </c>
      <c r="K38" s="48">
        <v>1112</v>
      </c>
      <c r="L38" s="48">
        <v>1007</v>
      </c>
      <c r="M38" s="48">
        <v>1819</v>
      </c>
      <c r="N38" s="48">
        <v>1820</v>
      </c>
      <c r="O38" s="48">
        <v>1751</v>
      </c>
      <c r="P38" s="48">
        <v>1961</v>
      </c>
      <c r="Q38" s="48">
        <v>2250</v>
      </c>
      <c r="R38" s="48">
        <v>2038</v>
      </c>
      <c r="S38" s="48">
        <v>1179</v>
      </c>
      <c r="T38" s="48">
        <v>2433</v>
      </c>
      <c r="U38" s="48">
        <v>2045</v>
      </c>
      <c r="V38" s="48">
        <v>2083</v>
      </c>
      <c r="W38" s="48">
        <v>2180</v>
      </c>
      <c r="X38" s="48">
        <v>2086</v>
      </c>
      <c r="Y38" s="48">
        <v>2212</v>
      </c>
      <c r="Z38" s="48">
        <v>1694</v>
      </c>
      <c r="AA38" s="48">
        <v>2222</v>
      </c>
      <c r="AB38" s="48">
        <v>2757</v>
      </c>
      <c r="AC38" s="48">
        <v>2446</v>
      </c>
      <c r="AD38" s="49">
        <v>2426</v>
      </c>
      <c r="AE38" s="49">
        <v>2642</v>
      </c>
      <c r="AF38" s="49">
        <v>0</v>
      </c>
      <c r="AG38" s="49">
        <v>0</v>
      </c>
    </row>
    <row r="39" spans="1:33" x14ac:dyDescent="0.25">
      <c r="A39" s="46"/>
      <c r="B39" s="47" t="s">
        <v>42</v>
      </c>
      <c r="C39" s="56">
        <f t="shared" ref="C39:AG39" si="13">C32+C33-C38</f>
        <v>0</v>
      </c>
      <c r="D39" s="56">
        <f t="shared" si="13"/>
        <v>3137</v>
      </c>
      <c r="E39" s="56">
        <f>E32+E33-E38</f>
        <v>3137</v>
      </c>
      <c r="F39" s="56">
        <f t="shared" si="13"/>
        <v>1953</v>
      </c>
      <c r="G39" s="56">
        <f t="shared" si="13"/>
        <v>1776</v>
      </c>
      <c r="H39" s="56">
        <f t="shared" si="13"/>
        <v>2560</v>
      </c>
      <c r="I39" s="56">
        <f t="shared" si="13"/>
        <v>2085</v>
      </c>
      <c r="J39" s="56">
        <f t="shared" si="13"/>
        <v>2384</v>
      </c>
      <c r="K39" s="56">
        <f t="shared" si="13"/>
        <v>2470</v>
      </c>
      <c r="L39" s="56">
        <f t="shared" si="13"/>
        <v>1463</v>
      </c>
      <c r="M39" s="56">
        <f t="shared" si="13"/>
        <v>1397</v>
      </c>
      <c r="N39" s="56">
        <f t="shared" si="13"/>
        <v>1974</v>
      </c>
      <c r="O39" s="56">
        <f t="shared" si="13"/>
        <v>4616</v>
      </c>
      <c r="P39" s="56">
        <f t="shared" si="13"/>
        <v>6457</v>
      </c>
      <c r="Q39" s="56">
        <f t="shared" si="13"/>
        <v>6144</v>
      </c>
      <c r="R39" s="56">
        <f t="shared" si="13"/>
        <v>5837</v>
      </c>
      <c r="S39" s="56">
        <f t="shared" si="13"/>
        <v>4658</v>
      </c>
      <c r="T39" s="56">
        <f t="shared" si="13"/>
        <v>4589</v>
      </c>
      <c r="U39" s="56">
        <f t="shared" si="13"/>
        <v>7526</v>
      </c>
      <c r="V39" s="56">
        <f t="shared" si="13"/>
        <v>8607</v>
      </c>
      <c r="W39" s="56">
        <f>W32+W33-W38</f>
        <v>9873</v>
      </c>
      <c r="X39" s="56">
        <f>X32+X33-X38</f>
        <v>10657</v>
      </c>
      <c r="Y39" s="56">
        <f>Y32+Y33-Y38</f>
        <v>11313</v>
      </c>
      <c r="Z39" s="56">
        <f>Z32+Z33-Z38</f>
        <v>9619</v>
      </c>
      <c r="AA39" s="56">
        <f>AA32+AA33-AA38</f>
        <v>9520</v>
      </c>
      <c r="AB39" s="56">
        <f t="shared" si="13"/>
        <v>10041</v>
      </c>
      <c r="AC39" s="56">
        <f t="shared" si="13"/>
        <v>11066</v>
      </c>
      <c r="AD39" s="57">
        <f t="shared" si="13"/>
        <v>11136</v>
      </c>
      <c r="AE39" s="57">
        <f t="shared" si="13"/>
        <v>8592</v>
      </c>
      <c r="AF39" s="57">
        <f t="shared" si="13"/>
        <v>8592</v>
      </c>
      <c r="AG39" s="57">
        <f t="shared" si="13"/>
        <v>8592</v>
      </c>
    </row>
    <row r="40" spans="1:33" x14ac:dyDescent="0.25">
      <c r="A40" s="46"/>
      <c r="B40" s="5" t="s">
        <v>43</v>
      </c>
      <c r="C40" s="48">
        <v>0</v>
      </c>
      <c r="D40" s="48">
        <v>3137</v>
      </c>
      <c r="E40" s="48">
        <v>0</v>
      </c>
      <c r="F40" s="234">
        <v>741</v>
      </c>
      <c r="G40" s="48">
        <v>995</v>
      </c>
      <c r="H40" s="48">
        <v>1686</v>
      </c>
      <c r="I40" s="48">
        <v>976</v>
      </c>
      <c r="J40" s="48">
        <v>1738</v>
      </c>
      <c r="K40" s="48">
        <v>1194</v>
      </c>
      <c r="L40" s="48">
        <v>745</v>
      </c>
      <c r="M40" s="48">
        <v>834</v>
      </c>
      <c r="N40" s="48">
        <v>1657</v>
      </c>
      <c r="O40" s="48">
        <v>3604</v>
      </c>
      <c r="P40" s="48">
        <v>3475</v>
      </c>
      <c r="Q40" s="48">
        <v>1925</v>
      </c>
      <c r="R40" s="48">
        <v>1727</v>
      </c>
      <c r="S40" s="48">
        <v>1662</v>
      </c>
      <c r="T40" s="48">
        <v>2243</v>
      </c>
      <c r="U40" s="48">
        <v>4832</v>
      </c>
      <c r="V40" s="48">
        <v>2957</v>
      </c>
      <c r="W40" s="48">
        <v>3355</v>
      </c>
      <c r="X40" s="48">
        <v>2861</v>
      </c>
      <c r="Y40" s="48">
        <v>2856</v>
      </c>
      <c r="Z40" s="48">
        <v>2856</v>
      </c>
      <c r="AA40" s="48">
        <v>1820</v>
      </c>
      <c r="AB40" s="48">
        <v>2978</v>
      </c>
      <c r="AC40" s="48">
        <v>3451</v>
      </c>
      <c r="AD40" s="49">
        <v>2052</v>
      </c>
      <c r="AE40" s="49">
        <v>97</v>
      </c>
      <c r="AF40" s="49">
        <v>0</v>
      </c>
      <c r="AG40" s="49">
        <v>0</v>
      </c>
    </row>
    <row r="41" spans="1:33" x14ac:dyDescent="0.25">
      <c r="A41" s="46"/>
      <c r="B41" s="5" t="s">
        <v>25</v>
      </c>
      <c r="C41" s="48">
        <v>0</v>
      </c>
      <c r="D41" s="48">
        <v>0</v>
      </c>
      <c r="E41" s="48">
        <v>0</v>
      </c>
      <c r="F41" s="234">
        <v>1212</v>
      </c>
      <c r="G41" s="48">
        <v>234</v>
      </c>
      <c r="H41" s="48">
        <v>559</v>
      </c>
      <c r="I41" s="48">
        <v>698</v>
      </c>
      <c r="J41" s="48">
        <v>391</v>
      </c>
      <c r="K41" s="48">
        <v>892</v>
      </c>
      <c r="L41" s="48">
        <v>365</v>
      </c>
      <c r="M41" s="48">
        <v>207</v>
      </c>
      <c r="N41" s="48">
        <v>317</v>
      </c>
      <c r="O41" s="48">
        <v>1012</v>
      </c>
      <c r="P41" s="48">
        <v>2257</v>
      </c>
      <c r="Q41" s="48">
        <v>2760</v>
      </c>
      <c r="R41" s="48">
        <v>1763</v>
      </c>
      <c r="S41" s="48">
        <v>1370</v>
      </c>
      <c r="T41" s="48">
        <v>1045</v>
      </c>
      <c r="U41" s="48">
        <v>1461</v>
      </c>
      <c r="V41" s="48">
        <v>4273</v>
      </c>
      <c r="W41" s="48">
        <v>2789</v>
      </c>
      <c r="X41" s="48">
        <v>2827</v>
      </c>
      <c r="Y41" s="48">
        <v>2861</v>
      </c>
      <c r="Z41" s="48">
        <v>2861</v>
      </c>
      <c r="AA41" s="48">
        <v>2780</v>
      </c>
      <c r="AB41" s="48">
        <v>1820</v>
      </c>
      <c r="AC41" s="48">
        <v>2891</v>
      </c>
      <c r="AD41" s="49">
        <v>3380</v>
      </c>
      <c r="AE41" s="49">
        <v>1983</v>
      </c>
      <c r="AF41" s="49">
        <v>0</v>
      </c>
      <c r="AG41" s="49">
        <v>0</v>
      </c>
    </row>
    <row r="42" spans="1:33" x14ac:dyDescent="0.25">
      <c r="A42" s="46"/>
      <c r="B42" s="5" t="s">
        <v>26</v>
      </c>
      <c r="C42" s="30">
        <v>0</v>
      </c>
      <c r="D42" s="30">
        <v>0</v>
      </c>
      <c r="E42" s="30">
        <v>0</v>
      </c>
      <c r="F42" s="234">
        <v>0</v>
      </c>
      <c r="G42" s="58">
        <v>547</v>
      </c>
      <c r="H42" s="58">
        <v>142</v>
      </c>
      <c r="I42" s="58">
        <v>411</v>
      </c>
      <c r="J42" s="30">
        <v>255</v>
      </c>
      <c r="K42" s="48">
        <v>384</v>
      </c>
      <c r="L42" s="30">
        <v>214</v>
      </c>
      <c r="M42" s="30">
        <v>356</v>
      </c>
      <c r="N42" s="30">
        <v>0</v>
      </c>
      <c r="O42" s="48">
        <v>0</v>
      </c>
      <c r="P42" s="48">
        <v>725</v>
      </c>
      <c r="Q42" s="48">
        <v>998</v>
      </c>
      <c r="R42" s="48">
        <v>1543</v>
      </c>
      <c r="S42" s="30">
        <v>1025</v>
      </c>
      <c r="T42" s="30">
        <v>580</v>
      </c>
      <c r="U42" s="30">
        <v>733</v>
      </c>
      <c r="V42" s="30">
        <v>835</v>
      </c>
      <c r="W42" s="30">
        <v>3522</v>
      </c>
      <c r="X42" s="30">
        <v>2780</v>
      </c>
      <c r="Y42" s="30">
        <v>2687</v>
      </c>
      <c r="Z42" s="30">
        <v>2378</v>
      </c>
      <c r="AA42" s="48">
        <v>2709</v>
      </c>
      <c r="AB42" s="48">
        <v>2525</v>
      </c>
      <c r="AC42" s="48">
        <v>1704</v>
      </c>
      <c r="AD42" s="59">
        <v>2805</v>
      </c>
      <c r="AE42" s="59">
        <v>2878</v>
      </c>
      <c r="AF42" s="59">
        <v>0</v>
      </c>
      <c r="AG42" s="59">
        <v>0</v>
      </c>
    </row>
    <row r="43" spans="1:33" x14ac:dyDescent="0.25">
      <c r="A43" s="46"/>
      <c r="B43" s="5" t="s">
        <v>44</v>
      </c>
      <c r="C43" s="30">
        <v>0</v>
      </c>
      <c r="D43" s="30">
        <v>0</v>
      </c>
      <c r="E43" s="30">
        <v>0</v>
      </c>
      <c r="F43" s="234">
        <v>0</v>
      </c>
      <c r="G43" s="58">
        <v>0</v>
      </c>
      <c r="H43" s="58">
        <v>173</v>
      </c>
      <c r="I43" s="58">
        <v>0</v>
      </c>
      <c r="J43" s="235">
        <v>0</v>
      </c>
      <c r="K43" s="48">
        <v>0</v>
      </c>
      <c r="L43" s="235">
        <v>139</v>
      </c>
      <c r="M43" s="30">
        <v>0</v>
      </c>
      <c r="N43" s="30">
        <v>0</v>
      </c>
      <c r="O43" s="30">
        <v>0</v>
      </c>
      <c r="P43" s="30">
        <v>0</v>
      </c>
      <c r="Q43" s="30">
        <v>461</v>
      </c>
      <c r="R43" s="30">
        <v>804</v>
      </c>
      <c r="S43" s="30">
        <v>601</v>
      </c>
      <c r="T43" s="30">
        <v>721</v>
      </c>
      <c r="U43" s="30">
        <v>500</v>
      </c>
      <c r="V43" s="30">
        <v>542</v>
      </c>
      <c r="W43" s="30">
        <v>207</v>
      </c>
      <c r="X43" s="30">
        <v>2189</v>
      </c>
      <c r="Y43" s="30">
        <v>2909</v>
      </c>
      <c r="Z43" s="30">
        <v>1524</v>
      </c>
      <c r="AA43" s="48">
        <v>2211</v>
      </c>
      <c r="AB43" s="48">
        <v>2718</v>
      </c>
      <c r="AC43" s="48">
        <v>3020</v>
      </c>
      <c r="AD43" s="59">
        <v>2899</v>
      </c>
      <c r="AE43" s="59">
        <v>3634</v>
      </c>
      <c r="AF43" s="59">
        <v>0</v>
      </c>
      <c r="AG43" s="59">
        <v>0</v>
      </c>
    </row>
    <row r="44" spans="1:33" ht="15.75" thickBot="1" x14ac:dyDescent="0.3">
      <c r="A44" s="60"/>
      <c r="B44" s="61" t="s">
        <v>45</v>
      </c>
      <c r="C44" s="62">
        <f t="shared" ref="C44" si="14">+C40+C41+C42+C43</f>
        <v>0</v>
      </c>
      <c r="D44" s="62">
        <v>3137</v>
      </c>
      <c r="E44" s="63">
        <v>3137</v>
      </c>
      <c r="F44" s="63">
        <v>1953</v>
      </c>
      <c r="G44" s="63">
        <v>1776</v>
      </c>
      <c r="H44" s="63">
        <v>2560</v>
      </c>
      <c r="I44" s="63">
        <v>2085</v>
      </c>
      <c r="J44" s="63">
        <v>2384</v>
      </c>
      <c r="K44" s="63">
        <v>2470</v>
      </c>
      <c r="L44" s="63">
        <v>1463</v>
      </c>
      <c r="M44" s="63">
        <v>1397</v>
      </c>
      <c r="N44" s="63">
        <v>1974</v>
      </c>
      <c r="O44" s="63">
        <v>4616</v>
      </c>
      <c r="P44" s="63">
        <v>6457</v>
      </c>
      <c r="Q44" s="63">
        <v>6144</v>
      </c>
      <c r="R44" s="63">
        <v>5837</v>
      </c>
      <c r="S44" s="63">
        <v>4658</v>
      </c>
      <c r="T44" s="63">
        <v>4589</v>
      </c>
      <c r="U44" s="63">
        <v>7526</v>
      </c>
      <c r="V44" s="63">
        <v>8607</v>
      </c>
      <c r="W44" s="63">
        <v>9873</v>
      </c>
      <c r="X44" s="63">
        <v>10657</v>
      </c>
      <c r="Y44" s="63">
        <v>11313</v>
      </c>
      <c r="Z44" s="63">
        <v>9619</v>
      </c>
      <c r="AA44" s="63">
        <v>9520</v>
      </c>
      <c r="AB44" s="63">
        <v>10041</v>
      </c>
      <c r="AC44" s="63">
        <v>11066</v>
      </c>
      <c r="AD44" s="64">
        <v>11136</v>
      </c>
      <c r="AE44" s="64">
        <v>8592</v>
      </c>
      <c r="AF44" s="64">
        <v>8592</v>
      </c>
      <c r="AG44" s="64">
        <f t="shared" ref="AG44" si="15">+AG40+AG41+AG42+AG43</f>
        <v>0</v>
      </c>
    </row>
    <row r="45" spans="1:33" ht="15.75" thickBot="1" x14ac:dyDescent="0.3">
      <c r="A45" s="65"/>
      <c r="B45" s="66"/>
      <c r="C45" s="67"/>
      <c r="D45" s="67"/>
      <c r="E45" s="68"/>
      <c r="F45" s="67"/>
      <c r="G45" s="67"/>
      <c r="H45" s="67"/>
      <c r="I45" s="67"/>
      <c r="J45" s="67"/>
      <c r="K45" s="67"/>
      <c r="L45" s="69"/>
      <c r="M45" s="67"/>
      <c r="N45" s="67"/>
      <c r="O45" s="67"/>
      <c r="P45" s="67"/>
      <c r="Q45" s="70"/>
      <c r="R45" s="67"/>
      <c r="S45" s="67"/>
      <c r="T45" s="67"/>
      <c r="U45" s="71"/>
      <c r="V45" s="67"/>
      <c r="W45" s="67"/>
      <c r="X45" s="70"/>
      <c r="Y45" s="67"/>
      <c r="Z45" s="67"/>
      <c r="AA45" s="67"/>
      <c r="AB45" s="67"/>
      <c r="AC45" s="67"/>
      <c r="AD45" s="67"/>
      <c r="AE45" s="39"/>
      <c r="AF45" s="39"/>
      <c r="AG45" s="39"/>
    </row>
    <row r="46" spans="1:33" x14ac:dyDescent="0.25">
      <c r="A46" s="40" t="s">
        <v>46</v>
      </c>
      <c r="B46" s="41" t="s">
        <v>47</v>
      </c>
      <c r="C46" s="42">
        <v>0</v>
      </c>
      <c r="D46" s="42">
        <v>0</v>
      </c>
      <c r="E46" s="236">
        <f t="shared" ref="E46" si="16">+D58</f>
        <v>1071</v>
      </c>
      <c r="F46" s="42">
        <v>1071</v>
      </c>
      <c r="G46" s="42">
        <v>1593</v>
      </c>
      <c r="H46" s="42">
        <v>1610</v>
      </c>
      <c r="I46" s="42">
        <v>1045</v>
      </c>
      <c r="J46" s="42">
        <v>1841</v>
      </c>
      <c r="K46" s="42">
        <v>1426</v>
      </c>
      <c r="L46" s="42">
        <v>1555</v>
      </c>
      <c r="M46" s="42">
        <v>1555</v>
      </c>
      <c r="N46" s="42">
        <v>1816</v>
      </c>
      <c r="O46" s="42">
        <v>2386</v>
      </c>
      <c r="P46" s="42">
        <v>2658</v>
      </c>
      <c r="Q46" s="42">
        <v>1752</v>
      </c>
      <c r="R46" s="42">
        <v>2151</v>
      </c>
      <c r="S46" s="42">
        <v>2145</v>
      </c>
      <c r="T46" s="42">
        <v>1486</v>
      </c>
      <c r="U46" s="42">
        <v>1523</v>
      </c>
      <c r="V46" s="42">
        <v>1911</v>
      </c>
      <c r="W46" s="42">
        <v>1915</v>
      </c>
      <c r="X46" s="42">
        <v>2083</v>
      </c>
      <c r="Y46" s="42">
        <v>1928</v>
      </c>
      <c r="Z46" s="42">
        <v>1577</v>
      </c>
      <c r="AA46" s="42">
        <v>883</v>
      </c>
      <c r="AB46" s="42">
        <v>550</v>
      </c>
      <c r="AC46" s="42">
        <v>995</v>
      </c>
      <c r="AD46" s="45">
        <v>1425</v>
      </c>
      <c r="AE46" s="45">
        <v>2661</v>
      </c>
      <c r="AF46" s="45">
        <f t="shared" ref="AF46:AG46" si="17">+AE58</f>
        <v>1663</v>
      </c>
      <c r="AG46" s="45">
        <f t="shared" si="17"/>
        <v>1163</v>
      </c>
    </row>
    <row r="47" spans="1:33" x14ac:dyDescent="0.25">
      <c r="A47" s="46"/>
      <c r="B47" s="47" t="s">
        <v>36</v>
      </c>
      <c r="C47" s="48">
        <v>0</v>
      </c>
      <c r="D47" s="48">
        <v>1100</v>
      </c>
      <c r="E47" s="48">
        <v>0</v>
      </c>
      <c r="F47" s="48">
        <v>1433</v>
      </c>
      <c r="G47" s="48">
        <v>1222</v>
      </c>
      <c r="H47" s="48">
        <v>457</v>
      </c>
      <c r="I47" s="48">
        <v>1534</v>
      </c>
      <c r="J47" s="48">
        <v>876</v>
      </c>
      <c r="K47" s="48">
        <v>1263</v>
      </c>
      <c r="L47" s="48">
        <v>0</v>
      </c>
      <c r="M47" s="48">
        <v>1378</v>
      </c>
      <c r="N47" s="48">
        <v>1759</v>
      </c>
      <c r="O47" s="48">
        <v>1397</v>
      </c>
      <c r="P47" s="48">
        <v>1140</v>
      </c>
      <c r="Q47" s="48">
        <v>1520</v>
      </c>
      <c r="R47" s="48">
        <v>951</v>
      </c>
      <c r="S47" s="48">
        <v>0</v>
      </c>
      <c r="T47" s="48">
        <v>1039</v>
      </c>
      <c r="U47" s="48">
        <v>1723</v>
      </c>
      <c r="V47" s="48">
        <v>1073</v>
      </c>
      <c r="W47" s="48">
        <v>1211</v>
      </c>
      <c r="X47" s="48">
        <v>1091</v>
      </c>
      <c r="Y47" s="48">
        <v>950</v>
      </c>
      <c r="Z47" s="30">
        <v>0</v>
      </c>
      <c r="AA47" s="30">
        <v>700</v>
      </c>
      <c r="AB47" s="30">
        <v>1552</v>
      </c>
      <c r="AC47" s="30">
        <v>1541</v>
      </c>
      <c r="AD47" s="59">
        <v>2502</v>
      </c>
      <c r="AE47" s="59">
        <v>237</v>
      </c>
      <c r="AF47" s="59">
        <v>0</v>
      </c>
      <c r="AG47" s="59">
        <v>0</v>
      </c>
    </row>
    <row r="48" spans="1:33" x14ac:dyDescent="0.25">
      <c r="A48" s="46"/>
      <c r="B48" s="47" t="s">
        <v>37</v>
      </c>
      <c r="C48" s="72">
        <f t="shared" ref="C48:E48" si="18">C46+C47</f>
        <v>0</v>
      </c>
      <c r="D48" s="72">
        <v>1100</v>
      </c>
      <c r="E48" s="74">
        <f t="shared" si="18"/>
        <v>1071</v>
      </c>
      <c r="F48" s="72">
        <v>2504</v>
      </c>
      <c r="G48" s="72">
        <v>2815</v>
      </c>
      <c r="H48" s="72">
        <v>2067</v>
      </c>
      <c r="I48" s="72">
        <v>2579</v>
      </c>
      <c r="J48" s="72">
        <v>2717</v>
      </c>
      <c r="K48" s="72">
        <v>2689</v>
      </c>
      <c r="L48" s="74">
        <v>1555</v>
      </c>
      <c r="M48" s="72">
        <v>2933</v>
      </c>
      <c r="N48" s="72">
        <v>3575</v>
      </c>
      <c r="O48" s="72">
        <v>3783</v>
      </c>
      <c r="P48" s="72">
        <v>3798</v>
      </c>
      <c r="Q48" s="72">
        <v>3272</v>
      </c>
      <c r="R48" s="72">
        <v>3102</v>
      </c>
      <c r="S48" s="74">
        <v>2145</v>
      </c>
      <c r="T48" s="72">
        <v>2525</v>
      </c>
      <c r="U48" s="72">
        <v>3246</v>
      </c>
      <c r="V48" s="72">
        <v>2984</v>
      </c>
      <c r="W48" s="72">
        <v>3126</v>
      </c>
      <c r="X48" s="72">
        <v>3174</v>
      </c>
      <c r="Y48" s="72">
        <v>2878</v>
      </c>
      <c r="Z48" s="72">
        <v>1577</v>
      </c>
      <c r="AA48" s="72">
        <v>1583</v>
      </c>
      <c r="AB48" s="72">
        <v>2102</v>
      </c>
      <c r="AC48" s="72">
        <v>2536</v>
      </c>
      <c r="AD48" s="73">
        <v>3927</v>
      </c>
      <c r="AE48" s="73">
        <v>2898</v>
      </c>
      <c r="AF48" s="73">
        <f t="shared" ref="AF48:AG48" si="19">AF46+AF47</f>
        <v>1663</v>
      </c>
      <c r="AG48" s="73">
        <f t="shared" si="19"/>
        <v>1163</v>
      </c>
    </row>
    <row r="49" spans="1:33" x14ac:dyDescent="0.25">
      <c r="A49" s="46"/>
      <c r="B49" s="47" t="s">
        <v>38</v>
      </c>
      <c r="C49" s="48">
        <v>0</v>
      </c>
      <c r="D49" s="48">
        <v>141</v>
      </c>
      <c r="E49" s="48">
        <v>0</v>
      </c>
      <c r="F49" s="48">
        <v>753</v>
      </c>
      <c r="G49" s="48">
        <v>152</v>
      </c>
      <c r="H49" s="48">
        <v>109</v>
      </c>
      <c r="I49" s="48">
        <v>722</v>
      </c>
      <c r="J49" s="48">
        <v>817</v>
      </c>
      <c r="K49" s="48">
        <v>632</v>
      </c>
      <c r="L49" s="48">
        <v>0</v>
      </c>
      <c r="M49" s="48">
        <v>253</v>
      </c>
      <c r="N49" s="48">
        <v>772</v>
      </c>
      <c r="O49" s="48">
        <v>569</v>
      </c>
      <c r="P49" s="48">
        <v>564</v>
      </c>
      <c r="Q49" s="48">
        <v>521</v>
      </c>
      <c r="R49" s="48">
        <v>192</v>
      </c>
      <c r="S49" s="48">
        <v>0</v>
      </c>
      <c r="T49" s="48">
        <v>237</v>
      </c>
      <c r="U49" s="48">
        <v>756</v>
      </c>
      <c r="V49" s="48">
        <v>143</v>
      </c>
      <c r="W49" s="48">
        <v>140</v>
      </c>
      <c r="X49" s="48">
        <v>158</v>
      </c>
      <c r="Y49" s="48">
        <v>191</v>
      </c>
      <c r="Z49" s="30">
        <v>0</v>
      </c>
      <c r="AA49" s="30">
        <v>114</v>
      </c>
      <c r="AB49" s="30">
        <v>536</v>
      </c>
      <c r="AC49" s="30">
        <v>322</v>
      </c>
      <c r="AD49" s="59">
        <v>1103</v>
      </c>
      <c r="AE49" s="59">
        <v>7</v>
      </c>
      <c r="AF49" s="59">
        <v>0</v>
      </c>
      <c r="AG49" s="59">
        <v>0</v>
      </c>
    </row>
    <row r="50" spans="1:33" x14ac:dyDescent="0.25">
      <c r="A50" s="46"/>
      <c r="B50" s="47" t="s">
        <v>39</v>
      </c>
      <c r="C50" s="48">
        <v>0</v>
      </c>
      <c r="D50" s="48">
        <v>6871</v>
      </c>
      <c r="E50" s="48">
        <v>0</v>
      </c>
      <c r="F50" s="48">
        <v>6372</v>
      </c>
      <c r="G50" s="48">
        <v>15561</v>
      </c>
      <c r="H50" s="48">
        <v>5979</v>
      </c>
      <c r="I50" s="48">
        <v>9884</v>
      </c>
      <c r="J50" s="48">
        <v>1534</v>
      </c>
      <c r="K50" s="48">
        <v>6847</v>
      </c>
      <c r="L50" s="48">
        <v>0</v>
      </c>
      <c r="M50" s="48">
        <v>9049</v>
      </c>
      <c r="N50" s="48">
        <v>16512</v>
      </c>
      <c r="O50" s="48">
        <v>7686</v>
      </c>
      <c r="P50" s="48">
        <v>8469</v>
      </c>
      <c r="Q50" s="48">
        <v>7406</v>
      </c>
      <c r="R50" s="48">
        <v>6476</v>
      </c>
      <c r="S50" s="48">
        <v>0</v>
      </c>
      <c r="T50" s="48">
        <v>12449</v>
      </c>
      <c r="U50" s="48">
        <v>7596</v>
      </c>
      <c r="V50" s="48">
        <v>10257</v>
      </c>
      <c r="W50" s="48">
        <v>10359</v>
      </c>
      <c r="X50" s="48">
        <v>9957</v>
      </c>
      <c r="Y50" s="48">
        <v>3975</v>
      </c>
      <c r="Z50" s="30">
        <v>0</v>
      </c>
      <c r="AA50" s="30">
        <v>3572</v>
      </c>
      <c r="AB50" s="30">
        <v>6991</v>
      </c>
      <c r="AC50" s="30">
        <v>12507</v>
      </c>
      <c r="AD50" s="59">
        <v>20845</v>
      </c>
      <c r="AE50" s="59">
        <v>2202</v>
      </c>
      <c r="AF50" s="59">
        <v>0</v>
      </c>
      <c r="AG50" s="59">
        <v>0</v>
      </c>
    </row>
    <row r="51" spans="1:33" x14ac:dyDescent="0.25">
      <c r="A51" s="46"/>
      <c r="B51" s="47" t="s">
        <v>40</v>
      </c>
      <c r="C51" s="48">
        <v>0</v>
      </c>
      <c r="D51" s="48">
        <v>115</v>
      </c>
      <c r="E51" s="48">
        <v>0</v>
      </c>
      <c r="F51" s="48">
        <v>3173</v>
      </c>
      <c r="G51" s="48">
        <v>6045</v>
      </c>
      <c r="H51" s="48">
        <v>8192</v>
      </c>
      <c r="I51" s="48">
        <v>8974</v>
      </c>
      <c r="J51" s="48">
        <v>11543</v>
      </c>
      <c r="K51" s="48">
        <v>4316</v>
      </c>
      <c r="L51" s="48">
        <v>0</v>
      </c>
      <c r="M51" s="48">
        <v>8307</v>
      </c>
      <c r="N51" s="48">
        <v>5882</v>
      </c>
      <c r="O51" s="48">
        <v>7461</v>
      </c>
      <c r="P51" s="48">
        <v>15592</v>
      </c>
      <c r="Q51" s="48">
        <v>4421</v>
      </c>
      <c r="R51" s="48">
        <v>8178</v>
      </c>
      <c r="S51" s="48">
        <v>2165</v>
      </c>
      <c r="T51" s="48">
        <v>5896</v>
      </c>
      <c r="U51" s="48">
        <v>7664</v>
      </c>
      <c r="V51" s="48">
        <v>12331</v>
      </c>
      <c r="W51" s="48">
        <v>7214</v>
      </c>
      <c r="X51" s="48">
        <v>10911</v>
      </c>
      <c r="Y51" s="48">
        <v>9099</v>
      </c>
      <c r="Z51" s="30">
        <v>5670</v>
      </c>
      <c r="AA51" s="30">
        <v>6373</v>
      </c>
      <c r="AB51" s="30">
        <v>5288</v>
      </c>
      <c r="AC51" s="30">
        <v>6020</v>
      </c>
      <c r="AD51" s="59">
        <v>6866</v>
      </c>
      <c r="AE51" s="59">
        <v>8632</v>
      </c>
      <c r="AF51" s="59">
        <v>0</v>
      </c>
      <c r="AG51" s="59">
        <v>0</v>
      </c>
    </row>
    <row r="52" spans="1:33" x14ac:dyDescent="0.25">
      <c r="A52" s="46"/>
      <c r="B52" s="47" t="s">
        <v>41</v>
      </c>
      <c r="C52" s="48">
        <v>0</v>
      </c>
      <c r="D52" s="48">
        <v>29</v>
      </c>
      <c r="E52" s="48">
        <v>0</v>
      </c>
      <c r="F52" s="48">
        <v>911</v>
      </c>
      <c r="G52" s="48">
        <v>1205</v>
      </c>
      <c r="H52" s="48">
        <v>1022</v>
      </c>
      <c r="I52" s="48">
        <v>738</v>
      </c>
      <c r="J52" s="48">
        <v>1291</v>
      </c>
      <c r="K52" s="48">
        <v>1134</v>
      </c>
      <c r="L52" s="48">
        <v>0</v>
      </c>
      <c r="M52" s="48">
        <v>1117</v>
      </c>
      <c r="N52" s="48">
        <v>1189</v>
      </c>
      <c r="O52" s="48">
        <v>1125</v>
      </c>
      <c r="P52" s="48">
        <v>2046</v>
      </c>
      <c r="Q52" s="48">
        <v>1121</v>
      </c>
      <c r="R52" s="48">
        <v>957</v>
      </c>
      <c r="S52" s="48">
        <v>659</v>
      </c>
      <c r="T52" s="48">
        <v>1002</v>
      </c>
      <c r="U52" s="48">
        <v>1335</v>
      </c>
      <c r="V52" s="48">
        <v>1069</v>
      </c>
      <c r="W52" s="48">
        <v>1043</v>
      </c>
      <c r="X52" s="48">
        <v>1246</v>
      </c>
      <c r="Y52" s="48">
        <v>1301</v>
      </c>
      <c r="Z52" s="30">
        <v>694</v>
      </c>
      <c r="AA52" s="30">
        <v>1033</v>
      </c>
      <c r="AB52" s="30">
        <v>1107</v>
      </c>
      <c r="AC52" s="30">
        <v>1111</v>
      </c>
      <c r="AD52" s="59">
        <v>1266</v>
      </c>
      <c r="AE52" s="59">
        <v>1235</v>
      </c>
      <c r="AF52" s="59">
        <v>0</v>
      </c>
      <c r="AG52" s="59">
        <v>0</v>
      </c>
    </row>
    <row r="53" spans="1:33" x14ac:dyDescent="0.25">
      <c r="A53" s="46"/>
      <c r="B53" s="47" t="s">
        <v>42</v>
      </c>
      <c r="C53" s="74">
        <f t="shared" ref="C53:AD53" si="20">+C46+C47-C52</f>
        <v>0</v>
      </c>
      <c r="D53" s="74">
        <f t="shared" si="20"/>
        <v>1071</v>
      </c>
      <c r="E53" s="74">
        <f t="shared" si="20"/>
        <v>1071</v>
      </c>
      <c r="F53" s="74">
        <f t="shared" si="20"/>
        <v>1593</v>
      </c>
      <c r="G53" s="74">
        <f t="shared" si="20"/>
        <v>1610</v>
      </c>
      <c r="H53" s="74">
        <f t="shared" si="20"/>
        <v>1045</v>
      </c>
      <c r="I53" s="74">
        <f t="shared" si="20"/>
        <v>1841</v>
      </c>
      <c r="J53" s="74">
        <f t="shared" si="20"/>
        <v>1426</v>
      </c>
      <c r="K53" s="74">
        <f t="shared" si="20"/>
        <v>1555</v>
      </c>
      <c r="L53" s="74">
        <f t="shared" si="20"/>
        <v>1555</v>
      </c>
      <c r="M53" s="74">
        <f t="shared" si="20"/>
        <v>1816</v>
      </c>
      <c r="N53" s="74">
        <f t="shared" si="20"/>
        <v>2386</v>
      </c>
      <c r="O53" s="74">
        <f t="shared" si="20"/>
        <v>2658</v>
      </c>
      <c r="P53" s="74">
        <f t="shared" si="20"/>
        <v>1752</v>
      </c>
      <c r="Q53" s="74">
        <f t="shared" si="20"/>
        <v>2151</v>
      </c>
      <c r="R53" s="74">
        <f t="shared" si="20"/>
        <v>2145</v>
      </c>
      <c r="S53" s="74">
        <f t="shared" si="20"/>
        <v>1486</v>
      </c>
      <c r="T53" s="74">
        <f t="shared" si="20"/>
        <v>1523</v>
      </c>
      <c r="U53" s="74">
        <f t="shared" si="20"/>
        <v>1911</v>
      </c>
      <c r="V53" s="74">
        <f t="shared" si="20"/>
        <v>1915</v>
      </c>
      <c r="W53" s="74">
        <f t="shared" si="20"/>
        <v>2083</v>
      </c>
      <c r="X53" s="74">
        <f t="shared" si="20"/>
        <v>1928</v>
      </c>
      <c r="Y53" s="74">
        <f t="shared" si="20"/>
        <v>1577</v>
      </c>
      <c r="Z53" s="74">
        <f t="shared" si="20"/>
        <v>883</v>
      </c>
      <c r="AA53" s="74">
        <f t="shared" si="20"/>
        <v>550</v>
      </c>
      <c r="AB53" s="74">
        <f t="shared" si="20"/>
        <v>995</v>
      </c>
      <c r="AC53" s="74">
        <f t="shared" si="20"/>
        <v>1425</v>
      </c>
      <c r="AD53" s="75">
        <f t="shared" si="20"/>
        <v>2661</v>
      </c>
      <c r="AE53" s="75">
        <f>+AE46+AE47-AE52</f>
        <v>1663</v>
      </c>
      <c r="AF53" s="75">
        <f t="shared" ref="AF53:AG53" si="21">+AF46+AF47-AF52</f>
        <v>1663</v>
      </c>
      <c r="AG53" s="75">
        <f t="shared" si="21"/>
        <v>1163</v>
      </c>
    </row>
    <row r="54" spans="1:33" x14ac:dyDescent="0.25">
      <c r="A54" s="46"/>
      <c r="B54" s="5" t="s">
        <v>48</v>
      </c>
      <c r="C54" s="48">
        <v>0</v>
      </c>
      <c r="D54" s="48">
        <v>1071</v>
      </c>
      <c r="E54" s="48">
        <v>0</v>
      </c>
      <c r="F54" s="48">
        <v>904</v>
      </c>
      <c r="G54" s="48">
        <v>1183</v>
      </c>
      <c r="H54" s="48">
        <v>393</v>
      </c>
      <c r="I54" s="48">
        <v>1296</v>
      </c>
      <c r="J54" s="48">
        <v>873</v>
      </c>
      <c r="K54" s="48">
        <v>1257</v>
      </c>
      <c r="L54" s="48">
        <v>1127</v>
      </c>
      <c r="M54" s="48">
        <v>1359</v>
      </c>
      <c r="N54" s="48">
        <v>1692</v>
      </c>
      <c r="O54" s="48">
        <v>1331</v>
      </c>
      <c r="P54" s="48">
        <v>1036</v>
      </c>
      <c r="Q54" s="48">
        <v>1170</v>
      </c>
      <c r="R54" s="48">
        <v>923</v>
      </c>
      <c r="S54" s="48">
        <v>893</v>
      </c>
      <c r="T54" s="48">
        <v>718</v>
      </c>
      <c r="U54" s="48">
        <v>1415</v>
      </c>
      <c r="V54" s="48">
        <v>990</v>
      </c>
      <c r="W54" s="48">
        <v>1203</v>
      </c>
      <c r="X54" s="48">
        <v>1090</v>
      </c>
      <c r="Y54" s="48">
        <v>884</v>
      </c>
      <c r="Z54" s="48">
        <v>614</v>
      </c>
      <c r="AA54" s="30">
        <v>393</v>
      </c>
      <c r="AB54" s="30">
        <v>995</v>
      </c>
      <c r="AC54" s="30">
        <v>1251</v>
      </c>
      <c r="AD54" s="59">
        <v>2212</v>
      </c>
      <c r="AE54" s="59">
        <v>230</v>
      </c>
      <c r="AF54" s="59">
        <v>0</v>
      </c>
      <c r="AG54" s="59">
        <v>0</v>
      </c>
    </row>
    <row r="55" spans="1:33" x14ac:dyDescent="0.25">
      <c r="A55" s="46"/>
      <c r="B55" s="5" t="s">
        <v>25</v>
      </c>
      <c r="C55" s="30">
        <v>0</v>
      </c>
      <c r="D55" s="30">
        <v>0</v>
      </c>
      <c r="E55" s="76">
        <v>0</v>
      </c>
      <c r="F55" s="76">
        <v>689</v>
      </c>
      <c r="G55" s="76">
        <v>427</v>
      </c>
      <c r="H55" s="76">
        <v>652</v>
      </c>
      <c r="I55" s="76">
        <v>237</v>
      </c>
      <c r="J55" s="48">
        <v>553</v>
      </c>
      <c r="K55" s="48">
        <v>103</v>
      </c>
      <c r="L55" s="48">
        <v>103</v>
      </c>
      <c r="M55" s="48">
        <v>457</v>
      </c>
      <c r="N55" s="48">
        <v>694</v>
      </c>
      <c r="O55" s="48">
        <v>1327</v>
      </c>
      <c r="P55" s="48">
        <v>499</v>
      </c>
      <c r="Q55" s="48">
        <v>804</v>
      </c>
      <c r="R55" s="48">
        <v>1013</v>
      </c>
      <c r="S55" s="48">
        <v>593</v>
      </c>
      <c r="T55" s="48">
        <v>622</v>
      </c>
      <c r="U55" s="48">
        <v>291</v>
      </c>
      <c r="V55" s="48">
        <v>681</v>
      </c>
      <c r="W55" s="48">
        <v>790</v>
      </c>
      <c r="X55" s="48">
        <v>838</v>
      </c>
      <c r="Y55" s="48">
        <v>693</v>
      </c>
      <c r="Z55" s="48">
        <v>269</v>
      </c>
      <c r="AA55" s="30">
        <v>157</v>
      </c>
      <c r="AB55" s="30">
        <v>0</v>
      </c>
      <c r="AC55" s="30">
        <v>174</v>
      </c>
      <c r="AD55" s="59">
        <v>449</v>
      </c>
      <c r="AE55" s="59">
        <v>1433</v>
      </c>
      <c r="AF55" s="59">
        <v>0</v>
      </c>
      <c r="AG55" s="59">
        <v>0</v>
      </c>
    </row>
    <row r="56" spans="1:33" x14ac:dyDescent="0.25">
      <c r="A56" s="46"/>
      <c r="B56" s="5" t="s">
        <v>26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308</v>
      </c>
      <c r="J56" s="30">
        <v>0</v>
      </c>
      <c r="K56" s="30">
        <v>328</v>
      </c>
      <c r="L56" s="30">
        <v>325</v>
      </c>
      <c r="M56" s="30">
        <v>0</v>
      </c>
      <c r="N56" s="30">
        <v>0</v>
      </c>
      <c r="O56" s="30">
        <v>0</v>
      </c>
      <c r="P56" s="30">
        <v>217</v>
      </c>
      <c r="Q56" s="30">
        <v>177</v>
      </c>
      <c r="R56" s="30">
        <v>209</v>
      </c>
      <c r="S56" s="30">
        <v>0</v>
      </c>
      <c r="T56" s="30">
        <v>183</v>
      </c>
      <c r="U56" s="30">
        <v>205</v>
      </c>
      <c r="V56" s="30">
        <v>244</v>
      </c>
      <c r="W56" s="30">
        <v>90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59">
        <v>0</v>
      </c>
      <c r="AE56" s="59">
        <v>0</v>
      </c>
      <c r="AF56" s="59">
        <v>0</v>
      </c>
      <c r="AG56" s="59">
        <v>0</v>
      </c>
    </row>
    <row r="57" spans="1:33" x14ac:dyDescent="0.25">
      <c r="A57" s="46"/>
      <c r="B57" s="5" t="s">
        <v>44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59">
        <v>0</v>
      </c>
      <c r="AE57" s="59">
        <v>0</v>
      </c>
      <c r="AF57" s="59">
        <v>0</v>
      </c>
      <c r="AG57" s="59">
        <v>0</v>
      </c>
    </row>
    <row r="58" spans="1:33" ht="15.75" thickBot="1" x14ac:dyDescent="0.3">
      <c r="A58" s="60"/>
      <c r="B58" s="61" t="s">
        <v>45</v>
      </c>
      <c r="C58" s="77">
        <f t="shared" ref="C58:AG58" si="22">+C54+C55+C56+C57</f>
        <v>0</v>
      </c>
      <c r="D58" s="77">
        <f t="shared" si="22"/>
        <v>1071</v>
      </c>
      <c r="E58" s="78">
        <v>1071</v>
      </c>
      <c r="F58" s="77">
        <f t="shared" si="22"/>
        <v>1593</v>
      </c>
      <c r="G58" s="77">
        <f t="shared" si="22"/>
        <v>1610</v>
      </c>
      <c r="H58" s="77">
        <f t="shared" si="22"/>
        <v>1045</v>
      </c>
      <c r="I58" s="77">
        <f t="shared" si="22"/>
        <v>1841</v>
      </c>
      <c r="J58" s="77">
        <f t="shared" si="22"/>
        <v>1426</v>
      </c>
      <c r="K58" s="77">
        <f t="shared" si="22"/>
        <v>1688</v>
      </c>
      <c r="L58" s="78">
        <f t="shared" si="22"/>
        <v>1555</v>
      </c>
      <c r="M58" s="78">
        <f t="shared" si="22"/>
        <v>1816</v>
      </c>
      <c r="N58" s="77">
        <f t="shared" si="22"/>
        <v>2386</v>
      </c>
      <c r="O58" s="77">
        <f t="shared" si="22"/>
        <v>2658</v>
      </c>
      <c r="P58" s="77">
        <f t="shared" si="22"/>
        <v>1752</v>
      </c>
      <c r="Q58" s="77">
        <f t="shared" si="22"/>
        <v>2151</v>
      </c>
      <c r="R58" s="77">
        <f t="shared" si="22"/>
        <v>2145</v>
      </c>
      <c r="S58" s="78">
        <f t="shared" si="22"/>
        <v>1486</v>
      </c>
      <c r="T58" s="77">
        <f t="shared" si="22"/>
        <v>1523</v>
      </c>
      <c r="U58" s="77">
        <f t="shared" si="22"/>
        <v>1911</v>
      </c>
      <c r="V58" s="77">
        <f t="shared" si="22"/>
        <v>1915</v>
      </c>
      <c r="W58" s="77">
        <f t="shared" si="22"/>
        <v>2083</v>
      </c>
      <c r="X58" s="77">
        <f t="shared" si="22"/>
        <v>1928</v>
      </c>
      <c r="Y58" s="77">
        <f t="shared" si="22"/>
        <v>1577</v>
      </c>
      <c r="Z58" s="77">
        <f t="shared" si="22"/>
        <v>883</v>
      </c>
      <c r="AA58" s="77">
        <f t="shared" si="22"/>
        <v>550</v>
      </c>
      <c r="AB58" s="77">
        <f t="shared" si="22"/>
        <v>995</v>
      </c>
      <c r="AC58" s="77">
        <f t="shared" si="22"/>
        <v>1425</v>
      </c>
      <c r="AD58" s="79">
        <f t="shared" si="22"/>
        <v>2661</v>
      </c>
      <c r="AE58" s="79">
        <f t="shared" si="22"/>
        <v>1663</v>
      </c>
      <c r="AF58" s="79">
        <v>1163</v>
      </c>
      <c r="AG58" s="79">
        <f t="shared" si="22"/>
        <v>0</v>
      </c>
    </row>
    <row r="59" spans="1:33" ht="15.75" thickBot="1" x14ac:dyDescent="0.3">
      <c r="A59" s="65"/>
      <c r="B59" s="80"/>
      <c r="C59" s="81"/>
      <c r="D59" s="38"/>
      <c r="E59" s="82"/>
      <c r="F59" s="38"/>
      <c r="G59" s="38"/>
      <c r="H59" s="38"/>
      <c r="I59" s="38"/>
      <c r="J59" s="38"/>
      <c r="K59" s="38"/>
      <c r="L59" s="83"/>
      <c r="M59" s="83"/>
      <c r="N59" s="83"/>
      <c r="O59" s="83"/>
      <c r="P59" s="83"/>
      <c r="Q59" s="83"/>
      <c r="R59" s="38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39"/>
      <c r="AF59" s="39"/>
      <c r="AG59" s="39"/>
    </row>
    <row r="60" spans="1:33" x14ac:dyDescent="0.25">
      <c r="A60" s="85" t="s">
        <v>49</v>
      </c>
      <c r="B60" s="86" t="s">
        <v>50</v>
      </c>
      <c r="C60" s="87">
        <v>0</v>
      </c>
      <c r="D60" s="87"/>
      <c r="E60" s="87"/>
      <c r="F60" s="237">
        <v>221</v>
      </c>
      <c r="G60" s="237">
        <v>301</v>
      </c>
      <c r="H60" s="237">
        <v>320</v>
      </c>
      <c r="I60" s="237">
        <v>275</v>
      </c>
      <c r="J60" s="237">
        <v>329</v>
      </c>
      <c r="K60" s="237">
        <v>159</v>
      </c>
      <c r="L60" s="237"/>
      <c r="M60" s="237">
        <v>400</v>
      </c>
      <c r="N60" s="237">
        <v>339</v>
      </c>
      <c r="O60" s="237">
        <v>274</v>
      </c>
      <c r="P60" s="237">
        <v>355</v>
      </c>
      <c r="Q60" s="237">
        <v>341</v>
      </c>
      <c r="R60" s="237">
        <v>205</v>
      </c>
      <c r="S60" s="237"/>
      <c r="T60" s="237">
        <v>332</v>
      </c>
      <c r="U60" s="237">
        <v>392</v>
      </c>
      <c r="V60" s="237">
        <v>258</v>
      </c>
      <c r="W60" s="237">
        <v>279</v>
      </c>
      <c r="X60" s="237">
        <v>365</v>
      </c>
      <c r="Y60" s="237">
        <v>201</v>
      </c>
      <c r="Z60" s="237"/>
      <c r="AA60" s="237">
        <v>585</v>
      </c>
      <c r="AB60" s="237">
        <v>300</v>
      </c>
      <c r="AC60" s="237">
        <v>348</v>
      </c>
      <c r="AD60" s="237">
        <v>293</v>
      </c>
      <c r="AE60" s="237">
        <v>322</v>
      </c>
      <c r="AF60" s="237">
        <v>1187</v>
      </c>
      <c r="AG60" s="237"/>
    </row>
    <row r="61" spans="1:33" x14ac:dyDescent="0.25">
      <c r="A61" s="88"/>
      <c r="B61" s="86" t="s">
        <v>51</v>
      </c>
      <c r="C61" s="87">
        <v>0</v>
      </c>
      <c r="D61" s="87"/>
      <c r="E61" s="87"/>
      <c r="F61" s="237">
        <v>726</v>
      </c>
      <c r="G61" s="237">
        <v>1301</v>
      </c>
      <c r="H61" s="237">
        <v>1480</v>
      </c>
      <c r="I61" s="237">
        <v>1109</v>
      </c>
      <c r="J61" s="237">
        <v>1829</v>
      </c>
      <c r="K61" s="237">
        <v>745</v>
      </c>
      <c r="L61" s="237"/>
      <c r="M61" s="237">
        <v>2079</v>
      </c>
      <c r="N61" s="237">
        <v>1839</v>
      </c>
      <c r="O61" s="237">
        <v>1474</v>
      </c>
      <c r="P61" s="237">
        <v>1695</v>
      </c>
      <c r="Q61" s="237">
        <v>1374</v>
      </c>
      <c r="R61" s="237">
        <v>1125</v>
      </c>
      <c r="S61" s="237"/>
      <c r="T61" s="237">
        <v>2218</v>
      </c>
      <c r="U61" s="237">
        <v>1537</v>
      </c>
      <c r="V61" s="237">
        <v>1111</v>
      </c>
      <c r="W61" s="237">
        <v>1607</v>
      </c>
      <c r="X61" s="237">
        <v>1787</v>
      </c>
      <c r="Y61" s="237">
        <v>1211</v>
      </c>
      <c r="Z61" s="237"/>
      <c r="AA61" s="237">
        <v>3515</v>
      </c>
      <c r="AB61" s="237">
        <v>1544</v>
      </c>
      <c r="AC61" s="237">
        <v>1827</v>
      </c>
      <c r="AD61" s="237">
        <v>1945</v>
      </c>
      <c r="AE61" s="237">
        <v>2288</v>
      </c>
      <c r="AF61" s="237">
        <v>7480</v>
      </c>
      <c r="AG61" s="237"/>
    </row>
    <row r="62" spans="1:33" x14ac:dyDescent="0.25">
      <c r="A62" s="88"/>
      <c r="B62" s="86" t="s">
        <v>52</v>
      </c>
      <c r="C62" s="87">
        <v>0</v>
      </c>
      <c r="D62" s="87"/>
      <c r="E62" s="87"/>
      <c r="F62" s="237">
        <v>2</v>
      </c>
      <c r="G62" s="237">
        <v>85</v>
      </c>
      <c r="H62" s="237">
        <v>254</v>
      </c>
      <c r="I62" s="237">
        <v>205</v>
      </c>
      <c r="J62" s="237">
        <v>628</v>
      </c>
      <c r="K62" s="237">
        <v>37</v>
      </c>
      <c r="L62" s="237"/>
      <c r="M62" s="237">
        <v>343</v>
      </c>
      <c r="N62" s="237">
        <v>409</v>
      </c>
      <c r="O62" s="237">
        <v>275</v>
      </c>
      <c r="P62" s="237">
        <v>391</v>
      </c>
      <c r="Q62" s="237">
        <v>248</v>
      </c>
      <c r="R62" s="237">
        <v>179</v>
      </c>
      <c r="S62" s="237"/>
      <c r="T62" s="237">
        <v>1391</v>
      </c>
      <c r="U62" s="237">
        <v>506</v>
      </c>
      <c r="V62" s="237">
        <v>391</v>
      </c>
      <c r="W62" s="237">
        <v>667</v>
      </c>
      <c r="X62" s="237">
        <v>563</v>
      </c>
      <c r="Y62" s="237">
        <v>511</v>
      </c>
      <c r="Z62" s="237"/>
      <c r="AA62" s="237">
        <v>794</v>
      </c>
      <c r="AB62" s="237">
        <v>368</v>
      </c>
      <c r="AC62" s="237">
        <v>721</v>
      </c>
      <c r="AD62" s="237">
        <v>445</v>
      </c>
      <c r="AE62" s="237">
        <v>365</v>
      </c>
      <c r="AF62" s="237">
        <v>1874</v>
      </c>
      <c r="AG62" s="237"/>
    </row>
    <row r="63" spans="1:33" x14ac:dyDescent="0.25">
      <c r="A63" s="88"/>
      <c r="B63" s="86" t="s">
        <v>53</v>
      </c>
      <c r="C63" s="87">
        <v>0</v>
      </c>
      <c r="D63" s="87"/>
      <c r="E63" s="87"/>
      <c r="F63" s="237">
        <v>560</v>
      </c>
      <c r="G63" s="237">
        <v>698</v>
      </c>
      <c r="H63" s="237">
        <v>864</v>
      </c>
      <c r="I63" s="237">
        <v>590</v>
      </c>
      <c r="J63" s="237">
        <v>846</v>
      </c>
      <c r="K63" s="237">
        <v>342</v>
      </c>
      <c r="L63" s="237"/>
      <c r="M63" s="237">
        <v>1286</v>
      </c>
      <c r="N63" s="237">
        <v>1425</v>
      </c>
      <c r="O63" s="237">
        <v>914</v>
      </c>
      <c r="P63" s="237">
        <v>1288</v>
      </c>
      <c r="Q63" s="237">
        <v>1029</v>
      </c>
      <c r="R63" s="237">
        <v>901</v>
      </c>
      <c r="S63" s="237"/>
      <c r="T63" s="237">
        <v>766</v>
      </c>
      <c r="U63" s="237">
        <v>761</v>
      </c>
      <c r="V63" s="237">
        <v>517</v>
      </c>
      <c r="W63" s="237">
        <v>661</v>
      </c>
      <c r="X63" s="237">
        <v>966</v>
      </c>
      <c r="Y63" s="237">
        <v>495</v>
      </c>
      <c r="Z63" s="237"/>
      <c r="AA63" s="237">
        <v>1933</v>
      </c>
      <c r="AB63" s="237">
        <v>800</v>
      </c>
      <c r="AC63" s="237">
        <v>899</v>
      </c>
      <c r="AD63" s="237">
        <v>1238</v>
      </c>
      <c r="AE63" s="237">
        <v>1500</v>
      </c>
      <c r="AF63" s="237">
        <v>3781</v>
      </c>
      <c r="AG63" s="237"/>
    </row>
    <row r="64" spans="1:33" x14ac:dyDescent="0.25">
      <c r="A64" s="88"/>
      <c r="B64" s="89" t="s">
        <v>54</v>
      </c>
      <c r="C64" s="87">
        <v>0</v>
      </c>
      <c r="D64" s="87"/>
      <c r="E64" s="87"/>
      <c r="F64" s="237">
        <v>0</v>
      </c>
      <c r="G64" s="237">
        <v>0</v>
      </c>
      <c r="H64" s="237">
        <v>0</v>
      </c>
      <c r="I64" s="237">
        <v>0</v>
      </c>
      <c r="J64" s="237">
        <v>0</v>
      </c>
      <c r="K64" s="237">
        <v>0</v>
      </c>
      <c r="L64" s="237"/>
      <c r="M64" s="237">
        <v>0</v>
      </c>
      <c r="N64" s="237">
        <v>0</v>
      </c>
      <c r="O64" s="237">
        <v>0</v>
      </c>
      <c r="P64" s="237">
        <v>0</v>
      </c>
      <c r="Q64" s="237">
        <v>0</v>
      </c>
      <c r="R64" s="237">
        <v>0</v>
      </c>
      <c r="S64" s="237"/>
      <c r="T64" s="237">
        <v>0</v>
      </c>
      <c r="U64" s="237">
        <v>0</v>
      </c>
      <c r="V64" s="237">
        <v>0</v>
      </c>
      <c r="W64" s="237">
        <v>0</v>
      </c>
      <c r="X64" s="237">
        <v>0</v>
      </c>
      <c r="Y64" s="237">
        <v>0</v>
      </c>
      <c r="Z64" s="237"/>
      <c r="AA64" s="237">
        <v>0</v>
      </c>
      <c r="AB64" s="237">
        <v>0</v>
      </c>
      <c r="AC64" s="237">
        <v>0</v>
      </c>
      <c r="AD64" s="237">
        <v>0</v>
      </c>
      <c r="AE64" s="237">
        <v>0</v>
      </c>
      <c r="AF64" s="237">
        <v>0</v>
      </c>
      <c r="AG64" s="237"/>
    </row>
    <row r="65" spans="1:33" x14ac:dyDescent="0.25">
      <c r="A65" s="88"/>
      <c r="B65" s="90" t="s">
        <v>55</v>
      </c>
      <c r="C65" s="87">
        <v>0</v>
      </c>
      <c r="D65" s="87"/>
      <c r="E65" s="87"/>
      <c r="F65" s="237">
        <v>1</v>
      </c>
      <c r="G65" s="237">
        <v>9</v>
      </c>
      <c r="H65" s="237">
        <v>28</v>
      </c>
      <c r="I65" s="237">
        <v>26</v>
      </c>
      <c r="J65" s="237">
        <v>4</v>
      </c>
      <c r="K65" s="237">
        <v>22</v>
      </c>
      <c r="L65" s="237"/>
      <c r="M65" s="237">
        <v>23</v>
      </c>
      <c r="N65" s="237">
        <v>5</v>
      </c>
      <c r="O65" s="237">
        <v>12</v>
      </c>
      <c r="P65" s="237">
        <v>16</v>
      </c>
      <c r="Q65" s="237">
        <v>36</v>
      </c>
      <c r="R65" s="237">
        <v>45</v>
      </c>
      <c r="S65" s="237"/>
      <c r="T65" s="237">
        <v>61</v>
      </c>
      <c r="U65" s="237">
        <v>22</v>
      </c>
      <c r="V65" s="237">
        <v>7</v>
      </c>
      <c r="W65" s="237">
        <v>6</v>
      </c>
      <c r="X65" s="237">
        <v>22</v>
      </c>
      <c r="Y65" s="237">
        <v>43</v>
      </c>
      <c r="Z65" s="237"/>
      <c r="AA65" s="237">
        <v>4</v>
      </c>
      <c r="AB65" s="237">
        <v>64</v>
      </c>
      <c r="AC65" s="237">
        <v>29</v>
      </c>
      <c r="AD65" s="237">
        <v>29</v>
      </c>
      <c r="AE65" s="237">
        <v>22</v>
      </c>
      <c r="AF65" s="237">
        <v>5</v>
      </c>
      <c r="AG65" s="237"/>
    </row>
    <row r="66" spans="1:33" x14ac:dyDescent="0.25">
      <c r="A66" s="88"/>
      <c r="B66" s="90" t="s">
        <v>56</v>
      </c>
      <c r="C66" s="87">
        <v>0</v>
      </c>
      <c r="D66" s="87"/>
      <c r="E66" s="87"/>
      <c r="F66" s="237">
        <v>11</v>
      </c>
      <c r="G66" s="237">
        <v>98</v>
      </c>
      <c r="H66" s="237">
        <v>143</v>
      </c>
      <c r="I66" s="237">
        <v>172</v>
      </c>
      <c r="J66" s="237">
        <v>131</v>
      </c>
      <c r="K66" s="237">
        <v>143</v>
      </c>
      <c r="L66" s="237"/>
      <c r="M66" s="237">
        <v>427</v>
      </c>
      <c r="N66" s="237">
        <v>0</v>
      </c>
      <c r="O66" s="237">
        <v>273</v>
      </c>
      <c r="P66" s="237">
        <v>0</v>
      </c>
      <c r="Q66" s="237">
        <v>61</v>
      </c>
      <c r="R66" s="237">
        <v>0</v>
      </c>
      <c r="S66" s="237"/>
      <c r="T66" s="237">
        <v>0</v>
      </c>
      <c r="U66" s="237">
        <v>0</v>
      </c>
      <c r="V66" s="237">
        <v>0</v>
      </c>
      <c r="W66" s="237">
        <v>0</v>
      </c>
      <c r="X66" s="237">
        <v>0</v>
      </c>
      <c r="Y66" s="237">
        <v>0</v>
      </c>
      <c r="Z66" s="237"/>
      <c r="AA66" s="237">
        <v>221</v>
      </c>
      <c r="AB66" s="237">
        <v>25</v>
      </c>
      <c r="AC66" s="237">
        <v>0</v>
      </c>
      <c r="AD66" s="237">
        <v>0</v>
      </c>
      <c r="AE66" s="237">
        <v>0</v>
      </c>
      <c r="AF66" s="237">
        <v>0</v>
      </c>
      <c r="AG66" s="237"/>
    </row>
    <row r="67" spans="1:33" x14ac:dyDescent="0.25">
      <c r="A67" s="88"/>
      <c r="B67" s="90" t="s">
        <v>57</v>
      </c>
      <c r="C67" s="87">
        <v>0</v>
      </c>
      <c r="D67" s="87"/>
      <c r="E67" s="87"/>
      <c r="F67" s="237">
        <v>152</v>
      </c>
      <c r="G67" s="237">
        <v>411</v>
      </c>
      <c r="H67" s="237">
        <v>191</v>
      </c>
      <c r="I67" s="237">
        <v>116</v>
      </c>
      <c r="J67" s="237">
        <v>220</v>
      </c>
      <c r="K67" s="237">
        <v>201</v>
      </c>
      <c r="L67" s="237"/>
      <c r="M67" s="237"/>
      <c r="N67" s="237"/>
      <c r="O67" s="237"/>
      <c r="P67" s="237"/>
      <c r="Q67" s="237"/>
      <c r="R67" s="237"/>
      <c r="S67" s="237"/>
      <c r="T67" s="237">
        <v>0</v>
      </c>
      <c r="U67" s="237">
        <v>248</v>
      </c>
      <c r="V67" s="237">
        <v>196</v>
      </c>
      <c r="W67" s="237">
        <v>273</v>
      </c>
      <c r="X67" s="237">
        <v>236</v>
      </c>
      <c r="Y67" s="237">
        <v>162</v>
      </c>
      <c r="Z67" s="237"/>
      <c r="AA67" s="237">
        <v>563</v>
      </c>
      <c r="AB67" s="237">
        <v>287</v>
      </c>
      <c r="AC67" s="237">
        <v>178</v>
      </c>
      <c r="AD67" s="237">
        <v>233</v>
      </c>
      <c r="AE67" s="237">
        <v>401</v>
      </c>
      <c r="AF67" s="237">
        <v>1820</v>
      </c>
      <c r="AG67" s="237"/>
    </row>
    <row r="68" spans="1:33" ht="15.75" thickBot="1" x14ac:dyDescent="0.3">
      <c r="A68" s="37"/>
      <c r="B68" s="37"/>
      <c r="C68" s="37"/>
      <c r="D68" s="92"/>
      <c r="E68" s="92"/>
      <c r="F68" s="92"/>
      <c r="G68" s="92"/>
      <c r="H68" s="93"/>
      <c r="I68" s="92"/>
      <c r="J68" s="92"/>
      <c r="K68" s="92"/>
      <c r="L68" s="92"/>
      <c r="M68" s="92"/>
      <c r="N68" s="94"/>
      <c r="O68" s="94"/>
      <c r="P68" s="92"/>
      <c r="Q68" s="92"/>
      <c r="R68" s="92"/>
      <c r="S68" s="92"/>
      <c r="T68" s="92"/>
      <c r="U68" s="92"/>
      <c r="V68" s="94"/>
      <c r="W68" s="92"/>
      <c r="X68" s="92"/>
      <c r="Y68" s="92"/>
      <c r="Z68" s="92"/>
      <c r="AA68" s="92"/>
      <c r="AB68" s="92"/>
      <c r="AC68" s="94"/>
      <c r="AD68" s="95"/>
      <c r="AE68" s="39"/>
      <c r="AF68" s="39"/>
      <c r="AG68" s="39"/>
    </row>
    <row r="69" spans="1:33" x14ac:dyDescent="0.25">
      <c r="A69" s="96" t="s">
        <v>58</v>
      </c>
      <c r="B69" s="97" t="s">
        <v>59</v>
      </c>
      <c r="C69" s="238">
        <v>0</v>
      </c>
      <c r="D69" s="238">
        <v>1019</v>
      </c>
      <c r="E69" s="238">
        <v>0</v>
      </c>
      <c r="F69" s="238">
        <v>1129</v>
      </c>
      <c r="G69" s="238">
        <v>992</v>
      </c>
      <c r="H69" s="238">
        <v>3252</v>
      </c>
      <c r="I69" s="238">
        <v>1652</v>
      </c>
      <c r="J69" s="239">
        <v>1691</v>
      </c>
      <c r="K69" s="238">
        <v>1400</v>
      </c>
      <c r="L69" s="238">
        <v>0</v>
      </c>
      <c r="M69" s="238">
        <v>742</v>
      </c>
      <c r="N69" s="238">
        <v>1473</v>
      </c>
      <c r="O69" s="238">
        <v>1315</v>
      </c>
      <c r="P69" s="238">
        <v>1332</v>
      </c>
      <c r="Q69" s="239">
        <v>710</v>
      </c>
      <c r="R69" s="238">
        <v>1365</v>
      </c>
      <c r="S69" s="238">
        <v>0</v>
      </c>
      <c r="T69" s="238">
        <v>1020</v>
      </c>
      <c r="U69" s="238">
        <v>1238</v>
      </c>
      <c r="V69" s="238">
        <v>1230</v>
      </c>
      <c r="W69" s="238">
        <v>944</v>
      </c>
      <c r="X69" s="239">
        <v>1188</v>
      </c>
      <c r="Y69" s="238">
        <v>1727</v>
      </c>
      <c r="Z69" s="238">
        <v>0</v>
      </c>
      <c r="AA69" s="238">
        <v>1557</v>
      </c>
      <c r="AB69" s="238">
        <v>1248</v>
      </c>
      <c r="AC69" s="238">
        <v>1188</v>
      </c>
      <c r="AD69" s="240">
        <v>1162</v>
      </c>
      <c r="AE69" s="240">
        <v>1163</v>
      </c>
      <c r="AF69" s="238">
        <v>13</v>
      </c>
      <c r="AG69" s="238">
        <v>0</v>
      </c>
    </row>
    <row r="70" spans="1:33" x14ac:dyDescent="0.25">
      <c r="A70" s="8"/>
      <c r="B70" s="99" t="s">
        <v>60</v>
      </c>
      <c r="C70" s="238">
        <v>0</v>
      </c>
      <c r="D70" s="238">
        <v>9</v>
      </c>
      <c r="E70" s="238">
        <v>0</v>
      </c>
      <c r="F70" s="238">
        <v>14</v>
      </c>
      <c r="G70" s="238">
        <v>6</v>
      </c>
      <c r="H70" s="238">
        <v>3</v>
      </c>
      <c r="I70" s="238">
        <v>14</v>
      </c>
      <c r="J70" s="239">
        <v>4</v>
      </c>
      <c r="K70" s="238">
        <v>9</v>
      </c>
      <c r="L70" s="238">
        <v>0</v>
      </c>
      <c r="M70" s="238">
        <v>5</v>
      </c>
      <c r="N70" s="238">
        <v>39</v>
      </c>
      <c r="O70" s="238">
        <v>13</v>
      </c>
      <c r="P70" s="238">
        <v>11</v>
      </c>
      <c r="Q70" s="239">
        <v>8</v>
      </c>
      <c r="R70" s="238">
        <v>16</v>
      </c>
      <c r="S70" s="238">
        <v>0</v>
      </c>
      <c r="T70" s="238">
        <v>14</v>
      </c>
      <c r="U70" s="238">
        <v>8</v>
      </c>
      <c r="V70" s="238">
        <v>4</v>
      </c>
      <c r="W70" s="238">
        <v>4</v>
      </c>
      <c r="X70" s="239">
        <v>4</v>
      </c>
      <c r="Y70" s="238">
        <v>12</v>
      </c>
      <c r="Z70" s="238">
        <v>0</v>
      </c>
      <c r="AA70" s="238">
        <v>17</v>
      </c>
      <c r="AB70" s="238">
        <v>41</v>
      </c>
      <c r="AC70" s="238">
        <v>11</v>
      </c>
      <c r="AD70" s="240">
        <v>10</v>
      </c>
      <c r="AE70" s="240">
        <v>8</v>
      </c>
      <c r="AF70" s="238">
        <v>0</v>
      </c>
      <c r="AG70" s="238">
        <v>0</v>
      </c>
    </row>
    <row r="71" spans="1:33" x14ac:dyDescent="0.25">
      <c r="A71" s="8"/>
      <c r="B71" s="99" t="s">
        <v>61</v>
      </c>
      <c r="C71" s="241">
        <v>0</v>
      </c>
      <c r="D71" s="241">
        <v>1010</v>
      </c>
      <c r="E71" s="242">
        <v>0</v>
      </c>
      <c r="F71" s="243">
        <v>1115</v>
      </c>
      <c r="G71" s="241">
        <v>986</v>
      </c>
      <c r="H71" s="241">
        <v>3249</v>
      </c>
      <c r="I71" s="241">
        <v>1638</v>
      </c>
      <c r="J71" s="242">
        <v>1687</v>
      </c>
      <c r="K71" s="241">
        <v>1391</v>
      </c>
      <c r="L71" s="242">
        <v>0</v>
      </c>
      <c r="M71" s="241">
        <v>737</v>
      </c>
      <c r="N71" s="241">
        <v>1434</v>
      </c>
      <c r="O71" s="241">
        <v>1302</v>
      </c>
      <c r="P71" s="241">
        <v>1321</v>
      </c>
      <c r="Q71" s="242">
        <v>702</v>
      </c>
      <c r="R71" s="241">
        <v>1349</v>
      </c>
      <c r="S71" s="242">
        <v>0</v>
      </c>
      <c r="T71" s="241">
        <v>1006</v>
      </c>
      <c r="U71" s="241">
        <v>1230</v>
      </c>
      <c r="V71" s="241">
        <v>1226</v>
      </c>
      <c r="W71" s="241">
        <v>940</v>
      </c>
      <c r="X71" s="242">
        <v>1184</v>
      </c>
      <c r="Y71" s="241">
        <v>1715</v>
      </c>
      <c r="Z71" s="242">
        <v>0</v>
      </c>
      <c r="AA71" s="244">
        <v>1540</v>
      </c>
      <c r="AB71" s="241">
        <v>1207</v>
      </c>
      <c r="AC71" s="244">
        <v>1177</v>
      </c>
      <c r="AD71" s="245">
        <v>1152</v>
      </c>
      <c r="AE71" s="245">
        <v>1155</v>
      </c>
      <c r="AF71" s="241">
        <v>13</v>
      </c>
      <c r="AG71" s="241">
        <v>0</v>
      </c>
    </row>
    <row r="72" spans="1:33" x14ac:dyDescent="0.25">
      <c r="A72" s="8"/>
      <c r="B72" s="99" t="s">
        <v>62</v>
      </c>
      <c r="C72" s="238">
        <v>0</v>
      </c>
      <c r="D72" s="238">
        <v>1019</v>
      </c>
      <c r="E72" s="238">
        <v>0</v>
      </c>
      <c r="F72" s="238">
        <v>1129</v>
      </c>
      <c r="G72" s="238">
        <v>992</v>
      </c>
      <c r="H72" s="238">
        <v>3252</v>
      </c>
      <c r="I72" s="238">
        <v>1652</v>
      </c>
      <c r="J72" s="239">
        <v>1691</v>
      </c>
      <c r="K72" s="238">
        <v>1400</v>
      </c>
      <c r="L72" s="238">
        <v>0</v>
      </c>
      <c r="M72" s="238">
        <v>742</v>
      </c>
      <c r="N72" s="238">
        <v>1473</v>
      </c>
      <c r="O72" s="238">
        <v>1315</v>
      </c>
      <c r="P72" s="238">
        <v>1332</v>
      </c>
      <c r="Q72" s="239">
        <v>710</v>
      </c>
      <c r="R72" s="238">
        <v>1365</v>
      </c>
      <c r="S72" s="238">
        <v>0</v>
      </c>
      <c r="T72" s="238">
        <v>1020</v>
      </c>
      <c r="U72" s="238">
        <v>1238</v>
      </c>
      <c r="V72" s="238">
        <v>1230</v>
      </c>
      <c r="W72" s="238">
        <v>944</v>
      </c>
      <c r="X72" s="239">
        <v>1188</v>
      </c>
      <c r="Y72" s="238">
        <v>1727</v>
      </c>
      <c r="Z72" s="238">
        <v>0</v>
      </c>
      <c r="AA72" s="238">
        <v>1557</v>
      </c>
      <c r="AB72" s="238">
        <v>1248</v>
      </c>
      <c r="AC72" s="238">
        <v>1188</v>
      </c>
      <c r="AD72" s="240">
        <v>1162</v>
      </c>
      <c r="AE72" s="240">
        <v>1163</v>
      </c>
      <c r="AF72" s="238">
        <v>13</v>
      </c>
      <c r="AG72" s="238">
        <v>0</v>
      </c>
    </row>
    <row r="73" spans="1:33" x14ac:dyDescent="0.25">
      <c r="A73" s="8"/>
      <c r="B73" s="99" t="s">
        <v>63</v>
      </c>
      <c r="C73" s="238">
        <v>0</v>
      </c>
      <c r="D73" s="238">
        <v>96951</v>
      </c>
      <c r="E73" s="238">
        <v>0</v>
      </c>
      <c r="F73" s="238">
        <v>104867</v>
      </c>
      <c r="G73" s="238">
        <v>79084</v>
      </c>
      <c r="H73" s="238">
        <v>75992</v>
      </c>
      <c r="I73" s="238">
        <v>127003</v>
      </c>
      <c r="J73" s="239">
        <v>167141</v>
      </c>
      <c r="K73" s="238">
        <v>87257</v>
      </c>
      <c r="L73" s="238">
        <v>0</v>
      </c>
      <c r="M73" s="238">
        <v>16628</v>
      </c>
      <c r="N73" s="238">
        <v>120192</v>
      </c>
      <c r="O73" s="238">
        <v>108314</v>
      </c>
      <c r="P73" s="238">
        <v>102468</v>
      </c>
      <c r="Q73" s="239">
        <v>97107</v>
      </c>
      <c r="R73" s="238">
        <v>91990</v>
      </c>
      <c r="S73" s="238">
        <v>0</v>
      </c>
      <c r="T73" s="238">
        <v>69476</v>
      </c>
      <c r="U73" s="238">
        <v>148394</v>
      </c>
      <c r="V73" s="238">
        <v>85154</v>
      </c>
      <c r="W73" s="238">
        <v>114292</v>
      </c>
      <c r="X73" s="239">
        <v>77892</v>
      </c>
      <c r="Y73" s="238">
        <v>177971</v>
      </c>
      <c r="Z73" s="238">
        <v>0</v>
      </c>
      <c r="AA73" s="238">
        <v>79717</v>
      </c>
      <c r="AB73" s="238">
        <v>65084</v>
      </c>
      <c r="AC73" s="238">
        <v>122118</v>
      </c>
      <c r="AD73" s="240">
        <v>109984</v>
      </c>
      <c r="AE73" s="240">
        <v>111319</v>
      </c>
      <c r="AF73" s="238">
        <v>95</v>
      </c>
      <c r="AG73" s="238">
        <v>0</v>
      </c>
    </row>
    <row r="74" spans="1:33" x14ac:dyDescent="0.25">
      <c r="A74" s="8"/>
      <c r="B74" s="99" t="s">
        <v>64</v>
      </c>
      <c r="C74" s="238">
        <v>0</v>
      </c>
      <c r="D74" s="238">
        <v>821</v>
      </c>
      <c r="E74" s="238">
        <v>0</v>
      </c>
      <c r="F74" s="238">
        <v>985</v>
      </c>
      <c r="G74" s="238">
        <v>855</v>
      </c>
      <c r="H74" s="238">
        <v>31</v>
      </c>
      <c r="I74" s="238">
        <v>419</v>
      </c>
      <c r="J74" s="239">
        <v>378</v>
      </c>
      <c r="K74" s="238">
        <v>883</v>
      </c>
      <c r="L74" s="238">
        <v>0</v>
      </c>
      <c r="M74" s="238">
        <v>59</v>
      </c>
      <c r="N74" s="238">
        <v>3247</v>
      </c>
      <c r="O74" s="238">
        <v>1490</v>
      </c>
      <c r="P74" s="238">
        <v>5402</v>
      </c>
      <c r="Q74" s="239">
        <v>1353</v>
      </c>
      <c r="R74" s="238">
        <v>2618</v>
      </c>
      <c r="S74" s="238">
        <v>0</v>
      </c>
      <c r="T74" s="238">
        <v>765</v>
      </c>
      <c r="U74" s="238">
        <v>144</v>
      </c>
      <c r="V74" s="238">
        <v>596</v>
      </c>
      <c r="W74" s="238">
        <v>285</v>
      </c>
      <c r="X74" s="239">
        <v>149</v>
      </c>
      <c r="Y74" s="238">
        <v>4125</v>
      </c>
      <c r="Z74" s="238">
        <v>0</v>
      </c>
      <c r="AA74" s="238">
        <v>614</v>
      </c>
      <c r="AB74" s="238">
        <v>2784</v>
      </c>
      <c r="AC74" s="238">
        <v>1141</v>
      </c>
      <c r="AD74" s="240">
        <v>2684</v>
      </c>
      <c r="AE74" s="240">
        <v>1302</v>
      </c>
      <c r="AF74" s="238">
        <v>0</v>
      </c>
      <c r="AG74" s="238">
        <v>0</v>
      </c>
    </row>
    <row r="75" spans="1:33" x14ac:dyDescent="0.25">
      <c r="A75" s="8"/>
      <c r="B75" s="99" t="s">
        <v>65</v>
      </c>
      <c r="C75" s="238">
        <v>0</v>
      </c>
      <c r="D75" s="238">
        <v>9</v>
      </c>
      <c r="E75" s="238">
        <v>0</v>
      </c>
      <c r="F75" s="238">
        <v>14</v>
      </c>
      <c r="G75" s="238">
        <v>6</v>
      </c>
      <c r="H75" s="238">
        <v>3</v>
      </c>
      <c r="I75" s="238">
        <v>14</v>
      </c>
      <c r="J75" s="239">
        <v>4</v>
      </c>
      <c r="K75" s="238">
        <v>3</v>
      </c>
      <c r="L75" s="238">
        <v>0</v>
      </c>
      <c r="M75" s="238">
        <v>5</v>
      </c>
      <c r="N75" s="238">
        <v>39</v>
      </c>
      <c r="O75" s="238">
        <v>13</v>
      </c>
      <c r="P75" s="238">
        <v>11</v>
      </c>
      <c r="Q75" s="239">
        <v>8</v>
      </c>
      <c r="R75" s="238">
        <v>16</v>
      </c>
      <c r="S75" s="238">
        <v>0</v>
      </c>
      <c r="T75" s="238">
        <v>14</v>
      </c>
      <c r="U75" s="238">
        <v>8</v>
      </c>
      <c r="V75" s="238">
        <v>4</v>
      </c>
      <c r="W75" s="238">
        <v>4</v>
      </c>
      <c r="X75" s="239">
        <v>4</v>
      </c>
      <c r="Y75" s="238">
        <v>12</v>
      </c>
      <c r="Z75" s="238">
        <v>0</v>
      </c>
      <c r="AA75" s="238">
        <v>17</v>
      </c>
      <c r="AB75" s="238">
        <v>41</v>
      </c>
      <c r="AC75" s="238">
        <v>11</v>
      </c>
      <c r="AD75" s="240">
        <v>0</v>
      </c>
      <c r="AE75" s="240">
        <v>0</v>
      </c>
      <c r="AF75" s="238">
        <v>0</v>
      </c>
      <c r="AG75" s="238">
        <v>0</v>
      </c>
    </row>
    <row r="76" spans="1:33" x14ac:dyDescent="0.25">
      <c r="A76" s="8"/>
      <c r="B76" s="99" t="s">
        <v>66</v>
      </c>
      <c r="C76" s="238">
        <v>0</v>
      </c>
      <c r="D76" s="238">
        <v>0</v>
      </c>
      <c r="E76" s="238">
        <v>0</v>
      </c>
      <c r="F76" s="238">
        <v>0</v>
      </c>
      <c r="G76" s="238">
        <v>0</v>
      </c>
      <c r="H76" s="238">
        <v>0</v>
      </c>
      <c r="I76" s="238">
        <v>0</v>
      </c>
      <c r="J76" s="239">
        <v>0</v>
      </c>
      <c r="K76" s="238">
        <v>6</v>
      </c>
      <c r="L76" s="238">
        <v>0</v>
      </c>
      <c r="M76" s="238">
        <v>0</v>
      </c>
      <c r="N76" s="238">
        <v>0</v>
      </c>
      <c r="O76" s="238">
        <v>0</v>
      </c>
      <c r="P76" s="238">
        <v>0</v>
      </c>
      <c r="Q76" s="239">
        <v>0</v>
      </c>
      <c r="R76" s="238">
        <v>0</v>
      </c>
      <c r="S76" s="238">
        <v>0</v>
      </c>
      <c r="T76" s="238">
        <v>0</v>
      </c>
      <c r="U76" s="238">
        <v>0</v>
      </c>
      <c r="V76" s="238">
        <v>0</v>
      </c>
      <c r="W76" s="238">
        <v>0</v>
      </c>
      <c r="X76" s="239">
        <v>0</v>
      </c>
      <c r="Y76" s="238">
        <v>0</v>
      </c>
      <c r="Z76" s="238">
        <v>0</v>
      </c>
      <c r="AA76" s="238">
        <v>0</v>
      </c>
      <c r="AB76" s="238">
        <v>0</v>
      </c>
      <c r="AC76" s="238">
        <v>0</v>
      </c>
      <c r="AD76" s="240">
        <v>10</v>
      </c>
      <c r="AE76" s="240">
        <v>8</v>
      </c>
      <c r="AF76" s="238">
        <v>0</v>
      </c>
      <c r="AG76" s="238">
        <v>0</v>
      </c>
    </row>
    <row r="77" spans="1:33" x14ac:dyDescent="0.25">
      <c r="A77" s="8"/>
      <c r="B77" s="99" t="s">
        <v>67</v>
      </c>
      <c r="C77" s="246" t="e">
        <f>C73/C72</f>
        <v>#DIV/0!</v>
      </c>
      <c r="D77" s="246">
        <f>D73/D72</f>
        <v>95.143277723258095</v>
      </c>
      <c r="E77" s="247">
        <v>0</v>
      </c>
      <c r="F77" s="246">
        <f t="shared" ref="F77:K77" si="23">F73/F72</f>
        <v>92.884853852967225</v>
      </c>
      <c r="G77" s="246">
        <f t="shared" si="23"/>
        <v>79.721774193548384</v>
      </c>
      <c r="H77" s="246">
        <f t="shared" si="23"/>
        <v>23.367773677736778</v>
      </c>
      <c r="I77" s="246">
        <f t="shared" si="23"/>
        <v>76.878329297820827</v>
      </c>
      <c r="J77" s="246">
        <f t="shared" si="23"/>
        <v>98.841513897102303</v>
      </c>
      <c r="K77" s="246">
        <f t="shared" si="23"/>
        <v>62.326428571428572</v>
      </c>
      <c r="L77" s="247">
        <v>0</v>
      </c>
      <c r="M77" s="246">
        <f t="shared" ref="M77:T77" si="24">M73/M72</f>
        <v>22.409703504043126</v>
      </c>
      <c r="N77" s="246">
        <f t="shared" si="24"/>
        <v>81.596741344195522</v>
      </c>
      <c r="O77" s="246">
        <f t="shared" si="24"/>
        <v>82.368060836501897</v>
      </c>
      <c r="P77" s="246">
        <f t="shared" si="24"/>
        <v>76.927927927927925</v>
      </c>
      <c r="Q77" s="246">
        <f t="shared" si="24"/>
        <v>136.77042253521128</v>
      </c>
      <c r="R77" s="246">
        <f t="shared" si="24"/>
        <v>67.391941391941387</v>
      </c>
      <c r="S77" s="247" t="e">
        <f t="shared" si="24"/>
        <v>#DIV/0!</v>
      </c>
      <c r="T77" s="246">
        <f t="shared" si="24"/>
        <v>68.113725490196074</v>
      </c>
      <c r="U77" s="246">
        <v>0</v>
      </c>
      <c r="V77" s="246">
        <f>V73/V72</f>
        <v>69.230894308943093</v>
      </c>
      <c r="W77" s="246">
        <f>W73/W72</f>
        <v>121.07203389830508</v>
      </c>
      <c r="X77" s="246">
        <f>X70/X69</f>
        <v>3.3670033670033669E-3</v>
      </c>
      <c r="Y77" s="246">
        <f>Y73/Y72</f>
        <v>103.05211349160393</v>
      </c>
      <c r="Z77" s="247">
        <v>0</v>
      </c>
      <c r="AA77" s="246">
        <f>AA73/AA72</f>
        <v>51.199100834938989</v>
      </c>
      <c r="AB77" s="246">
        <f>AB73/AB72</f>
        <v>52.150641025641029</v>
      </c>
      <c r="AC77" s="30">
        <v>0</v>
      </c>
      <c r="AD77" s="246">
        <f>AD73/AD72</f>
        <v>94.650602409638552</v>
      </c>
      <c r="AE77" s="246">
        <f>AE73/AE72</f>
        <v>95.717110920034401</v>
      </c>
      <c r="AF77" s="246">
        <f>AF73/AF72</f>
        <v>7.3076923076923075</v>
      </c>
      <c r="AG77" s="246" t="e">
        <f>AG73/AG72</f>
        <v>#DIV/0!</v>
      </c>
    </row>
    <row r="78" spans="1:33" ht="15.75" thickBot="1" x14ac:dyDescent="0.3">
      <c r="A78" s="31"/>
      <c r="B78" s="106" t="s">
        <v>68</v>
      </c>
      <c r="C78" s="107">
        <v>0.998</v>
      </c>
      <c r="D78" s="107">
        <v>0.998</v>
      </c>
      <c r="E78" s="108">
        <v>0</v>
      </c>
      <c r="F78" s="109">
        <v>0.998</v>
      </c>
      <c r="G78" s="107">
        <v>0.998</v>
      </c>
      <c r="H78" s="109">
        <v>0.998</v>
      </c>
      <c r="I78" s="107">
        <v>0.998</v>
      </c>
      <c r="J78" s="107">
        <v>0.998</v>
      </c>
      <c r="K78" s="107">
        <v>0.998</v>
      </c>
      <c r="L78" s="108">
        <v>0</v>
      </c>
      <c r="M78" s="107">
        <v>0.998</v>
      </c>
      <c r="N78" s="107">
        <v>0</v>
      </c>
      <c r="O78" s="107">
        <v>0</v>
      </c>
      <c r="P78" s="107">
        <v>0.998</v>
      </c>
      <c r="Q78" s="107">
        <v>0.998</v>
      </c>
      <c r="R78" s="107">
        <v>0.998</v>
      </c>
      <c r="S78" s="108">
        <v>0</v>
      </c>
      <c r="T78" s="107">
        <v>0.998</v>
      </c>
      <c r="U78" s="107">
        <v>0</v>
      </c>
      <c r="V78" s="107">
        <v>0.998</v>
      </c>
      <c r="W78" s="107">
        <v>0.998</v>
      </c>
      <c r="X78" s="107">
        <v>0.998</v>
      </c>
      <c r="Y78" s="107">
        <v>0.998</v>
      </c>
      <c r="Z78" s="108">
        <v>0</v>
      </c>
      <c r="AA78" s="110">
        <v>0.998</v>
      </c>
      <c r="AB78" s="107">
        <v>0.998</v>
      </c>
      <c r="AC78" s="110">
        <v>0.998</v>
      </c>
      <c r="AD78" s="107">
        <v>0.998</v>
      </c>
      <c r="AE78" s="107">
        <v>0.998</v>
      </c>
      <c r="AF78" s="107">
        <v>0.998</v>
      </c>
      <c r="AG78" s="107">
        <v>0.998</v>
      </c>
    </row>
    <row r="79" spans="1:33" ht="15.75" thickBot="1" x14ac:dyDescent="0.3">
      <c r="A79" s="37"/>
      <c r="B79" s="37"/>
      <c r="C79" s="37"/>
      <c r="D79" s="37"/>
      <c r="E79" s="111"/>
      <c r="F79" s="112"/>
      <c r="G79" s="37"/>
      <c r="H79" s="112"/>
      <c r="I79" s="37"/>
      <c r="J79" s="37"/>
      <c r="K79" s="37"/>
      <c r="L79" s="111"/>
      <c r="M79" s="37"/>
      <c r="N79" s="37"/>
      <c r="O79" s="37"/>
      <c r="P79" s="37"/>
      <c r="Q79" s="37"/>
      <c r="R79" s="37"/>
      <c r="S79" s="111"/>
      <c r="T79" s="37"/>
      <c r="U79" s="37"/>
      <c r="V79" s="37"/>
      <c r="W79" s="37"/>
      <c r="X79" s="37"/>
      <c r="Y79" s="37"/>
      <c r="Z79" s="111"/>
      <c r="AA79" s="38"/>
      <c r="AB79" s="37"/>
      <c r="AC79" s="38"/>
      <c r="AD79" s="37"/>
      <c r="AE79" s="39"/>
      <c r="AF79" s="39"/>
      <c r="AG79" s="39"/>
    </row>
    <row r="80" spans="1:33" x14ac:dyDescent="0.25">
      <c r="A80" s="40" t="s">
        <v>69</v>
      </c>
      <c r="B80" s="113" t="s">
        <v>70</v>
      </c>
      <c r="C80" s="248">
        <v>0</v>
      </c>
      <c r="D80" s="116">
        <v>65</v>
      </c>
      <c r="E80" s="116">
        <v>0</v>
      </c>
      <c r="F80" s="116">
        <v>420</v>
      </c>
      <c r="G80" s="116">
        <v>752</v>
      </c>
      <c r="H80" s="116">
        <v>676</v>
      </c>
      <c r="I80" s="116">
        <v>592</v>
      </c>
      <c r="J80" s="116">
        <v>717</v>
      </c>
      <c r="K80" s="116">
        <v>328</v>
      </c>
      <c r="L80" s="116">
        <v>0</v>
      </c>
      <c r="M80" s="116">
        <v>906</v>
      </c>
      <c r="N80" s="116">
        <v>809</v>
      </c>
      <c r="O80" s="116">
        <v>608</v>
      </c>
      <c r="P80" s="116">
        <v>887</v>
      </c>
      <c r="Q80" s="116">
        <v>858</v>
      </c>
      <c r="R80" s="116">
        <v>723</v>
      </c>
      <c r="S80" s="116">
        <v>0</v>
      </c>
      <c r="T80" s="116">
        <v>1236</v>
      </c>
      <c r="U80" s="116">
        <v>969</v>
      </c>
      <c r="V80" s="116">
        <v>664</v>
      </c>
      <c r="W80" s="116">
        <v>878</v>
      </c>
      <c r="X80" s="116">
        <v>884</v>
      </c>
      <c r="Y80" s="116">
        <v>695</v>
      </c>
      <c r="Z80" s="116">
        <v>0</v>
      </c>
      <c r="AA80" s="116">
        <v>1530</v>
      </c>
      <c r="AB80" s="116">
        <v>748</v>
      </c>
      <c r="AC80" s="116">
        <v>992</v>
      </c>
      <c r="AD80" s="249">
        <v>990</v>
      </c>
      <c r="AE80" s="249">
        <v>720</v>
      </c>
      <c r="AF80" s="249">
        <v>2991</v>
      </c>
      <c r="AG80" s="249">
        <v>0</v>
      </c>
    </row>
    <row r="81" spans="1:33" x14ac:dyDescent="0.25">
      <c r="A81" s="46"/>
      <c r="B81" s="118" t="s">
        <v>71</v>
      </c>
      <c r="C81" s="250">
        <v>0</v>
      </c>
      <c r="D81" s="121">
        <v>365</v>
      </c>
      <c r="E81" s="121">
        <v>0</v>
      </c>
      <c r="F81" s="121">
        <v>1301</v>
      </c>
      <c r="G81" s="121">
        <v>2163</v>
      </c>
      <c r="H81" s="121">
        <v>2120</v>
      </c>
      <c r="I81" s="121">
        <v>1763</v>
      </c>
      <c r="J81" s="121">
        <v>1930</v>
      </c>
      <c r="K81" s="121">
        <v>1255</v>
      </c>
      <c r="L81" s="121">
        <v>0</v>
      </c>
      <c r="M81" s="121">
        <v>3281</v>
      </c>
      <c r="N81" s="121">
        <v>2558</v>
      </c>
      <c r="O81" s="121">
        <v>1532</v>
      </c>
      <c r="P81" s="121">
        <v>3061</v>
      </c>
      <c r="Q81" s="121">
        <v>2720</v>
      </c>
      <c r="R81" s="121">
        <v>2786</v>
      </c>
      <c r="S81" s="121">
        <v>0</v>
      </c>
      <c r="T81" s="121">
        <v>4214</v>
      </c>
      <c r="U81" s="121">
        <v>2940</v>
      </c>
      <c r="V81" s="121">
        <v>2407</v>
      </c>
      <c r="W81" s="121">
        <v>2630</v>
      </c>
      <c r="X81" s="121">
        <v>2522</v>
      </c>
      <c r="Y81" s="121">
        <v>2574</v>
      </c>
      <c r="Z81" s="121">
        <v>0</v>
      </c>
      <c r="AA81" s="121">
        <v>4778</v>
      </c>
      <c r="AB81" s="121">
        <v>2342</v>
      </c>
      <c r="AC81" s="121">
        <v>3202</v>
      </c>
      <c r="AD81" s="251">
        <v>3326</v>
      </c>
      <c r="AE81" s="251">
        <v>2833</v>
      </c>
      <c r="AF81" s="251">
        <v>8940</v>
      </c>
      <c r="AG81" s="251">
        <v>0</v>
      </c>
    </row>
    <row r="82" spans="1:33" x14ac:dyDescent="0.25">
      <c r="A82" s="46"/>
      <c r="B82" s="118" t="s">
        <v>72</v>
      </c>
      <c r="C82" s="250">
        <v>0</v>
      </c>
      <c r="D82" s="121">
        <v>22920</v>
      </c>
      <c r="E82" s="121">
        <v>0</v>
      </c>
      <c r="F82" s="121">
        <v>43024</v>
      </c>
      <c r="G82" s="121">
        <v>73880</v>
      </c>
      <c r="H82" s="121">
        <v>62145</v>
      </c>
      <c r="I82" s="121">
        <v>54492</v>
      </c>
      <c r="J82" s="121">
        <v>99402</v>
      </c>
      <c r="K82" s="121">
        <v>26691</v>
      </c>
      <c r="L82" s="121">
        <v>0</v>
      </c>
      <c r="M82" s="121">
        <v>63633</v>
      </c>
      <c r="N82" s="121">
        <v>78311</v>
      </c>
      <c r="O82" s="121">
        <v>68861</v>
      </c>
      <c r="P82" s="121">
        <v>80017</v>
      </c>
      <c r="Q82" s="121">
        <v>95177</v>
      </c>
      <c r="R82" s="121">
        <v>54199</v>
      </c>
      <c r="S82" s="121">
        <v>0</v>
      </c>
      <c r="T82" s="121">
        <v>129172</v>
      </c>
      <c r="U82" s="121">
        <v>69625</v>
      </c>
      <c r="V82" s="121">
        <v>70182</v>
      </c>
      <c r="W82" s="121">
        <v>134752</v>
      </c>
      <c r="X82" s="121">
        <v>82324</v>
      </c>
      <c r="Y82" s="121">
        <v>68981</v>
      </c>
      <c r="Z82" s="121">
        <v>0</v>
      </c>
      <c r="AA82" s="121">
        <v>178116</v>
      </c>
      <c r="AB82" s="121">
        <v>83804</v>
      </c>
      <c r="AC82" s="121">
        <v>103704</v>
      </c>
      <c r="AD82" s="251">
        <v>162266</v>
      </c>
      <c r="AE82" s="251">
        <v>124533</v>
      </c>
      <c r="AF82" s="251">
        <v>376214</v>
      </c>
      <c r="AG82" s="251">
        <v>0</v>
      </c>
    </row>
    <row r="83" spans="1:33" ht="15.75" thickBot="1" x14ac:dyDescent="0.3">
      <c r="A83" s="60"/>
      <c r="B83" s="123" t="s">
        <v>73</v>
      </c>
      <c r="C83" s="252">
        <v>0</v>
      </c>
      <c r="D83" s="253">
        <v>34307669.550000004</v>
      </c>
      <c r="E83" s="253">
        <v>0</v>
      </c>
      <c r="F83" s="253">
        <v>67541052.00999999</v>
      </c>
      <c r="G83" s="253">
        <v>121954031.62999998</v>
      </c>
      <c r="H83" s="253">
        <v>154984527.77000004</v>
      </c>
      <c r="I83" s="253">
        <v>125065651.71000007</v>
      </c>
      <c r="J83" s="253">
        <v>211750448.95000005</v>
      </c>
      <c r="K83" s="253">
        <v>110505883.10000002</v>
      </c>
      <c r="L83" s="253">
        <v>0</v>
      </c>
      <c r="M83" s="253">
        <v>146572782.64999992</v>
      </c>
      <c r="N83" s="253">
        <v>192670117.78000012</v>
      </c>
      <c r="O83" s="253">
        <v>124411488.98999998</v>
      </c>
      <c r="P83" s="253">
        <v>218440855.00999987</v>
      </c>
      <c r="Q83" s="253">
        <v>178972335.11000001</v>
      </c>
      <c r="R83" s="253">
        <v>151885093.24000001</v>
      </c>
      <c r="S83" s="253">
        <v>0</v>
      </c>
      <c r="T83" s="253">
        <v>172468383.34000009</v>
      </c>
      <c r="U83" s="253">
        <v>144249400.25000006</v>
      </c>
      <c r="V83" s="253">
        <v>191176209.40000001</v>
      </c>
      <c r="W83" s="253">
        <v>157957250.97</v>
      </c>
      <c r="X83" s="253">
        <v>211904433.94999996</v>
      </c>
      <c r="Y83" s="253">
        <v>141544748.79999998</v>
      </c>
      <c r="Z83" s="253">
        <v>0</v>
      </c>
      <c r="AA83" s="253">
        <v>265241708.1099999</v>
      </c>
      <c r="AB83" s="253">
        <v>184691608.05000001</v>
      </c>
      <c r="AC83" s="253">
        <v>205347804.68000007</v>
      </c>
      <c r="AD83" s="254">
        <v>260095763.61000007</v>
      </c>
      <c r="AE83" s="254">
        <v>182893693.97</v>
      </c>
      <c r="AF83" s="254">
        <v>668953705.71999836</v>
      </c>
      <c r="AG83" s="254">
        <v>0</v>
      </c>
    </row>
    <row r="84" spans="1:33" x14ac:dyDescent="0.25">
      <c r="A84" s="128" t="s">
        <v>74</v>
      </c>
      <c r="B84" s="113" t="s">
        <v>70</v>
      </c>
      <c r="C84" s="255">
        <v>0</v>
      </c>
      <c r="D84" s="256">
        <v>55</v>
      </c>
      <c r="E84" s="257">
        <v>0</v>
      </c>
      <c r="F84" s="257">
        <v>353</v>
      </c>
      <c r="G84" s="257">
        <v>538</v>
      </c>
      <c r="H84" s="257">
        <v>481</v>
      </c>
      <c r="I84" s="257">
        <v>414</v>
      </c>
      <c r="J84" s="257">
        <v>550</v>
      </c>
      <c r="K84" s="257">
        <v>180</v>
      </c>
      <c r="L84" s="257">
        <v>0</v>
      </c>
      <c r="M84" s="257">
        <v>781</v>
      </c>
      <c r="N84" s="257">
        <v>560</v>
      </c>
      <c r="O84" s="257">
        <v>362</v>
      </c>
      <c r="P84" s="257">
        <v>568</v>
      </c>
      <c r="Q84" s="257">
        <v>573</v>
      </c>
      <c r="R84" s="257">
        <v>517</v>
      </c>
      <c r="S84" s="257">
        <v>0</v>
      </c>
      <c r="T84" s="257">
        <v>1040</v>
      </c>
      <c r="U84" s="257">
        <v>761</v>
      </c>
      <c r="V84" s="257">
        <v>445</v>
      </c>
      <c r="W84" s="257">
        <v>616</v>
      </c>
      <c r="X84" s="257">
        <v>546</v>
      </c>
      <c r="Y84" s="257">
        <v>467</v>
      </c>
      <c r="Z84" s="257">
        <v>0</v>
      </c>
      <c r="AA84" s="257">
        <v>1074</v>
      </c>
      <c r="AB84" s="257">
        <v>555</v>
      </c>
      <c r="AC84" s="257">
        <v>673</v>
      </c>
      <c r="AD84" s="257">
        <v>816</v>
      </c>
      <c r="AE84" s="257">
        <v>522</v>
      </c>
      <c r="AF84" s="257">
        <v>2471</v>
      </c>
      <c r="AG84" s="258">
        <v>0</v>
      </c>
    </row>
    <row r="85" spans="1:33" x14ac:dyDescent="0.25">
      <c r="A85" s="46"/>
      <c r="B85" s="118" t="s">
        <v>71</v>
      </c>
      <c r="C85" s="259">
        <v>0</v>
      </c>
      <c r="D85" s="256">
        <v>341</v>
      </c>
      <c r="E85" s="260">
        <v>0</v>
      </c>
      <c r="F85" s="260">
        <v>1161</v>
      </c>
      <c r="G85" s="260">
        <v>1403</v>
      </c>
      <c r="H85" s="260">
        <v>1322</v>
      </c>
      <c r="I85" s="260">
        <v>1069</v>
      </c>
      <c r="J85" s="260">
        <v>1262</v>
      </c>
      <c r="K85" s="260">
        <v>414</v>
      </c>
      <c r="L85" s="260">
        <v>0</v>
      </c>
      <c r="M85" s="260">
        <v>1976</v>
      </c>
      <c r="N85" s="260">
        <v>1224</v>
      </c>
      <c r="O85" s="260">
        <v>812</v>
      </c>
      <c r="P85" s="260">
        <v>1325</v>
      </c>
      <c r="Q85" s="260">
        <v>1674</v>
      </c>
      <c r="R85" s="260">
        <v>1493</v>
      </c>
      <c r="S85" s="260">
        <v>0</v>
      </c>
      <c r="T85" s="260">
        <v>3215</v>
      </c>
      <c r="U85" s="260">
        <v>2002</v>
      </c>
      <c r="V85" s="260">
        <v>1169</v>
      </c>
      <c r="W85" s="260">
        <v>1669</v>
      </c>
      <c r="X85" s="260">
        <v>1349</v>
      </c>
      <c r="Y85" s="260">
        <v>1643</v>
      </c>
      <c r="Z85" s="260">
        <v>0</v>
      </c>
      <c r="AA85" s="260">
        <v>3355</v>
      </c>
      <c r="AB85" s="260">
        <v>1618</v>
      </c>
      <c r="AC85" s="260">
        <v>2144</v>
      </c>
      <c r="AD85" s="260">
        <v>2336</v>
      </c>
      <c r="AE85" s="260">
        <v>1928</v>
      </c>
      <c r="AF85" s="260">
        <v>6633</v>
      </c>
      <c r="AG85" s="261">
        <v>0</v>
      </c>
    </row>
    <row r="86" spans="1:33" x14ac:dyDescent="0.25">
      <c r="A86" s="46"/>
      <c r="B86" s="118" t="s">
        <v>72</v>
      </c>
      <c r="C86" s="259">
        <v>0</v>
      </c>
      <c r="D86" s="262">
        <v>22801</v>
      </c>
      <c r="E86" s="263">
        <v>0</v>
      </c>
      <c r="F86" s="263">
        <v>42337</v>
      </c>
      <c r="G86" s="263">
        <v>69079</v>
      </c>
      <c r="H86" s="263">
        <v>57139</v>
      </c>
      <c r="I86" s="263">
        <v>48994</v>
      </c>
      <c r="J86" s="263">
        <v>86507</v>
      </c>
      <c r="K86" s="263">
        <v>18502</v>
      </c>
      <c r="L86" s="263">
        <v>0</v>
      </c>
      <c r="M86" s="263">
        <v>56824</v>
      </c>
      <c r="N86" s="263">
        <v>69925</v>
      </c>
      <c r="O86" s="263">
        <v>64979</v>
      </c>
      <c r="P86" s="263">
        <v>63880</v>
      </c>
      <c r="Q86" s="263">
        <v>88717</v>
      </c>
      <c r="R86" s="263">
        <v>44667</v>
      </c>
      <c r="S86" s="263">
        <v>0</v>
      </c>
      <c r="T86" s="263">
        <v>122760</v>
      </c>
      <c r="U86" s="263">
        <v>62650</v>
      </c>
      <c r="V86" s="263">
        <v>55293</v>
      </c>
      <c r="W86" s="263">
        <v>127027</v>
      </c>
      <c r="X86" s="263">
        <v>72260</v>
      </c>
      <c r="Y86" s="263">
        <v>61390</v>
      </c>
      <c r="Z86" s="263">
        <v>0</v>
      </c>
      <c r="AA86" s="263">
        <v>166010</v>
      </c>
      <c r="AB86" s="263">
        <v>77876</v>
      </c>
      <c r="AC86" s="263">
        <v>97302</v>
      </c>
      <c r="AD86" s="263">
        <v>156633</v>
      </c>
      <c r="AE86" s="263">
        <v>119289</v>
      </c>
      <c r="AF86" s="263">
        <v>350983</v>
      </c>
      <c r="AG86" s="264">
        <v>0</v>
      </c>
    </row>
    <row r="87" spans="1:33" ht="15.75" thickBot="1" x14ac:dyDescent="0.3">
      <c r="A87" s="60"/>
      <c r="B87" s="123" t="s">
        <v>73</v>
      </c>
      <c r="C87" s="265">
        <v>0</v>
      </c>
      <c r="D87" s="262">
        <v>29250133.780000001</v>
      </c>
      <c r="E87" s="266">
        <v>0</v>
      </c>
      <c r="F87" s="266">
        <v>48744521.169999994</v>
      </c>
      <c r="G87" s="266">
        <v>69627626.560000002</v>
      </c>
      <c r="H87" s="266">
        <v>54391901.20000001</v>
      </c>
      <c r="I87" s="266">
        <v>43777602.159999967</v>
      </c>
      <c r="J87" s="266">
        <v>68420300.720000014</v>
      </c>
      <c r="K87" s="266">
        <v>25997675.039999999</v>
      </c>
      <c r="L87" s="266">
        <v>0</v>
      </c>
      <c r="M87" s="266">
        <v>73827190.569999978</v>
      </c>
      <c r="N87" s="266">
        <v>58365890.909999996</v>
      </c>
      <c r="O87" s="266">
        <v>49629538.910000004</v>
      </c>
      <c r="P87" s="266">
        <v>52746104.230000004</v>
      </c>
      <c r="Q87" s="266">
        <v>76771069.709999979</v>
      </c>
      <c r="R87" s="266">
        <v>35497661.549999997</v>
      </c>
      <c r="S87" s="266">
        <v>0</v>
      </c>
      <c r="T87" s="266">
        <v>75674505.490000054</v>
      </c>
      <c r="U87" s="266">
        <v>51234587.180000037</v>
      </c>
      <c r="V87" s="266">
        <v>35586441.45000001</v>
      </c>
      <c r="W87" s="266">
        <v>66537193.190000013</v>
      </c>
      <c r="X87" s="266">
        <v>60556966.109999985</v>
      </c>
      <c r="Y87" s="266">
        <v>63562902.450000033</v>
      </c>
      <c r="Z87" s="266">
        <v>0</v>
      </c>
      <c r="AA87" s="266">
        <v>128814294.93000001</v>
      </c>
      <c r="AB87" s="266">
        <v>70425690.640000075</v>
      </c>
      <c r="AC87" s="266">
        <v>96982597.330000058</v>
      </c>
      <c r="AD87" s="266">
        <v>177817018.48000008</v>
      </c>
      <c r="AE87" s="266">
        <v>83992641.969999999</v>
      </c>
      <c r="AF87" s="266">
        <v>365272723.05999953</v>
      </c>
      <c r="AG87" s="267">
        <v>0</v>
      </c>
    </row>
    <row r="88" spans="1:33" x14ac:dyDescent="0.25">
      <c r="A88" s="128" t="s">
        <v>75</v>
      </c>
      <c r="B88" s="113" t="s">
        <v>70</v>
      </c>
      <c r="C88" s="268">
        <v>0</v>
      </c>
      <c r="D88" s="269">
        <v>10</v>
      </c>
      <c r="E88" s="269">
        <v>0</v>
      </c>
      <c r="F88" s="269">
        <v>67</v>
      </c>
      <c r="G88" s="269">
        <v>214</v>
      </c>
      <c r="H88" s="269">
        <v>195</v>
      </c>
      <c r="I88" s="269">
        <v>178</v>
      </c>
      <c r="J88" s="269">
        <v>167</v>
      </c>
      <c r="K88" s="269">
        <v>148</v>
      </c>
      <c r="L88" s="269">
        <v>0</v>
      </c>
      <c r="M88" s="269">
        <v>125</v>
      </c>
      <c r="N88" s="269">
        <v>249</v>
      </c>
      <c r="O88" s="269">
        <v>246</v>
      </c>
      <c r="P88" s="269">
        <v>319</v>
      </c>
      <c r="Q88" s="269">
        <v>285</v>
      </c>
      <c r="R88" s="269">
        <v>206</v>
      </c>
      <c r="S88" s="269">
        <v>0</v>
      </c>
      <c r="T88" s="269">
        <v>196</v>
      </c>
      <c r="U88" s="269">
        <v>208</v>
      </c>
      <c r="V88" s="269">
        <v>219</v>
      </c>
      <c r="W88" s="269">
        <v>262</v>
      </c>
      <c r="X88" s="269">
        <v>338</v>
      </c>
      <c r="Y88" s="269">
        <v>228</v>
      </c>
      <c r="Z88" s="269">
        <v>0</v>
      </c>
      <c r="AA88" s="269">
        <v>456</v>
      </c>
      <c r="AB88" s="269">
        <v>193</v>
      </c>
      <c r="AC88" s="269">
        <v>319</v>
      </c>
      <c r="AD88" s="270">
        <v>174</v>
      </c>
      <c r="AE88" s="270">
        <v>198</v>
      </c>
      <c r="AF88" s="270">
        <v>520</v>
      </c>
      <c r="AG88" s="270"/>
    </row>
    <row r="89" spans="1:33" x14ac:dyDescent="0.25">
      <c r="A89" s="46"/>
      <c r="B89" s="118" t="s">
        <v>71</v>
      </c>
      <c r="C89" s="271">
        <v>0</v>
      </c>
      <c r="D89" s="269">
        <v>24</v>
      </c>
      <c r="E89" s="269">
        <v>0</v>
      </c>
      <c r="F89" s="269">
        <v>140</v>
      </c>
      <c r="G89" s="269">
        <v>760</v>
      </c>
      <c r="H89" s="269">
        <v>798</v>
      </c>
      <c r="I89" s="269">
        <v>694</v>
      </c>
      <c r="J89" s="269">
        <v>668</v>
      </c>
      <c r="K89" s="269">
        <v>841</v>
      </c>
      <c r="L89" s="269">
        <v>0</v>
      </c>
      <c r="M89" s="269">
        <v>1305</v>
      </c>
      <c r="N89" s="269">
        <v>1334</v>
      </c>
      <c r="O89" s="269">
        <v>720</v>
      </c>
      <c r="P89" s="269">
        <v>1736</v>
      </c>
      <c r="Q89" s="269">
        <v>1046</v>
      </c>
      <c r="R89" s="269">
        <v>1293</v>
      </c>
      <c r="S89" s="269">
        <v>0</v>
      </c>
      <c r="T89" s="269">
        <v>999</v>
      </c>
      <c r="U89" s="269">
        <v>938</v>
      </c>
      <c r="V89" s="269">
        <v>1238</v>
      </c>
      <c r="W89" s="269">
        <v>961</v>
      </c>
      <c r="X89" s="269">
        <v>1173</v>
      </c>
      <c r="Y89" s="269">
        <v>931</v>
      </c>
      <c r="Z89" s="269">
        <v>0</v>
      </c>
      <c r="AA89" s="269">
        <v>1423</v>
      </c>
      <c r="AB89" s="269">
        <v>724</v>
      </c>
      <c r="AC89" s="269">
        <v>1058</v>
      </c>
      <c r="AD89" s="270">
        <v>990</v>
      </c>
      <c r="AE89" s="270">
        <v>905</v>
      </c>
      <c r="AF89" s="270">
        <v>2307</v>
      </c>
      <c r="AG89" s="270"/>
    </row>
    <row r="90" spans="1:33" x14ac:dyDescent="0.25">
      <c r="A90" s="46"/>
      <c r="B90" s="118" t="s">
        <v>72</v>
      </c>
      <c r="C90" s="272">
        <v>0</v>
      </c>
      <c r="D90" s="269">
        <v>119</v>
      </c>
      <c r="E90" s="269">
        <v>0</v>
      </c>
      <c r="F90" s="269">
        <v>687</v>
      </c>
      <c r="G90" s="269">
        <v>4801</v>
      </c>
      <c r="H90" s="269">
        <v>5006</v>
      </c>
      <c r="I90" s="269">
        <v>5498</v>
      </c>
      <c r="J90" s="269">
        <v>12895</v>
      </c>
      <c r="K90" s="269">
        <v>8189</v>
      </c>
      <c r="L90" s="269">
        <v>0</v>
      </c>
      <c r="M90" s="269">
        <v>6809</v>
      </c>
      <c r="N90" s="269">
        <v>8386</v>
      </c>
      <c r="O90" s="269">
        <v>3882</v>
      </c>
      <c r="P90" s="269">
        <v>16137</v>
      </c>
      <c r="Q90" s="269">
        <v>6460</v>
      </c>
      <c r="R90" s="269">
        <v>9532</v>
      </c>
      <c r="S90" s="269">
        <v>0</v>
      </c>
      <c r="T90" s="269">
        <v>6412</v>
      </c>
      <c r="U90" s="269">
        <v>6975</v>
      </c>
      <c r="V90" s="269">
        <v>14889</v>
      </c>
      <c r="W90" s="269">
        <v>7725</v>
      </c>
      <c r="X90" s="269">
        <v>10064</v>
      </c>
      <c r="Y90" s="269">
        <v>7591</v>
      </c>
      <c r="Z90" s="269">
        <v>0</v>
      </c>
      <c r="AA90" s="269">
        <v>12106</v>
      </c>
      <c r="AB90" s="269">
        <v>5928</v>
      </c>
      <c r="AC90" s="269">
        <v>6402</v>
      </c>
      <c r="AD90" s="270">
        <v>5633</v>
      </c>
      <c r="AE90" s="270">
        <v>5244</v>
      </c>
      <c r="AF90" s="270">
        <v>25231</v>
      </c>
      <c r="AG90" s="270"/>
    </row>
    <row r="91" spans="1:33" ht="15.75" thickBot="1" x14ac:dyDescent="0.3">
      <c r="A91" s="60"/>
      <c r="B91" s="123" t="s">
        <v>73</v>
      </c>
      <c r="C91" s="273">
        <v>0</v>
      </c>
      <c r="D91" s="274">
        <v>5057535.7700000005</v>
      </c>
      <c r="E91" s="274">
        <v>0</v>
      </c>
      <c r="F91" s="274">
        <v>18796530.84</v>
      </c>
      <c r="G91" s="274">
        <v>52326405.069999978</v>
      </c>
      <c r="H91" s="274">
        <v>100592626.57000002</v>
      </c>
      <c r="I91" s="274">
        <v>81288049.550000101</v>
      </c>
      <c r="J91" s="274">
        <v>143330148.23000002</v>
      </c>
      <c r="K91" s="274">
        <v>84508208.060000017</v>
      </c>
      <c r="L91" s="274">
        <v>0</v>
      </c>
      <c r="M91" s="274">
        <v>72745592.079999954</v>
      </c>
      <c r="N91" s="274">
        <v>134304226.87000012</v>
      </c>
      <c r="O91" s="274">
        <v>74781950.079999983</v>
      </c>
      <c r="P91" s="274">
        <v>165694750.77999988</v>
      </c>
      <c r="Q91" s="274">
        <v>102201265.40000004</v>
      </c>
      <c r="R91" s="274">
        <v>116387431.69000001</v>
      </c>
      <c r="S91" s="274">
        <v>0</v>
      </c>
      <c r="T91" s="274">
        <v>96793877.850000024</v>
      </c>
      <c r="U91" s="274">
        <v>93014813.070000038</v>
      </c>
      <c r="V91" s="274">
        <v>155589767.94999999</v>
      </c>
      <c r="W91" s="274">
        <v>91420057.779999986</v>
      </c>
      <c r="X91" s="274">
        <v>151347467.83999997</v>
      </c>
      <c r="Y91" s="274">
        <v>77981846.349999949</v>
      </c>
      <c r="Z91" s="274">
        <v>0</v>
      </c>
      <c r="AA91" s="274">
        <v>136427413.17999989</v>
      </c>
      <c r="AB91" s="274">
        <v>114265917.40999992</v>
      </c>
      <c r="AC91" s="274">
        <v>108365207.35000002</v>
      </c>
      <c r="AD91" s="275">
        <v>82278745.129999995</v>
      </c>
      <c r="AE91" s="275">
        <v>98901052</v>
      </c>
      <c r="AF91" s="275">
        <v>303680982.65999883</v>
      </c>
      <c r="AG91" s="275"/>
    </row>
    <row r="92" spans="1:33" ht="15.75" thickBot="1" x14ac:dyDescent="0.3">
      <c r="A92" s="36"/>
      <c r="B92" s="37"/>
      <c r="C92" s="168"/>
      <c r="D92" s="168"/>
      <c r="E92" s="169"/>
      <c r="F92" s="168"/>
      <c r="G92" s="168"/>
      <c r="H92" s="168"/>
      <c r="I92" s="168"/>
      <c r="J92" s="168"/>
      <c r="K92" s="168"/>
      <c r="L92" s="169"/>
      <c r="M92" s="168"/>
      <c r="N92" s="168"/>
      <c r="O92" s="168"/>
      <c r="P92" s="168"/>
      <c r="Q92" s="168"/>
      <c r="R92" s="168"/>
      <c r="S92" s="169"/>
      <c r="T92" s="168"/>
      <c r="U92" s="168"/>
      <c r="V92" s="168"/>
      <c r="W92" s="168"/>
      <c r="X92" s="168"/>
      <c r="Y92" s="168"/>
      <c r="Z92" s="169"/>
      <c r="AA92" s="168"/>
      <c r="AB92" s="170"/>
      <c r="AC92" s="170"/>
      <c r="AD92" s="171"/>
      <c r="AE92" s="39"/>
      <c r="AF92" s="39"/>
      <c r="AG92" s="39"/>
    </row>
    <row r="93" spans="1:33" x14ac:dyDescent="0.25">
      <c r="A93" s="172" t="s">
        <v>76</v>
      </c>
      <c r="B93" s="276" t="s">
        <v>77</v>
      </c>
      <c r="C93" s="184">
        <v>0</v>
      </c>
      <c r="D93" s="184">
        <v>2</v>
      </c>
      <c r="E93" s="185">
        <v>0</v>
      </c>
      <c r="F93" s="184">
        <v>2</v>
      </c>
      <c r="G93" s="184">
        <v>1</v>
      </c>
      <c r="H93" s="184">
        <v>9</v>
      </c>
      <c r="I93" s="184">
        <v>0</v>
      </c>
      <c r="J93" s="186">
        <v>2</v>
      </c>
      <c r="K93" s="186">
        <v>1</v>
      </c>
      <c r="L93" s="187">
        <v>0</v>
      </c>
      <c r="M93" s="186">
        <v>8</v>
      </c>
      <c r="N93" s="186">
        <v>12</v>
      </c>
      <c r="O93" s="186">
        <v>0</v>
      </c>
      <c r="P93" s="188">
        <v>4</v>
      </c>
      <c r="Q93" s="186">
        <v>3</v>
      </c>
      <c r="R93" s="186">
        <v>0</v>
      </c>
      <c r="S93" s="187">
        <v>8</v>
      </c>
      <c r="T93" s="187">
        <v>3</v>
      </c>
      <c r="U93" s="187">
        <v>2</v>
      </c>
      <c r="V93" s="186">
        <v>4</v>
      </c>
      <c r="W93" s="186">
        <v>1</v>
      </c>
      <c r="X93" s="186">
        <v>4</v>
      </c>
      <c r="Y93" s="186">
        <v>0</v>
      </c>
      <c r="Z93" s="187">
        <v>0</v>
      </c>
      <c r="AA93" s="186">
        <v>2</v>
      </c>
      <c r="AB93" s="184">
        <v>2</v>
      </c>
      <c r="AC93" s="186">
        <v>1</v>
      </c>
      <c r="AD93" s="186">
        <v>4</v>
      </c>
      <c r="AE93" s="186">
        <v>1</v>
      </c>
      <c r="AF93" s="186">
        <v>0</v>
      </c>
      <c r="AG93" s="186">
        <v>0</v>
      </c>
    </row>
    <row r="94" spans="1:33" x14ac:dyDescent="0.25">
      <c r="A94" s="181"/>
      <c r="B94" s="277" t="s">
        <v>78</v>
      </c>
      <c r="C94" s="184">
        <v>0</v>
      </c>
      <c r="D94" s="184">
        <v>0</v>
      </c>
      <c r="E94" s="185">
        <v>0</v>
      </c>
      <c r="F94" s="184">
        <v>0</v>
      </c>
      <c r="G94" s="184">
        <v>0</v>
      </c>
      <c r="H94" s="184">
        <v>0</v>
      </c>
      <c r="I94" s="184">
        <v>0</v>
      </c>
      <c r="J94" s="186">
        <v>0</v>
      </c>
      <c r="K94" s="186">
        <v>0</v>
      </c>
      <c r="L94" s="187">
        <v>0</v>
      </c>
      <c r="M94" s="186">
        <v>0</v>
      </c>
      <c r="N94" s="186">
        <v>0</v>
      </c>
      <c r="O94" s="186">
        <v>0</v>
      </c>
      <c r="P94" s="188">
        <v>0</v>
      </c>
      <c r="Q94" s="186">
        <v>0</v>
      </c>
      <c r="R94" s="186">
        <v>0</v>
      </c>
      <c r="S94" s="187">
        <v>0</v>
      </c>
      <c r="T94" s="187">
        <v>0</v>
      </c>
      <c r="U94">
        <v>0</v>
      </c>
      <c r="V94" s="186">
        <v>0</v>
      </c>
      <c r="W94" s="186">
        <v>3</v>
      </c>
      <c r="X94" s="186">
        <v>0</v>
      </c>
      <c r="Y94" s="186">
        <v>0</v>
      </c>
      <c r="Z94" s="187">
        <v>0</v>
      </c>
      <c r="AA94" s="186">
        <v>1</v>
      </c>
      <c r="AB94" s="184">
        <v>0</v>
      </c>
      <c r="AC94" s="186">
        <v>0</v>
      </c>
      <c r="AD94" s="186">
        <v>0</v>
      </c>
      <c r="AE94" s="186">
        <v>0</v>
      </c>
      <c r="AF94" s="186">
        <v>0</v>
      </c>
      <c r="AG94" s="186">
        <v>0</v>
      </c>
    </row>
    <row r="95" spans="1:33" x14ac:dyDescent="0.25">
      <c r="A95" s="181"/>
      <c r="B95" s="277" t="s">
        <v>79</v>
      </c>
      <c r="C95" s="184">
        <v>0</v>
      </c>
      <c r="D95" s="184">
        <v>0</v>
      </c>
      <c r="E95" s="185">
        <v>0</v>
      </c>
      <c r="F95" s="184">
        <v>5</v>
      </c>
      <c r="G95" s="184">
        <v>0</v>
      </c>
      <c r="H95" s="184">
        <v>8</v>
      </c>
      <c r="I95" s="184">
        <v>1</v>
      </c>
      <c r="J95" s="186">
        <v>0</v>
      </c>
      <c r="K95" s="186">
        <v>0</v>
      </c>
      <c r="L95" s="187">
        <v>0</v>
      </c>
      <c r="M95" s="186">
        <v>6</v>
      </c>
      <c r="N95" s="186">
        <v>0</v>
      </c>
      <c r="O95" s="186">
        <v>9</v>
      </c>
      <c r="P95" s="188">
        <v>0</v>
      </c>
      <c r="Q95" s="186">
        <v>0</v>
      </c>
      <c r="R95" s="186">
        <v>10</v>
      </c>
      <c r="S95" s="187">
        <v>2</v>
      </c>
      <c r="T95" s="187">
        <v>0</v>
      </c>
      <c r="U95" s="187">
        <v>0</v>
      </c>
      <c r="V95" s="186">
        <v>0</v>
      </c>
      <c r="W95" s="186">
        <v>14</v>
      </c>
      <c r="X95" s="186">
        <v>0</v>
      </c>
      <c r="Y95" s="186">
        <v>0</v>
      </c>
      <c r="Z95" s="187">
        <v>0</v>
      </c>
      <c r="AA95" s="186">
        <v>18</v>
      </c>
      <c r="AB95" s="184">
        <v>0</v>
      </c>
      <c r="AC95" s="186">
        <v>5</v>
      </c>
      <c r="AD95" s="186">
        <v>0</v>
      </c>
      <c r="AE95" s="186">
        <v>0</v>
      </c>
      <c r="AF95" s="186">
        <v>0</v>
      </c>
      <c r="AG95" s="186">
        <v>0</v>
      </c>
    </row>
    <row r="96" spans="1:33" x14ac:dyDescent="0.25">
      <c r="A96" s="181"/>
      <c r="B96" s="277" t="s">
        <v>80</v>
      </c>
      <c r="C96" s="184">
        <v>36</v>
      </c>
      <c r="D96" s="184">
        <v>38</v>
      </c>
      <c r="E96" s="185">
        <v>38</v>
      </c>
      <c r="F96" s="184">
        <v>35</v>
      </c>
      <c r="G96" s="184">
        <v>36</v>
      </c>
      <c r="H96" s="184">
        <v>37</v>
      </c>
      <c r="I96" s="184">
        <v>36</v>
      </c>
      <c r="J96" s="186">
        <v>38</v>
      </c>
      <c r="K96" s="186">
        <v>39</v>
      </c>
      <c r="L96" s="187">
        <v>39</v>
      </c>
      <c r="M96" s="186">
        <v>41</v>
      </c>
      <c r="N96" s="186">
        <v>53</v>
      </c>
      <c r="O96" s="186">
        <v>44</v>
      </c>
      <c r="P96" s="188">
        <v>48</v>
      </c>
      <c r="Q96" s="186">
        <v>51</v>
      </c>
      <c r="R96" s="186">
        <v>41</v>
      </c>
      <c r="S96" s="187">
        <v>47</v>
      </c>
      <c r="T96" s="187">
        <v>50</v>
      </c>
      <c r="U96" s="187">
        <v>52</v>
      </c>
      <c r="V96" s="186">
        <v>56</v>
      </c>
      <c r="W96" s="186">
        <v>40</v>
      </c>
      <c r="X96" s="186">
        <v>44</v>
      </c>
      <c r="Y96" s="186">
        <v>44</v>
      </c>
      <c r="Z96" s="187">
        <v>44</v>
      </c>
      <c r="AA96" s="186">
        <v>27</v>
      </c>
      <c r="AB96" s="184">
        <v>29</v>
      </c>
      <c r="AC96" s="186">
        <v>25</v>
      </c>
      <c r="AD96" s="186">
        <v>28</v>
      </c>
      <c r="AE96" s="186">
        <v>29</v>
      </c>
      <c r="AF96" s="186">
        <v>29</v>
      </c>
      <c r="AG96" s="186">
        <v>29</v>
      </c>
    </row>
    <row r="97" spans="1:33" x14ac:dyDescent="0.25">
      <c r="A97" s="181"/>
      <c r="B97" s="277" t="s">
        <v>81</v>
      </c>
      <c r="C97" s="184">
        <v>0</v>
      </c>
      <c r="D97" s="184">
        <v>0</v>
      </c>
      <c r="E97" s="185">
        <v>0</v>
      </c>
      <c r="F97" s="184">
        <v>0</v>
      </c>
      <c r="G97" s="184">
        <v>0</v>
      </c>
      <c r="H97" s="184">
        <v>0</v>
      </c>
      <c r="I97" s="184">
        <v>0</v>
      </c>
      <c r="J97" s="186">
        <v>0</v>
      </c>
      <c r="K97" s="186">
        <v>0</v>
      </c>
      <c r="L97" s="187">
        <v>0</v>
      </c>
      <c r="M97" s="186">
        <v>0</v>
      </c>
      <c r="N97" s="186">
        <v>0</v>
      </c>
      <c r="O97" s="186">
        <v>0</v>
      </c>
      <c r="P97" s="188">
        <v>0</v>
      </c>
      <c r="Q97" s="186">
        <v>0</v>
      </c>
      <c r="R97" s="186">
        <v>0</v>
      </c>
      <c r="S97" s="187">
        <v>0</v>
      </c>
      <c r="T97" s="187">
        <v>1</v>
      </c>
      <c r="U97" s="187">
        <v>0</v>
      </c>
      <c r="V97" s="186">
        <v>0</v>
      </c>
      <c r="W97" s="186">
        <v>0</v>
      </c>
      <c r="X97" s="186">
        <v>2</v>
      </c>
      <c r="Y97" s="186">
        <v>0</v>
      </c>
      <c r="Z97" s="187">
        <v>0</v>
      </c>
      <c r="AA97" s="186">
        <v>1</v>
      </c>
      <c r="AB97" s="184">
        <v>1</v>
      </c>
      <c r="AC97" s="186">
        <v>0</v>
      </c>
      <c r="AD97" s="186">
        <v>0</v>
      </c>
      <c r="AE97" s="186">
        <v>0</v>
      </c>
      <c r="AF97" s="186">
        <v>0</v>
      </c>
      <c r="AG97" s="186">
        <v>0</v>
      </c>
    </row>
    <row r="98" spans="1:33" x14ac:dyDescent="0.25">
      <c r="A98" s="181"/>
      <c r="B98" s="277" t="s">
        <v>82</v>
      </c>
      <c r="C98" s="184">
        <v>0</v>
      </c>
      <c r="D98" s="184">
        <v>1</v>
      </c>
      <c r="E98" s="185">
        <v>0</v>
      </c>
      <c r="F98" s="184">
        <v>1</v>
      </c>
      <c r="G98" s="184">
        <v>0</v>
      </c>
      <c r="H98" s="184">
        <v>5</v>
      </c>
      <c r="I98" s="184">
        <v>0</v>
      </c>
      <c r="J98" s="186">
        <v>0</v>
      </c>
      <c r="K98" s="186">
        <v>0</v>
      </c>
      <c r="L98" s="187">
        <v>0</v>
      </c>
      <c r="M98" s="186">
        <v>0</v>
      </c>
      <c r="N98" s="186">
        <v>10</v>
      </c>
      <c r="O98" s="186">
        <v>0</v>
      </c>
      <c r="P98" s="188">
        <v>3</v>
      </c>
      <c r="Q98" s="186">
        <v>1</v>
      </c>
      <c r="R98" s="186">
        <v>0</v>
      </c>
      <c r="S98" s="187">
        <v>0</v>
      </c>
      <c r="T98" s="187">
        <v>0</v>
      </c>
      <c r="U98" s="187">
        <v>1</v>
      </c>
      <c r="V98" s="186">
        <v>3</v>
      </c>
      <c r="W98" s="186">
        <v>0</v>
      </c>
      <c r="X98" s="186">
        <v>0</v>
      </c>
      <c r="Y98" s="186">
        <v>0</v>
      </c>
      <c r="Z98" s="187">
        <v>0</v>
      </c>
      <c r="AA98" s="186">
        <v>0</v>
      </c>
      <c r="AB98" s="184">
        <v>0</v>
      </c>
      <c r="AC98" s="186">
        <v>0</v>
      </c>
      <c r="AD98" s="186">
        <v>2</v>
      </c>
      <c r="AE98" s="186">
        <v>0</v>
      </c>
      <c r="AF98" s="186">
        <v>0</v>
      </c>
      <c r="AG98" s="186">
        <v>0</v>
      </c>
    </row>
    <row r="99" spans="1:33" x14ac:dyDescent="0.25">
      <c r="A99" s="181"/>
      <c r="B99" s="277" t="s">
        <v>83</v>
      </c>
      <c r="C99" s="184">
        <v>0</v>
      </c>
      <c r="D99" s="184">
        <v>0</v>
      </c>
      <c r="E99" s="185">
        <v>0</v>
      </c>
      <c r="F99" s="184">
        <v>0</v>
      </c>
      <c r="G99" s="184">
        <v>0</v>
      </c>
      <c r="H99" s="184">
        <v>0</v>
      </c>
      <c r="I99" s="184">
        <v>0</v>
      </c>
      <c r="J99" s="186">
        <v>0</v>
      </c>
      <c r="K99" s="186">
        <v>0</v>
      </c>
      <c r="L99" s="187">
        <v>0</v>
      </c>
      <c r="M99" s="186">
        <v>0</v>
      </c>
      <c r="N99" s="186">
        <v>0</v>
      </c>
      <c r="O99" s="186">
        <v>0</v>
      </c>
      <c r="P99" s="188">
        <v>0</v>
      </c>
      <c r="Q99" s="186">
        <v>0</v>
      </c>
      <c r="R99" s="186">
        <v>0</v>
      </c>
      <c r="S99" s="187">
        <v>0</v>
      </c>
      <c r="T99" s="187">
        <v>0</v>
      </c>
      <c r="U99" s="187">
        <v>0</v>
      </c>
      <c r="V99" s="186">
        <v>0</v>
      </c>
      <c r="W99" s="186">
        <v>0</v>
      </c>
      <c r="X99" s="186">
        <v>0</v>
      </c>
      <c r="Y99" s="186">
        <v>0</v>
      </c>
      <c r="Z99" s="187">
        <v>0</v>
      </c>
      <c r="AA99" s="186">
        <v>0</v>
      </c>
      <c r="AB99" s="184">
        <v>0</v>
      </c>
      <c r="AC99" s="186">
        <v>0</v>
      </c>
      <c r="AD99" s="186">
        <v>0</v>
      </c>
      <c r="AE99" s="186">
        <v>0</v>
      </c>
      <c r="AF99" s="186">
        <v>0</v>
      </c>
      <c r="AG99" s="186">
        <v>0</v>
      </c>
    </row>
    <row r="100" spans="1:33" x14ac:dyDescent="0.25">
      <c r="A100" s="181"/>
      <c r="B100" s="277" t="s">
        <v>84</v>
      </c>
      <c r="C100" s="184">
        <v>0</v>
      </c>
      <c r="D100" s="184">
        <v>0</v>
      </c>
      <c r="E100" s="185">
        <v>0</v>
      </c>
      <c r="F100" s="184">
        <v>0</v>
      </c>
      <c r="G100" s="184">
        <v>0</v>
      </c>
      <c r="H100" s="184">
        <v>0</v>
      </c>
      <c r="I100" s="184">
        <v>0</v>
      </c>
      <c r="J100" s="186">
        <v>1</v>
      </c>
      <c r="K100" s="186">
        <v>0</v>
      </c>
      <c r="L100" s="187">
        <v>0</v>
      </c>
      <c r="M100" s="186">
        <v>0</v>
      </c>
      <c r="N100" s="186">
        <v>0</v>
      </c>
      <c r="O100" s="186">
        <v>0</v>
      </c>
      <c r="P100" s="188">
        <v>0</v>
      </c>
      <c r="Q100" s="186">
        <v>1</v>
      </c>
      <c r="R100" s="186">
        <v>0</v>
      </c>
      <c r="S100" s="187">
        <v>0</v>
      </c>
      <c r="T100" s="187">
        <v>1</v>
      </c>
      <c r="U100" s="187">
        <v>0</v>
      </c>
      <c r="V100" s="186">
        <v>0</v>
      </c>
      <c r="W100" s="186">
        <v>0</v>
      </c>
      <c r="X100" s="186">
        <v>0</v>
      </c>
      <c r="Y100" s="186">
        <v>0</v>
      </c>
      <c r="Z100" s="187">
        <v>0</v>
      </c>
      <c r="AA100" s="186">
        <v>0</v>
      </c>
      <c r="AB100" s="184">
        <v>0</v>
      </c>
      <c r="AC100" s="186">
        <v>0</v>
      </c>
      <c r="AD100" s="186">
        <v>1</v>
      </c>
      <c r="AE100" s="186">
        <v>0</v>
      </c>
      <c r="AF100" s="186">
        <v>0</v>
      </c>
      <c r="AG100" s="186">
        <v>0</v>
      </c>
    </row>
    <row r="101" spans="1:33" x14ac:dyDescent="0.25">
      <c r="A101" s="181"/>
      <c r="B101" s="277" t="s">
        <v>85</v>
      </c>
      <c r="C101" s="184">
        <v>0</v>
      </c>
      <c r="D101" s="184">
        <v>1</v>
      </c>
      <c r="E101" s="185">
        <v>0</v>
      </c>
      <c r="F101" s="184">
        <v>1</v>
      </c>
      <c r="G101" s="184">
        <v>1</v>
      </c>
      <c r="H101" s="184">
        <v>4</v>
      </c>
      <c r="I101" s="184">
        <v>0</v>
      </c>
      <c r="J101" s="186">
        <v>1</v>
      </c>
      <c r="K101" s="186">
        <v>1</v>
      </c>
      <c r="L101" s="187">
        <v>0</v>
      </c>
      <c r="M101" s="186">
        <v>8</v>
      </c>
      <c r="N101" s="186">
        <v>2</v>
      </c>
      <c r="O101" s="186">
        <v>0</v>
      </c>
      <c r="P101" s="188">
        <v>1</v>
      </c>
      <c r="Q101" s="186">
        <v>1</v>
      </c>
      <c r="R101" s="186">
        <v>0</v>
      </c>
      <c r="S101" s="187">
        <v>8</v>
      </c>
      <c r="T101" s="187">
        <v>1</v>
      </c>
      <c r="U101" s="187">
        <v>1</v>
      </c>
      <c r="V101" s="186">
        <v>1</v>
      </c>
      <c r="W101" s="186">
        <v>1</v>
      </c>
      <c r="X101" s="186">
        <v>2</v>
      </c>
      <c r="Y101" s="186">
        <v>0</v>
      </c>
      <c r="Z101" s="187">
        <v>0</v>
      </c>
      <c r="AA101" s="186">
        <v>1</v>
      </c>
      <c r="AB101" s="184">
        <v>1</v>
      </c>
      <c r="AC101" s="186">
        <v>1</v>
      </c>
      <c r="AD101" s="186">
        <v>1</v>
      </c>
      <c r="AE101" s="186">
        <v>1</v>
      </c>
      <c r="AF101" s="186">
        <v>0</v>
      </c>
      <c r="AG101" s="186">
        <v>0</v>
      </c>
    </row>
    <row r="102" spans="1:33" ht="15.75" thickBot="1" x14ac:dyDescent="0.3">
      <c r="A102" s="190"/>
      <c r="B102" s="278" t="s">
        <v>86</v>
      </c>
      <c r="C102" s="184">
        <v>0</v>
      </c>
      <c r="D102" s="184">
        <v>0</v>
      </c>
      <c r="E102" s="185">
        <v>0</v>
      </c>
      <c r="F102" s="184">
        <v>0</v>
      </c>
      <c r="G102" s="184">
        <v>0</v>
      </c>
      <c r="H102" s="184">
        <v>0</v>
      </c>
      <c r="I102" s="184">
        <v>0</v>
      </c>
      <c r="J102" s="186">
        <v>0</v>
      </c>
      <c r="K102" s="186">
        <v>0</v>
      </c>
      <c r="L102" s="187">
        <v>0</v>
      </c>
      <c r="M102" s="186">
        <v>0</v>
      </c>
      <c r="N102" s="186">
        <v>0</v>
      </c>
      <c r="O102" s="186">
        <v>0</v>
      </c>
      <c r="P102" s="188">
        <v>0</v>
      </c>
      <c r="Q102" s="186">
        <v>0</v>
      </c>
      <c r="R102" s="186">
        <v>0</v>
      </c>
      <c r="S102" s="187">
        <v>0</v>
      </c>
      <c r="T102" s="187">
        <v>0</v>
      </c>
      <c r="U102" s="187">
        <v>0</v>
      </c>
      <c r="V102" s="186">
        <v>0</v>
      </c>
      <c r="W102" s="186">
        <v>0</v>
      </c>
      <c r="X102" s="186">
        <v>0</v>
      </c>
      <c r="Y102" s="186">
        <v>0</v>
      </c>
      <c r="Z102" s="187">
        <v>0</v>
      </c>
      <c r="AA102" s="186">
        <v>0</v>
      </c>
      <c r="AB102" s="184">
        <v>0</v>
      </c>
      <c r="AC102" s="186">
        <v>0</v>
      </c>
      <c r="AD102" s="186">
        <v>0</v>
      </c>
      <c r="AE102" s="186">
        <v>0</v>
      </c>
      <c r="AF102" s="186">
        <v>0</v>
      </c>
      <c r="AG102" s="186">
        <v>0</v>
      </c>
    </row>
    <row r="103" spans="1:33" ht="15.75" thickBot="1" x14ac:dyDescent="0.3">
      <c r="A103" s="80"/>
      <c r="B103" s="199"/>
      <c r="C103" s="199"/>
      <c r="D103" s="199"/>
      <c r="E103" s="200"/>
      <c r="F103" s="201"/>
      <c r="G103" s="199"/>
      <c r="H103" s="201"/>
      <c r="I103" s="199"/>
      <c r="J103" s="199"/>
      <c r="K103" s="80"/>
      <c r="L103" s="202"/>
      <c r="M103" s="80"/>
      <c r="N103" s="80"/>
      <c r="O103" s="80"/>
      <c r="P103" s="80"/>
      <c r="Q103" s="80"/>
      <c r="R103" s="80"/>
      <c r="S103" s="202"/>
      <c r="T103" s="80"/>
      <c r="U103" s="80"/>
      <c r="V103" s="80"/>
      <c r="W103" s="80"/>
      <c r="X103" s="80"/>
      <c r="Y103" s="80"/>
      <c r="Z103" s="202"/>
      <c r="AA103" s="203"/>
      <c r="AB103" s="80"/>
      <c r="AC103" s="203"/>
      <c r="AD103" s="80"/>
      <c r="AE103" s="39"/>
      <c r="AF103" s="39"/>
      <c r="AG103" s="39"/>
    </row>
    <row r="104" spans="1:33" x14ac:dyDescent="0.25">
      <c r="A104" s="96" t="s">
        <v>87</v>
      </c>
      <c r="B104" s="204" t="s">
        <v>88</v>
      </c>
      <c r="C104" s="205">
        <f>255+15</f>
        <v>270</v>
      </c>
      <c r="D104" s="205">
        <f t="shared" ref="D104:AG104" si="25">255+15</f>
        <v>270</v>
      </c>
      <c r="E104" s="205">
        <f t="shared" si="25"/>
        <v>270</v>
      </c>
      <c r="F104" s="205">
        <f t="shared" si="25"/>
        <v>270</v>
      </c>
      <c r="G104" s="205">
        <f t="shared" si="25"/>
        <v>270</v>
      </c>
      <c r="H104" s="205">
        <f t="shared" si="25"/>
        <v>270</v>
      </c>
      <c r="I104" s="205">
        <f t="shared" si="25"/>
        <v>270</v>
      </c>
      <c r="J104" s="205">
        <f t="shared" si="25"/>
        <v>270</v>
      </c>
      <c r="K104" s="206">
        <f t="shared" si="25"/>
        <v>270</v>
      </c>
      <c r="L104" s="206">
        <f t="shared" si="25"/>
        <v>270</v>
      </c>
      <c r="M104" s="206">
        <f t="shared" si="25"/>
        <v>270</v>
      </c>
      <c r="N104" s="206">
        <f t="shared" si="25"/>
        <v>270</v>
      </c>
      <c r="O104" s="206">
        <f t="shared" si="25"/>
        <v>270</v>
      </c>
      <c r="P104" s="206">
        <f t="shared" si="25"/>
        <v>270</v>
      </c>
      <c r="Q104" s="206">
        <f t="shared" si="25"/>
        <v>270</v>
      </c>
      <c r="R104" s="206">
        <f t="shared" si="25"/>
        <v>270</v>
      </c>
      <c r="S104" s="206">
        <f t="shared" si="25"/>
        <v>270</v>
      </c>
      <c r="T104" s="206">
        <f t="shared" si="25"/>
        <v>270</v>
      </c>
      <c r="U104" s="206">
        <f t="shared" si="25"/>
        <v>270</v>
      </c>
      <c r="V104" s="206">
        <f t="shared" si="25"/>
        <v>270</v>
      </c>
      <c r="W104" s="206">
        <f t="shared" si="25"/>
        <v>270</v>
      </c>
      <c r="X104" s="206">
        <f t="shared" si="25"/>
        <v>270</v>
      </c>
      <c r="Y104" s="206">
        <f t="shared" si="25"/>
        <v>270</v>
      </c>
      <c r="Z104" s="206">
        <f t="shared" si="25"/>
        <v>270</v>
      </c>
      <c r="AA104" s="206">
        <f t="shared" si="25"/>
        <v>270</v>
      </c>
      <c r="AB104" s="206">
        <f t="shared" si="25"/>
        <v>270</v>
      </c>
      <c r="AC104" s="206">
        <f t="shared" si="25"/>
        <v>270</v>
      </c>
      <c r="AD104" s="206">
        <f t="shared" si="25"/>
        <v>270</v>
      </c>
      <c r="AE104" s="206">
        <f t="shared" si="25"/>
        <v>270</v>
      </c>
      <c r="AF104" s="206">
        <f t="shared" si="25"/>
        <v>270</v>
      </c>
      <c r="AG104" s="206">
        <f t="shared" si="25"/>
        <v>270</v>
      </c>
    </row>
    <row r="105" spans="1:33" x14ac:dyDescent="0.25">
      <c r="A105" s="8"/>
      <c r="B105" s="207" t="s">
        <v>89</v>
      </c>
      <c r="C105" s="208"/>
      <c r="D105" s="208"/>
      <c r="E105" s="209"/>
      <c r="F105" s="208"/>
      <c r="G105" s="208"/>
      <c r="H105" s="208"/>
      <c r="I105" s="208"/>
      <c r="J105" s="210"/>
      <c r="K105" s="208"/>
      <c r="L105" s="209"/>
      <c r="M105" s="208"/>
      <c r="N105" s="208"/>
      <c r="O105" s="208"/>
      <c r="P105" s="208"/>
      <c r="Q105" s="210"/>
      <c r="R105" s="208"/>
      <c r="S105" s="209"/>
      <c r="T105" s="208"/>
      <c r="U105" s="208"/>
      <c r="V105" s="208"/>
      <c r="W105" s="208"/>
      <c r="X105" s="210"/>
      <c r="Y105" s="208"/>
      <c r="Z105" s="209"/>
      <c r="AA105" s="208"/>
      <c r="AB105" s="208"/>
      <c r="AC105" s="208"/>
      <c r="AD105" s="208"/>
      <c r="AE105" s="208"/>
      <c r="AF105" s="208"/>
      <c r="AG105" s="208"/>
    </row>
    <row r="106" spans="1:33" x14ac:dyDescent="0.25">
      <c r="A106" s="8"/>
      <c r="B106" s="28" t="s">
        <v>90</v>
      </c>
      <c r="C106" s="211"/>
      <c r="D106" s="211"/>
      <c r="E106" s="212"/>
      <c r="F106" s="211"/>
      <c r="G106" s="211"/>
      <c r="H106" s="211"/>
      <c r="I106" s="211"/>
      <c r="J106" s="213"/>
      <c r="K106" s="211"/>
      <c r="L106" s="211"/>
      <c r="M106" s="211"/>
      <c r="N106" s="211"/>
      <c r="O106" s="214"/>
      <c r="P106" s="214"/>
      <c r="Q106" s="213"/>
      <c r="R106" s="211"/>
      <c r="S106" s="211"/>
      <c r="T106" s="211"/>
      <c r="U106" s="211"/>
      <c r="V106" s="211"/>
      <c r="W106" s="211"/>
      <c r="X106" s="213"/>
      <c r="Y106" s="211"/>
      <c r="Z106" s="211"/>
      <c r="AA106" s="211"/>
      <c r="AB106" s="211"/>
      <c r="AC106" s="211"/>
      <c r="AD106" s="211"/>
      <c r="AE106" s="211"/>
      <c r="AF106" s="211"/>
      <c r="AG106" s="211"/>
    </row>
    <row r="107" spans="1:33" x14ac:dyDescent="0.25">
      <c r="A107" s="8"/>
      <c r="B107" s="28" t="s">
        <v>91</v>
      </c>
      <c r="C107" s="211"/>
      <c r="D107" s="211"/>
      <c r="E107" s="212"/>
      <c r="F107" s="211"/>
      <c r="G107" s="211"/>
      <c r="H107" s="211"/>
      <c r="I107" s="211"/>
      <c r="J107" s="213"/>
      <c r="K107" s="211"/>
      <c r="L107" s="211"/>
      <c r="M107" s="211"/>
      <c r="N107" s="211"/>
      <c r="O107" s="211"/>
      <c r="P107" s="211"/>
      <c r="Q107" s="213"/>
      <c r="R107" s="211"/>
      <c r="S107" s="211"/>
      <c r="T107" s="211"/>
      <c r="U107" s="211"/>
      <c r="V107" s="211"/>
      <c r="W107" s="211"/>
      <c r="X107" s="213"/>
      <c r="Y107" s="211"/>
      <c r="Z107" s="211"/>
      <c r="AA107" s="211"/>
      <c r="AB107" s="211"/>
      <c r="AC107" s="211"/>
      <c r="AD107" s="211"/>
      <c r="AE107" s="211"/>
      <c r="AF107" s="211"/>
      <c r="AG107" s="211"/>
    </row>
    <row r="108" spans="1:33" x14ac:dyDescent="0.25">
      <c r="A108" s="8"/>
      <c r="B108" s="28" t="s">
        <v>92</v>
      </c>
      <c r="C108" s="211"/>
      <c r="D108" s="211"/>
      <c r="E108" s="212"/>
      <c r="F108" s="211"/>
      <c r="G108" s="211"/>
      <c r="H108" s="211"/>
      <c r="I108" s="211"/>
      <c r="J108" s="213"/>
      <c r="K108" s="211"/>
      <c r="L108" s="211"/>
      <c r="M108" s="211"/>
      <c r="N108" s="211"/>
      <c r="O108" s="211"/>
      <c r="P108" s="211"/>
      <c r="Q108" s="213"/>
      <c r="R108" s="211"/>
      <c r="S108" s="211"/>
      <c r="T108" s="211"/>
      <c r="U108" s="211"/>
      <c r="V108" s="211"/>
      <c r="W108" s="211"/>
      <c r="X108" s="213"/>
      <c r="Y108" s="211"/>
      <c r="Z108" s="211"/>
      <c r="AA108" s="211"/>
      <c r="AB108" s="211"/>
      <c r="AC108" s="211"/>
      <c r="AD108" s="211"/>
      <c r="AE108" s="211"/>
      <c r="AF108" s="211"/>
      <c r="AG108" s="211"/>
    </row>
    <row r="109" spans="1:33" x14ac:dyDescent="0.25">
      <c r="A109" s="8"/>
      <c r="B109" s="207" t="s">
        <v>93</v>
      </c>
      <c r="C109" s="208">
        <f t="shared" ref="C109:AG109" si="26">C108+C107</f>
        <v>0</v>
      </c>
      <c r="D109" s="208">
        <f t="shared" si="26"/>
        <v>0</v>
      </c>
      <c r="E109" s="209">
        <f t="shared" si="26"/>
        <v>0</v>
      </c>
      <c r="F109" s="208">
        <f t="shared" si="26"/>
        <v>0</v>
      </c>
      <c r="G109" s="208">
        <f t="shared" si="26"/>
        <v>0</v>
      </c>
      <c r="H109" s="208">
        <f t="shared" si="26"/>
        <v>0</v>
      </c>
      <c r="I109" s="208">
        <f t="shared" si="26"/>
        <v>0</v>
      </c>
      <c r="J109" s="210">
        <f t="shared" si="26"/>
        <v>0</v>
      </c>
      <c r="K109" s="208">
        <f t="shared" si="26"/>
        <v>0</v>
      </c>
      <c r="L109" s="209">
        <f t="shared" si="26"/>
        <v>0</v>
      </c>
      <c r="M109" s="208">
        <f t="shared" si="26"/>
        <v>0</v>
      </c>
      <c r="N109" s="208">
        <f t="shared" si="26"/>
        <v>0</v>
      </c>
      <c r="O109" s="208">
        <f t="shared" si="26"/>
        <v>0</v>
      </c>
      <c r="P109" s="208">
        <f t="shared" si="26"/>
        <v>0</v>
      </c>
      <c r="Q109" s="210">
        <f t="shared" si="26"/>
        <v>0</v>
      </c>
      <c r="R109" s="208">
        <f t="shared" si="26"/>
        <v>0</v>
      </c>
      <c r="S109" s="215"/>
      <c r="T109" s="208">
        <f t="shared" si="26"/>
        <v>0</v>
      </c>
      <c r="U109" s="208">
        <f t="shared" si="26"/>
        <v>0</v>
      </c>
      <c r="V109" s="208">
        <f t="shared" si="26"/>
        <v>0</v>
      </c>
      <c r="W109" s="208">
        <f t="shared" si="26"/>
        <v>0</v>
      </c>
      <c r="X109" s="210">
        <f t="shared" si="26"/>
        <v>0</v>
      </c>
      <c r="Y109" s="208">
        <f t="shared" si="26"/>
        <v>0</v>
      </c>
      <c r="Z109" s="209">
        <f t="shared" si="26"/>
        <v>0</v>
      </c>
      <c r="AA109" s="208">
        <f t="shared" si="26"/>
        <v>0</v>
      </c>
      <c r="AB109" s="208">
        <f t="shared" si="26"/>
        <v>0</v>
      </c>
      <c r="AC109" s="208">
        <f t="shared" si="26"/>
        <v>0</v>
      </c>
      <c r="AD109" s="208">
        <f t="shared" si="26"/>
        <v>0</v>
      </c>
      <c r="AE109" s="208">
        <f t="shared" si="26"/>
        <v>0</v>
      </c>
      <c r="AF109" s="208">
        <f t="shared" si="26"/>
        <v>0</v>
      </c>
      <c r="AG109" s="208">
        <f t="shared" si="26"/>
        <v>0</v>
      </c>
    </row>
    <row r="110" spans="1:33" x14ac:dyDescent="0.25">
      <c r="A110" s="8"/>
      <c r="B110" s="28" t="s">
        <v>94</v>
      </c>
      <c r="C110" s="211"/>
      <c r="D110" s="211"/>
      <c r="E110" s="212"/>
      <c r="F110" s="211"/>
      <c r="G110" s="211"/>
      <c r="H110" s="211"/>
      <c r="I110" s="211"/>
      <c r="J110" s="213"/>
      <c r="K110" s="211"/>
      <c r="L110" s="211"/>
      <c r="M110" s="211"/>
      <c r="N110" s="211"/>
      <c r="O110" s="211"/>
      <c r="P110" s="211"/>
      <c r="Q110" s="213"/>
      <c r="R110" s="211"/>
      <c r="S110" s="211"/>
      <c r="T110" s="211"/>
      <c r="U110" s="211"/>
      <c r="V110" s="211"/>
      <c r="W110" s="211"/>
      <c r="X110" s="213"/>
      <c r="Y110" s="211"/>
      <c r="Z110" s="211"/>
      <c r="AA110" s="211"/>
      <c r="AB110" s="211"/>
      <c r="AC110" s="211"/>
      <c r="AD110" s="211"/>
      <c r="AE110" s="211"/>
      <c r="AF110" s="211"/>
      <c r="AG110" s="211"/>
    </row>
    <row r="111" spans="1:33" x14ac:dyDescent="0.25">
      <c r="A111" s="8"/>
      <c r="B111" s="28" t="s">
        <v>95</v>
      </c>
      <c r="C111" s="211"/>
      <c r="D111" s="211"/>
      <c r="E111" s="212"/>
      <c r="F111" s="211"/>
      <c r="G111" s="211"/>
      <c r="H111" s="211"/>
      <c r="I111" s="211"/>
      <c r="J111" s="213"/>
      <c r="K111" s="211"/>
      <c r="L111" s="211"/>
      <c r="M111" s="211"/>
      <c r="N111" s="211"/>
      <c r="O111" s="211"/>
      <c r="P111" s="211"/>
      <c r="Q111" s="213"/>
      <c r="R111" s="211"/>
      <c r="S111" s="211"/>
      <c r="T111" s="211"/>
      <c r="U111" s="211"/>
      <c r="V111" s="211"/>
      <c r="W111" s="211"/>
      <c r="X111" s="213"/>
      <c r="Y111" s="211"/>
      <c r="Z111" s="211"/>
      <c r="AA111" s="211"/>
      <c r="AB111" s="211"/>
      <c r="AC111" s="211"/>
      <c r="AD111" s="211"/>
      <c r="AE111" s="211"/>
      <c r="AF111" s="211"/>
      <c r="AG111" s="211"/>
    </row>
    <row r="112" spans="1:33" x14ac:dyDescent="0.25">
      <c r="A112" s="8"/>
      <c r="B112" s="207" t="s">
        <v>96</v>
      </c>
      <c r="C112" s="208"/>
      <c r="D112" s="208"/>
      <c r="E112" s="209"/>
      <c r="F112" s="208"/>
      <c r="G112" s="208"/>
      <c r="H112" s="208"/>
      <c r="I112" s="208"/>
      <c r="J112" s="210"/>
      <c r="K112" s="208"/>
      <c r="L112" s="209"/>
      <c r="M112" s="208"/>
      <c r="N112" s="208"/>
      <c r="O112" s="208"/>
      <c r="P112" s="208"/>
      <c r="Q112" s="210"/>
      <c r="R112" s="208"/>
      <c r="S112" s="209"/>
      <c r="T112" s="208"/>
      <c r="U112" s="208"/>
      <c r="V112" s="208"/>
      <c r="W112" s="208"/>
      <c r="X112" s="210"/>
      <c r="Y112" s="208"/>
      <c r="Z112" s="209"/>
      <c r="AA112" s="208"/>
      <c r="AB112" s="208"/>
      <c r="AC112" s="208"/>
      <c r="AD112" s="208"/>
      <c r="AE112" s="208"/>
      <c r="AF112" s="208"/>
      <c r="AG112" s="208"/>
    </row>
    <row r="113" spans="1:33" x14ac:dyDescent="0.25">
      <c r="A113" s="8"/>
      <c r="B113" s="207" t="s">
        <v>97</v>
      </c>
      <c r="C113" s="216">
        <f>187*8*10%</f>
        <v>149.6</v>
      </c>
      <c r="D113" s="216">
        <f t="shared" ref="D113:AG113" si="27">187*8*10%</f>
        <v>149.6</v>
      </c>
      <c r="E113" s="217">
        <f t="shared" si="27"/>
        <v>149.6</v>
      </c>
      <c r="F113" s="216">
        <f t="shared" si="27"/>
        <v>149.6</v>
      </c>
      <c r="G113" s="216">
        <f t="shared" si="27"/>
        <v>149.6</v>
      </c>
      <c r="H113" s="216">
        <f t="shared" si="27"/>
        <v>149.6</v>
      </c>
      <c r="I113" s="216">
        <f t="shared" si="27"/>
        <v>149.6</v>
      </c>
      <c r="J113" s="218">
        <f t="shared" si="27"/>
        <v>149.6</v>
      </c>
      <c r="K113" s="216">
        <f t="shared" si="27"/>
        <v>149.6</v>
      </c>
      <c r="L113" s="217">
        <f t="shared" si="27"/>
        <v>149.6</v>
      </c>
      <c r="M113" s="216">
        <f t="shared" si="27"/>
        <v>149.6</v>
      </c>
      <c r="N113" s="216">
        <f t="shared" si="27"/>
        <v>149.6</v>
      </c>
      <c r="O113" s="216">
        <f t="shared" si="27"/>
        <v>149.6</v>
      </c>
      <c r="P113" s="216">
        <f t="shared" si="27"/>
        <v>149.6</v>
      </c>
      <c r="Q113" s="218">
        <f t="shared" si="27"/>
        <v>149.6</v>
      </c>
      <c r="R113" s="216">
        <f t="shared" si="27"/>
        <v>149.6</v>
      </c>
      <c r="S113" s="217">
        <f t="shared" si="27"/>
        <v>149.6</v>
      </c>
      <c r="T113" s="216">
        <f t="shared" si="27"/>
        <v>149.6</v>
      </c>
      <c r="U113" s="216">
        <f t="shared" si="27"/>
        <v>149.6</v>
      </c>
      <c r="V113" s="216">
        <f t="shared" si="27"/>
        <v>149.6</v>
      </c>
      <c r="W113" s="216">
        <f t="shared" si="27"/>
        <v>149.6</v>
      </c>
      <c r="X113" s="218">
        <f t="shared" si="27"/>
        <v>149.6</v>
      </c>
      <c r="Y113" s="216">
        <f t="shared" si="27"/>
        <v>149.6</v>
      </c>
      <c r="Z113" s="217">
        <f t="shared" si="27"/>
        <v>149.6</v>
      </c>
      <c r="AA113" s="216">
        <f t="shared" si="27"/>
        <v>149.6</v>
      </c>
      <c r="AB113" s="216">
        <f t="shared" si="27"/>
        <v>149.6</v>
      </c>
      <c r="AC113" s="216">
        <f t="shared" si="27"/>
        <v>149.6</v>
      </c>
      <c r="AD113" s="216">
        <f t="shared" si="27"/>
        <v>149.6</v>
      </c>
      <c r="AE113" s="216">
        <f t="shared" si="27"/>
        <v>149.6</v>
      </c>
      <c r="AF113" s="216">
        <f t="shared" si="27"/>
        <v>149.6</v>
      </c>
      <c r="AG113" s="216">
        <f t="shared" si="27"/>
        <v>149.6</v>
      </c>
    </row>
    <row r="114" spans="1:33" ht="15.75" thickBot="1" x14ac:dyDescent="0.3">
      <c r="A114" s="31"/>
      <c r="B114" s="219" t="s">
        <v>98</v>
      </c>
      <c r="C114" s="220">
        <v>11</v>
      </c>
      <c r="D114" s="220">
        <v>11</v>
      </c>
      <c r="E114" s="220">
        <v>11</v>
      </c>
      <c r="F114" s="220">
        <v>11</v>
      </c>
      <c r="G114" s="220">
        <v>11</v>
      </c>
      <c r="H114" s="220">
        <v>11</v>
      </c>
      <c r="I114" s="220">
        <v>8</v>
      </c>
      <c r="J114" s="220">
        <v>11</v>
      </c>
      <c r="K114" s="220">
        <v>11</v>
      </c>
      <c r="L114" s="220">
        <v>11</v>
      </c>
      <c r="M114" s="220">
        <v>11</v>
      </c>
      <c r="N114" s="220">
        <v>11</v>
      </c>
      <c r="O114" s="220">
        <v>11</v>
      </c>
      <c r="P114" s="220">
        <v>6</v>
      </c>
      <c r="Q114" s="220">
        <v>11</v>
      </c>
      <c r="R114" s="220">
        <v>11</v>
      </c>
      <c r="S114" s="220">
        <v>11</v>
      </c>
      <c r="T114" s="220">
        <v>11</v>
      </c>
      <c r="U114" s="220">
        <v>11</v>
      </c>
      <c r="V114" s="220">
        <v>11</v>
      </c>
      <c r="W114" s="220">
        <v>11</v>
      </c>
      <c r="X114" s="220">
        <v>11</v>
      </c>
      <c r="Y114" s="220">
        <v>11</v>
      </c>
      <c r="Z114" s="220">
        <v>11</v>
      </c>
      <c r="AA114" s="220">
        <v>11</v>
      </c>
      <c r="AB114" s="220">
        <v>11</v>
      </c>
      <c r="AC114" s="220">
        <v>11</v>
      </c>
      <c r="AD114" s="220">
        <v>8</v>
      </c>
      <c r="AE114" s="220">
        <v>8</v>
      </c>
      <c r="AF114" s="220">
        <v>8</v>
      </c>
      <c r="AG114" s="220">
        <v>8</v>
      </c>
    </row>
  </sheetData>
  <mergeCells count="11">
    <mergeCell ref="A80:A83"/>
    <mergeCell ref="A84:A87"/>
    <mergeCell ref="A88:A91"/>
    <mergeCell ref="A93:A102"/>
    <mergeCell ref="A104:A114"/>
    <mergeCell ref="A2:A9"/>
    <mergeCell ref="A10:A30"/>
    <mergeCell ref="A32:A44"/>
    <mergeCell ref="A46:A58"/>
    <mergeCell ref="A60:A67"/>
    <mergeCell ref="A69:A78"/>
  </mergeCells>
  <conditionalFormatting sqref="B60:B64">
    <cfRule type="cellIs" dxfId="8" priority="9" operator="equal">
      <formula>0</formula>
    </cfRule>
  </conditionalFormatting>
  <conditionalFormatting sqref="C60:E67 L67:S67 L60:L66 S60:S66 Z60:Z67 AG60:AG67">
    <cfRule type="cellIs" dxfId="7" priority="8" operator="equal">
      <formula>0</formula>
    </cfRule>
  </conditionalFormatting>
  <conditionalFormatting sqref="B65">
    <cfRule type="cellIs" dxfId="6" priority="7" operator="equal">
      <formula>0</formula>
    </cfRule>
  </conditionalFormatting>
  <conditionalFormatting sqref="B66">
    <cfRule type="cellIs" dxfId="5" priority="6" operator="equal">
      <formula>0</formula>
    </cfRule>
  </conditionalFormatting>
  <conditionalFormatting sqref="B67">
    <cfRule type="cellIs" dxfId="4" priority="5" operator="equal">
      <formula>0</formula>
    </cfRule>
  </conditionalFormatting>
  <conditionalFormatting sqref="F60:K67">
    <cfRule type="cellIs" dxfId="3" priority="4" operator="equal">
      <formula>0</formula>
    </cfRule>
  </conditionalFormatting>
  <conditionalFormatting sqref="M60:R66">
    <cfRule type="cellIs" dxfId="2" priority="3" operator="equal">
      <formula>0</formula>
    </cfRule>
  </conditionalFormatting>
  <conditionalFormatting sqref="T60:Y67">
    <cfRule type="cellIs" dxfId="1" priority="2" operator="equal">
      <formula>0</formula>
    </cfRule>
  </conditionalFormatting>
  <conditionalFormatting sqref="AA60:AF67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April-26</vt:lpstr>
      <vt:lpstr>May-26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Siemens Admin</dc:creator>
  <cp:lastModifiedBy>Siemens Admin</cp:lastModifiedBy>
  <dcterms:created xsi:type="dcterms:W3CDTF">2026-06-25T07:56:42Z</dcterms:created>
  <dcterms:modified xsi:type="dcterms:W3CDTF">2026-06-25T08:01:00Z</dcterms:modified>
</cp:coreProperties>
</file>